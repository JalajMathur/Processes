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drawings/drawing1.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drawings/drawing2.xml" ContentType="application/vnd.openxmlformats-officedocument.drawing+xml"/>
  <Override PartName="/xl/tables/table7.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harts/chart3.xml" ContentType="application/vnd.openxmlformats-officedocument.drawingml.chart+xml"/>
  <Override PartName="/xl/drawings/drawing4.xml" ContentType="application/vnd.openxmlformats-officedocument.drawing+xml"/>
  <Override PartName="/xl/tables/table9.xml" ContentType="application/vnd.openxmlformats-officedocument.spreadsheetml.table+xml"/>
  <Override PartName="/xl/queryTables/queryTable7.xml" ContentType="application/vnd.openxmlformats-officedocument.spreadsheetml.queryTable+xml"/>
  <Override PartName="/xl/charts/chart4.xml" ContentType="application/vnd.openxmlformats-officedocument.drawingml.chart+xml"/>
  <Override PartName="/xl/drawings/drawing5.xml" ContentType="application/vnd.openxmlformats-officedocument.drawing+xml"/>
  <Override PartName="/xl/tables/table10.xml" ContentType="application/vnd.openxmlformats-officedocument.spreadsheetml.table+xml"/>
  <Override PartName="/xl/queryTables/queryTable8.xml" ContentType="application/vnd.openxmlformats-officedocument.spreadsheetml.queryTable+xml"/>
  <Override PartName="/xl/charts/chart5.xml" ContentType="application/vnd.openxmlformats-officedocument.drawingml.chart+xml"/>
  <Override PartName="/xl/drawings/drawing6.xml" ContentType="application/vnd.openxmlformats-officedocument.drawing+xml"/>
  <Override PartName="/xl/tables/table11.xml" ContentType="application/vnd.openxmlformats-officedocument.spreadsheetml.table+xml"/>
  <Override PartName="/xl/queryTables/queryTable9.xml" ContentType="application/vnd.openxmlformats-officedocument.spreadsheetml.queryTable+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workbookPr codeName="ThisWorkbook"/>
  <bookViews>
    <workbookView xWindow="0" yWindow="0" windowWidth="10695" windowHeight="4995" tabRatio="799"/>
  </bookViews>
  <sheets>
    <sheet name="Introduction" sheetId="18" r:id="rId1"/>
    <sheet name="Project Codes" sheetId="2" r:id="rId2"/>
    <sheet name="TimeSheet" sheetId="3" r:id="rId3"/>
    <sheet name="Defect Log" sheetId="5" r:id="rId4"/>
    <sheet name="Schedules-Milestones" sheetId="4" r:id="rId5"/>
    <sheet name="Audit NC Log" sheetId="10" r:id="rId6"/>
    <sheet name="Schedule Variance(Project)" sheetId="7" r:id="rId7"/>
    <sheet name="Effort Variance(Project)" sheetId="9" r:id="rId8"/>
    <sheet name="Product Defect Density(Project)" sheetId="11" r:id="rId9"/>
    <sheet name="Process Defect Density(Project)" sheetId="12" r:id="rId10"/>
    <sheet name="Effort Variance (Org)" sheetId="13" r:id="rId11"/>
    <sheet name="Schedule Variance(Org)" sheetId="14" r:id="rId12"/>
    <sheet name="Product Defect Density(Org)" sheetId="15" r:id="rId13"/>
    <sheet name="Process Defect Density(Org)" sheetId="16" r:id="rId14"/>
  </sheets>
  <definedNames>
    <definedName name="owssvr" localSheetId="5" hidden="1">'Audit NC Log'!$A$1:$N$531</definedName>
    <definedName name="owssvr" localSheetId="2" hidden="1">TimeSheet!$A$1:$K$2909</definedName>
    <definedName name="owssvr__1" localSheetId="4" hidden="1">'Schedules-Milestones'!$A$1:$G$112</definedName>
    <definedName name="owssvr__2" localSheetId="10" hidden="1">'Effort Variance (Org)'!$B$2:$E$28</definedName>
    <definedName name="owssvr__2" localSheetId="13" hidden="1">'Process Defect Density(Org)'!$B$2:$E$28</definedName>
    <definedName name="owssvr__2" localSheetId="12" hidden="1">'Product Defect Density(Org)'!$B$2:$E$28</definedName>
    <definedName name="owssvr__2" localSheetId="11" hidden="1">'Schedule Variance(Org)'!$B$2:$E$28</definedName>
    <definedName name="owssvr__3" localSheetId="1" hidden="1">'Project Codes'!$A$1:$D$27</definedName>
    <definedName name="owssvr__4" localSheetId="3" hidden="1">'Defect Log'!$A$1:$O$422</definedName>
    <definedName name="ProjectCodes">'Project Codes'!$A$2:$A$125</definedName>
    <definedName name="Total_Effort_Expended_in_the_prroject">'Process Defect Density(Project)'!$B$8</definedName>
    <definedName name="Total_Number_of_Major_NCs_in_theproject">'Process Defect Density(Project)'!$B$6</definedName>
    <definedName name="Total_Number_of_Minor_NCs_in_theproject">'Process Defect Density(Project)'!$B$7</definedName>
  </definedNames>
  <calcPr calcId="144525"/>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9" l="1"/>
  <c r="G9" i="9"/>
  <c r="G10" i="9"/>
  <c r="G11" i="9"/>
  <c r="G12" i="9"/>
  <c r="G13" i="9"/>
  <c r="F3" i="16"/>
  <c r="F4" i="16"/>
  <c r="F5" i="16"/>
  <c r="F6" i="16"/>
  <c r="F7" i="16"/>
  <c r="F8" i="16"/>
  <c r="F9" i="16"/>
  <c r="F10" i="16"/>
  <c r="F11" i="16"/>
  <c r="F12" i="16"/>
  <c r="F13" i="16"/>
  <c r="F14" i="16"/>
  <c r="F15" i="16"/>
  <c r="F16" i="16"/>
  <c r="F17" i="16"/>
  <c r="F18" i="16"/>
  <c r="F19" i="16"/>
  <c r="F20" i="16"/>
  <c r="F21" i="16"/>
  <c r="F22" i="16"/>
  <c r="F23" i="16"/>
  <c r="F24" i="16"/>
  <c r="F25" i="16"/>
  <c r="F26" i="16"/>
  <c r="F27" i="16"/>
  <c r="F28" i="16"/>
  <c r="G3" i="16"/>
  <c r="G4" i="16"/>
  <c r="G5" i="16"/>
  <c r="G6" i="16"/>
  <c r="G7" i="16"/>
  <c r="G8" i="16"/>
  <c r="G9" i="16"/>
  <c r="G10" i="16"/>
  <c r="G11" i="16"/>
  <c r="G12" i="16"/>
  <c r="G13" i="16"/>
  <c r="G14" i="16"/>
  <c r="G15" i="16"/>
  <c r="G16" i="16"/>
  <c r="G17" i="16"/>
  <c r="G18" i="16"/>
  <c r="G19" i="16"/>
  <c r="G20" i="16"/>
  <c r="G21" i="16"/>
  <c r="G22" i="16"/>
  <c r="G23" i="16"/>
  <c r="G24" i="16"/>
  <c r="G25" i="16"/>
  <c r="G26" i="16"/>
  <c r="G27" i="16"/>
  <c r="G28" i="16"/>
  <c r="H3" i="16"/>
  <c r="H4" i="16"/>
  <c r="H5" i="16"/>
  <c r="H6" i="16"/>
  <c r="H7" i="16"/>
  <c r="H8" i="16"/>
  <c r="H9" i="16"/>
  <c r="H10" i="16"/>
  <c r="H11" i="16"/>
  <c r="H12" i="16"/>
  <c r="H13" i="16"/>
  <c r="H14" i="16"/>
  <c r="H15" i="16"/>
  <c r="H16" i="16"/>
  <c r="H17" i="16"/>
  <c r="H18" i="16"/>
  <c r="H19" i="16"/>
  <c r="H20" i="16"/>
  <c r="H21" i="16"/>
  <c r="H22" i="16"/>
  <c r="H23" i="16"/>
  <c r="H24" i="16"/>
  <c r="H25" i="16"/>
  <c r="H26" i="16"/>
  <c r="H27" i="16"/>
  <c r="I27" i="16" s="1"/>
  <c r="H28" i="16"/>
  <c r="I28" i="16" s="1"/>
  <c r="I3" i="16"/>
  <c r="I4" i="16"/>
  <c r="I7" i="16"/>
  <c r="I8" i="16"/>
  <c r="I11" i="16"/>
  <c r="I12" i="16"/>
  <c r="I15" i="16"/>
  <c r="I16" i="16"/>
  <c r="I19" i="16"/>
  <c r="I20" i="16"/>
  <c r="I23" i="16"/>
  <c r="I24" i="16"/>
  <c r="F3" i="15"/>
  <c r="F4" i="15"/>
  <c r="F5" i="15"/>
  <c r="F6" i="15"/>
  <c r="F7" i="15"/>
  <c r="F8" i="15"/>
  <c r="F9" i="15"/>
  <c r="F10" i="15"/>
  <c r="F11" i="15"/>
  <c r="F12" i="15"/>
  <c r="F13" i="15"/>
  <c r="F14" i="15"/>
  <c r="F15" i="15"/>
  <c r="F16" i="15"/>
  <c r="F17" i="15"/>
  <c r="F18" i="15"/>
  <c r="F19" i="15"/>
  <c r="F20" i="15"/>
  <c r="F21" i="15"/>
  <c r="F22" i="15"/>
  <c r="F23" i="15"/>
  <c r="F24" i="15"/>
  <c r="F25" i="15"/>
  <c r="F26" i="15"/>
  <c r="F27" i="15"/>
  <c r="F28" i="15"/>
  <c r="G3" i="15"/>
  <c r="H3" i="15" s="1"/>
  <c r="G4" i="15"/>
  <c r="H4" i="15" s="1"/>
  <c r="G5" i="15"/>
  <c r="G6" i="15"/>
  <c r="G7" i="15"/>
  <c r="H7" i="15" s="1"/>
  <c r="G8" i="15"/>
  <c r="H8" i="15" s="1"/>
  <c r="G9" i="15"/>
  <c r="G10" i="15"/>
  <c r="G11" i="15"/>
  <c r="H11" i="15" s="1"/>
  <c r="G12" i="15"/>
  <c r="H12" i="15" s="1"/>
  <c r="G13" i="15"/>
  <c r="G14" i="15"/>
  <c r="G15" i="15"/>
  <c r="H15" i="15" s="1"/>
  <c r="G16" i="15"/>
  <c r="H16" i="15" s="1"/>
  <c r="G17" i="15"/>
  <c r="G18" i="15"/>
  <c r="G19" i="15"/>
  <c r="H19" i="15" s="1"/>
  <c r="G20" i="15"/>
  <c r="H20" i="15" s="1"/>
  <c r="G21" i="15"/>
  <c r="G22" i="15"/>
  <c r="G23" i="15"/>
  <c r="H23" i="15" s="1"/>
  <c r="G24" i="15"/>
  <c r="H24" i="15" s="1"/>
  <c r="G25" i="15"/>
  <c r="G26" i="15"/>
  <c r="G27" i="15"/>
  <c r="H27" i="15" s="1"/>
  <c r="G28" i="15"/>
  <c r="H28" i="15" s="1"/>
  <c r="H5" i="15"/>
  <c r="H6" i="15"/>
  <c r="H9" i="15"/>
  <c r="H10" i="15"/>
  <c r="H13" i="15"/>
  <c r="H14" i="15"/>
  <c r="H17" i="15"/>
  <c r="H18" i="15"/>
  <c r="H21" i="15"/>
  <c r="H22" i="15"/>
  <c r="H25" i="15"/>
  <c r="H26" i="15"/>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G3" i="14"/>
  <c r="G4" i="14"/>
  <c r="G5" i="14"/>
  <c r="G6" i="14"/>
  <c r="G7" i="14"/>
  <c r="G8" i="14"/>
  <c r="G9" i="14"/>
  <c r="G10" i="14"/>
  <c r="G11" i="14"/>
  <c r="G12" i="14"/>
  <c r="G13" i="14"/>
  <c r="G14" i="14"/>
  <c r="G15" i="14"/>
  <c r="G16" i="14"/>
  <c r="G17" i="14"/>
  <c r="G18" i="14"/>
  <c r="G19" i="14"/>
  <c r="G20" i="14"/>
  <c r="G21" i="14"/>
  <c r="G22" i="14"/>
  <c r="G23" i="14"/>
  <c r="G24" i="14"/>
  <c r="G25" i="14"/>
  <c r="G26" i="14"/>
  <c r="G27" i="14"/>
  <c r="G28" i="14"/>
  <c r="H3" i="14"/>
  <c r="H4" i="14"/>
  <c r="H5" i="14"/>
  <c r="H6" i="14"/>
  <c r="H7" i="14"/>
  <c r="H8" i="14"/>
  <c r="H9" i="14"/>
  <c r="H10" i="14"/>
  <c r="H11" i="14"/>
  <c r="H12" i="14"/>
  <c r="H13" i="14"/>
  <c r="H14" i="14"/>
  <c r="H15" i="14"/>
  <c r="H16" i="14"/>
  <c r="H17" i="14"/>
  <c r="H18" i="14"/>
  <c r="H19" i="14"/>
  <c r="H20" i="14"/>
  <c r="H21" i="14"/>
  <c r="H22" i="14"/>
  <c r="H23" i="14"/>
  <c r="H24" i="14"/>
  <c r="H25" i="14"/>
  <c r="H26" i="14"/>
  <c r="H27" i="14"/>
  <c r="H28" i="14"/>
  <c r="I3" i="14"/>
  <c r="I4" i="14"/>
  <c r="I5" i="14"/>
  <c r="I6" i="14"/>
  <c r="I7" i="14"/>
  <c r="I8" i="14"/>
  <c r="I9" i="14"/>
  <c r="I10" i="14"/>
  <c r="I11" i="14"/>
  <c r="I12" i="14"/>
  <c r="I13" i="14"/>
  <c r="I14" i="14"/>
  <c r="I15" i="14"/>
  <c r="I16" i="14"/>
  <c r="I17" i="14"/>
  <c r="I18" i="14"/>
  <c r="I19" i="14"/>
  <c r="I20" i="14"/>
  <c r="I21" i="14"/>
  <c r="I22" i="14"/>
  <c r="I23" i="14"/>
  <c r="I24" i="14"/>
  <c r="I25" i="14"/>
  <c r="I26" i="14"/>
  <c r="I27" i="14"/>
  <c r="I28" i="14"/>
  <c r="J3" i="14"/>
  <c r="J4" i="14"/>
  <c r="J5" i="14"/>
  <c r="J6" i="14"/>
  <c r="K6" i="14" s="1"/>
  <c r="J7" i="14"/>
  <c r="J8" i="14"/>
  <c r="J9" i="14"/>
  <c r="J10" i="14"/>
  <c r="K10" i="14" s="1"/>
  <c r="J11" i="14"/>
  <c r="J12" i="14"/>
  <c r="J13" i="14"/>
  <c r="J14" i="14"/>
  <c r="K14" i="14" s="1"/>
  <c r="J15" i="14"/>
  <c r="J16" i="14"/>
  <c r="J17" i="14"/>
  <c r="J18" i="14"/>
  <c r="K18" i="14" s="1"/>
  <c r="J19" i="14"/>
  <c r="J20" i="14"/>
  <c r="J21" i="14"/>
  <c r="J22" i="14"/>
  <c r="K22" i="14" s="1"/>
  <c r="J23" i="14"/>
  <c r="J24" i="14"/>
  <c r="J25" i="14"/>
  <c r="J26" i="14"/>
  <c r="K26" i="14" s="1"/>
  <c r="J27" i="14"/>
  <c r="J28" i="14"/>
  <c r="K3" i="14"/>
  <c r="K4" i="14"/>
  <c r="K5" i="14"/>
  <c r="K7" i="14"/>
  <c r="K8" i="14"/>
  <c r="K9" i="14"/>
  <c r="K11" i="14"/>
  <c r="K12" i="14"/>
  <c r="K13" i="14"/>
  <c r="K15" i="14"/>
  <c r="K16" i="14"/>
  <c r="K17" i="14"/>
  <c r="K19" i="14"/>
  <c r="K20" i="14"/>
  <c r="K21" i="14"/>
  <c r="K23" i="14"/>
  <c r="K24" i="14"/>
  <c r="K25" i="14"/>
  <c r="K27" i="14"/>
  <c r="K28" i="14"/>
  <c r="L3" i="14"/>
  <c r="L4" i="14"/>
  <c r="L5" i="14"/>
  <c r="L6" i="14"/>
  <c r="L7" i="14"/>
  <c r="L8" i="14"/>
  <c r="L9" i="14"/>
  <c r="L10" i="14"/>
  <c r="L11" i="14"/>
  <c r="L12" i="14"/>
  <c r="L13" i="14"/>
  <c r="L14" i="14"/>
  <c r="L15" i="14"/>
  <c r="L16" i="14"/>
  <c r="L17" i="14"/>
  <c r="L18" i="14"/>
  <c r="L19" i="14"/>
  <c r="L20" i="14"/>
  <c r="L21" i="14"/>
  <c r="L22" i="14"/>
  <c r="L23" i="14"/>
  <c r="L24" i="14"/>
  <c r="L25" i="14"/>
  <c r="L26" i="14"/>
  <c r="L27" i="14"/>
  <c r="L28" i="14"/>
  <c r="M3" i="14"/>
  <c r="M4" i="14"/>
  <c r="M5" i="14"/>
  <c r="M6" i="14"/>
  <c r="M7" i="14"/>
  <c r="M8" i="14"/>
  <c r="M9" i="14"/>
  <c r="M10" i="14"/>
  <c r="M11" i="14"/>
  <c r="M12" i="14"/>
  <c r="M13" i="14"/>
  <c r="M14" i="14"/>
  <c r="M15" i="14"/>
  <c r="M16" i="14"/>
  <c r="M17" i="14"/>
  <c r="M18" i="14"/>
  <c r="M19" i="14"/>
  <c r="M20" i="14"/>
  <c r="M21" i="14"/>
  <c r="M22" i="14"/>
  <c r="M23" i="14"/>
  <c r="M24" i="14"/>
  <c r="M25" i="14"/>
  <c r="M26" i="14"/>
  <c r="M27" i="14"/>
  <c r="M28" i="14"/>
  <c r="F3" i="13"/>
  <c r="F4" i="13"/>
  <c r="F5" i="13"/>
  <c r="F6" i="13"/>
  <c r="F7" i="13"/>
  <c r="F8" i="13"/>
  <c r="F9" i="13"/>
  <c r="F10" i="13"/>
  <c r="F11" i="13"/>
  <c r="F12" i="13"/>
  <c r="F13" i="13"/>
  <c r="F14" i="13"/>
  <c r="F15" i="13"/>
  <c r="F16" i="13"/>
  <c r="F17" i="13"/>
  <c r="F18" i="13"/>
  <c r="F19" i="13"/>
  <c r="F20" i="13"/>
  <c r="F21" i="13"/>
  <c r="F22" i="13"/>
  <c r="F23" i="13"/>
  <c r="F24" i="13"/>
  <c r="F25" i="13"/>
  <c r="F26" i="13"/>
  <c r="F27" i="13"/>
  <c r="F28" i="13"/>
  <c r="G3" i="13"/>
  <c r="G4" i="13"/>
  <c r="G5" i="13"/>
  <c r="G6" i="13"/>
  <c r="G7" i="13"/>
  <c r="G8" i="13"/>
  <c r="G9" i="13"/>
  <c r="G10" i="13"/>
  <c r="G11" i="13"/>
  <c r="G12" i="13"/>
  <c r="G13" i="13"/>
  <c r="G14" i="13"/>
  <c r="G15" i="13"/>
  <c r="G16" i="13"/>
  <c r="G17" i="13"/>
  <c r="G18" i="13"/>
  <c r="G19" i="13"/>
  <c r="G20" i="13"/>
  <c r="G21" i="13"/>
  <c r="G22" i="13"/>
  <c r="G23" i="13"/>
  <c r="H23" i="13" s="1"/>
  <c r="G24" i="13"/>
  <c r="G25" i="13"/>
  <c r="H25" i="13" s="1"/>
  <c r="G26" i="13"/>
  <c r="G27" i="13"/>
  <c r="H27" i="13" s="1"/>
  <c r="G28" i="13"/>
  <c r="H28" i="13" s="1"/>
  <c r="H3" i="13"/>
  <c r="H4" i="13"/>
  <c r="H5" i="13"/>
  <c r="H6" i="13"/>
  <c r="H7" i="13"/>
  <c r="H8" i="13"/>
  <c r="H9" i="13"/>
  <c r="H10" i="13"/>
  <c r="H11" i="13"/>
  <c r="H12" i="13"/>
  <c r="H13" i="13"/>
  <c r="H14" i="13"/>
  <c r="H15" i="13"/>
  <c r="H16" i="13"/>
  <c r="H17" i="13"/>
  <c r="H18" i="13"/>
  <c r="H19" i="13"/>
  <c r="H20" i="13"/>
  <c r="H21" i="13"/>
  <c r="H22" i="13"/>
  <c r="H24" i="13"/>
  <c r="H26" i="13"/>
  <c r="I3" i="13"/>
  <c r="I4" i="13"/>
  <c r="I5" i="13"/>
  <c r="I6" i="13"/>
  <c r="I7" i="13"/>
  <c r="I8" i="13"/>
  <c r="I9" i="13"/>
  <c r="I10" i="13"/>
  <c r="I11" i="13"/>
  <c r="I12" i="13"/>
  <c r="I13" i="13"/>
  <c r="I14" i="13"/>
  <c r="I15" i="13"/>
  <c r="I16" i="13"/>
  <c r="I17" i="13"/>
  <c r="I18" i="13"/>
  <c r="I19" i="13"/>
  <c r="I20" i="13"/>
  <c r="I21" i="13"/>
  <c r="I22" i="13"/>
  <c r="I23" i="13"/>
  <c r="I24" i="13"/>
  <c r="I25" i="13"/>
  <c r="I26" i="13"/>
  <c r="I27" i="13"/>
  <c r="I28" i="13"/>
  <c r="J3" i="13"/>
  <c r="J4" i="13"/>
  <c r="J5" i="13"/>
  <c r="J6" i="13"/>
  <c r="J7" i="13"/>
  <c r="J8" i="13"/>
  <c r="J9" i="13"/>
  <c r="J10" i="13"/>
  <c r="J11" i="13"/>
  <c r="J12" i="13"/>
  <c r="J13" i="13"/>
  <c r="J14" i="13"/>
  <c r="J15" i="13"/>
  <c r="J16" i="13"/>
  <c r="J17" i="13"/>
  <c r="J18" i="13"/>
  <c r="J19" i="13"/>
  <c r="J20" i="13"/>
  <c r="J21" i="13"/>
  <c r="J22" i="13"/>
  <c r="J23" i="13"/>
  <c r="J24" i="13"/>
  <c r="J25" i="13"/>
  <c r="J26" i="13"/>
  <c r="J27" i="13"/>
  <c r="J28" i="13"/>
  <c r="H2" i="4"/>
  <c r="H3"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H35" i="4"/>
  <c r="H36" i="4"/>
  <c r="H37" i="4"/>
  <c r="H38" i="4"/>
  <c r="H39" i="4"/>
  <c r="H40" i="4"/>
  <c r="H41" i="4"/>
  <c r="H42" i="4"/>
  <c r="H43" i="4"/>
  <c r="H44" i="4"/>
  <c r="H45" i="4"/>
  <c r="H46" i="4"/>
  <c r="H47" i="4"/>
  <c r="H48" i="4"/>
  <c r="H49" i="4"/>
  <c r="H50" i="4"/>
  <c r="H51" i="4"/>
  <c r="H52" i="4"/>
  <c r="H53" i="4"/>
  <c r="H54"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I2" i="4"/>
  <c r="I3"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I35" i="4"/>
  <c r="I36" i="4"/>
  <c r="I37" i="4"/>
  <c r="I38" i="4"/>
  <c r="I39" i="4"/>
  <c r="I40" i="4"/>
  <c r="I41" i="4"/>
  <c r="I42" i="4"/>
  <c r="I43" i="4"/>
  <c r="I44" i="4"/>
  <c r="I45" i="4"/>
  <c r="I46" i="4"/>
  <c r="I47" i="4"/>
  <c r="I48" i="4"/>
  <c r="I49" i="4"/>
  <c r="I50" i="4"/>
  <c r="I51" i="4"/>
  <c r="I52" i="4"/>
  <c r="I53" i="4"/>
  <c r="I54"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L2" i="3"/>
  <c r="L3" i="3"/>
  <c r="L4" i="3"/>
  <c r="L5" i="3"/>
  <c r="L6" i="3"/>
  <c r="L7" i="3"/>
  <c r="L8" i="3"/>
  <c r="L9" i="3"/>
  <c r="L10" i="3"/>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41" i="3"/>
  <c r="L42" i="3"/>
  <c r="L43" i="3"/>
  <c r="L44" i="3"/>
  <c r="L45" i="3"/>
  <c r="L46" i="3"/>
  <c r="L47" i="3"/>
  <c r="L48" i="3"/>
  <c r="L49" i="3"/>
  <c r="L50" i="3"/>
  <c r="L51" i="3"/>
  <c r="L52" i="3"/>
  <c r="L53" i="3"/>
  <c r="L54" i="3"/>
  <c r="L55" i="3"/>
  <c r="L56" i="3"/>
  <c r="L57" i="3"/>
  <c r="L58" i="3"/>
  <c r="L59" i="3"/>
  <c r="L60" i="3"/>
  <c r="L61" i="3"/>
  <c r="L62" i="3"/>
  <c r="L63" i="3"/>
  <c r="L64" i="3"/>
  <c r="L65" i="3"/>
  <c r="L66" i="3"/>
  <c r="L67" i="3"/>
  <c r="L68" i="3"/>
  <c r="L69" i="3"/>
  <c r="L70" i="3"/>
  <c r="L71" i="3"/>
  <c r="L72" i="3"/>
  <c r="L73" i="3"/>
  <c r="L74" i="3"/>
  <c r="L75" i="3"/>
  <c r="L76" i="3"/>
  <c r="L77" i="3"/>
  <c r="L78" i="3"/>
  <c r="L79" i="3"/>
  <c r="L80" i="3"/>
  <c r="L81" i="3"/>
  <c r="L82" i="3"/>
  <c r="L83" i="3"/>
  <c r="L84" i="3"/>
  <c r="L85" i="3"/>
  <c r="L86" i="3"/>
  <c r="L87" i="3"/>
  <c r="L88" i="3"/>
  <c r="L89" i="3"/>
  <c r="L90" i="3"/>
  <c r="L91" i="3"/>
  <c r="L92" i="3"/>
  <c r="L93" i="3"/>
  <c r="L94" i="3"/>
  <c r="L95" i="3"/>
  <c r="L96" i="3"/>
  <c r="L97" i="3"/>
  <c r="L98" i="3"/>
  <c r="L99" i="3"/>
  <c r="L100" i="3"/>
  <c r="L101" i="3"/>
  <c r="L102" i="3"/>
  <c r="L103" i="3"/>
  <c r="L104" i="3"/>
  <c r="L105" i="3"/>
  <c r="L106" i="3"/>
  <c r="L107" i="3"/>
  <c r="L108" i="3"/>
  <c r="L109" i="3"/>
  <c r="L110" i="3"/>
  <c r="L111" i="3"/>
  <c r="L112" i="3"/>
  <c r="L113" i="3"/>
  <c r="L114" i="3"/>
  <c r="L115" i="3"/>
  <c r="L116" i="3"/>
  <c r="L117" i="3"/>
  <c r="L118" i="3"/>
  <c r="L119" i="3"/>
  <c r="L120" i="3"/>
  <c r="L121" i="3"/>
  <c r="L122" i="3"/>
  <c r="L123" i="3"/>
  <c r="L124" i="3"/>
  <c r="L125" i="3"/>
  <c r="L126" i="3"/>
  <c r="L127" i="3"/>
  <c r="L128" i="3"/>
  <c r="L129" i="3"/>
  <c r="L130" i="3"/>
  <c r="L131" i="3"/>
  <c r="L132" i="3"/>
  <c r="L133" i="3"/>
  <c r="L134" i="3"/>
  <c r="L135" i="3"/>
  <c r="L136" i="3"/>
  <c r="L137" i="3"/>
  <c r="L138" i="3"/>
  <c r="L139" i="3"/>
  <c r="L140" i="3"/>
  <c r="L141" i="3"/>
  <c r="L142" i="3"/>
  <c r="L143" i="3"/>
  <c r="L144" i="3"/>
  <c r="L145" i="3"/>
  <c r="L146" i="3"/>
  <c r="L147" i="3"/>
  <c r="L148" i="3"/>
  <c r="L149" i="3"/>
  <c r="L150" i="3"/>
  <c r="L151" i="3"/>
  <c r="L152" i="3"/>
  <c r="L153" i="3"/>
  <c r="L154" i="3"/>
  <c r="L155" i="3"/>
  <c r="L156" i="3"/>
  <c r="L157" i="3"/>
  <c r="L158" i="3"/>
  <c r="L159" i="3"/>
  <c r="L160" i="3"/>
  <c r="L161" i="3"/>
  <c r="L162" i="3"/>
  <c r="L163" i="3"/>
  <c r="L164" i="3"/>
  <c r="L165" i="3"/>
  <c r="L166" i="3"/>
  <c r="L167" i="3"/>
  <c r="L168" i="3"/>
  <c r="L169" i="3"/>
  <c r="L170" i="3"/>
  <c r="L171" i="3"/>
  <c r="L172" i="3"/>
  <c r="L173" i="3"/>
  <c r="L174" i="3"/>
  <c r="L175" i="3"/>
  <c r="L176" i="3"/>
  <c r="L177" i="3"/>
  <c r="L178" i="3"/>
  <c r="L179" i="3"/>
  <c r="L180" i="3"/>
  <c r="L181" i="3"/>
  <c r="L182" i="3"/>
  <c r="L183" i="3"/>
  <c r="L184" i="3"/>
  <c r="L185" i="3"/>
  <c r="L186" i="3"/>
  <c r="L187" i="3"/>
  <c r="L188" i="3"/>
  <c r="L189" i="3"/>
  <c r="L190" i="3"/>
  <c r="L191" i="3"/>
  <c r="L192" i="3"/>
  <c r="L193" i="3"/>
  <c r="L194" i="3"/>
  <c r="L195" i="3"/>
  <c r="L196" i="3"/>
  <c r="L197" i="3"/>
  <c r="L198" i="3"/>
  <c r="L199" i="3"/>
  <c r="L200" i="3"/>
  <c r="L201" i="3"/>
  <c r="L202" i="3"/>
  <c r="L203" i="3"/>
  <c r="L204" i="3"/>
  <c r="L205" i="3"/>
  <c r="L206" i="3"/>
  <c r="L207" i="3"/>
  <c r="L208" i="3"/>
  <c r="L209" i="3"/>
  <c r="L210" i="3"/>
  <c r="L211" i="3"/>
  <c r="L212" i="3"/>
  <c r="L213" i="3"/>
  <c r="L214" i="3"/>
  <c r="L215" i="3"/>
  <c r="L216" i="3"/>
  <c r="L217" i="3"/>
  <c r="L218" i="3"/>
  <c r="L219" i="3"/>
  <c r="L220" i="3"/>
  <c r="L221" i="3"/>
  <c r="L222" i="3"/>
  <c r="L223" i="3"/>
  <c r="L224" i="3"/>
  <c r="L225" i="3"/>
  <c r="L226" i="3"/>
  <c r="L227" i="3"/>
  <c r="L228" i="3"/>
  <c r="L229" i="3"/>
  <c r="L230" i="3"/>
  <c r="L231" i="3"/>
  <c r="L232" i="3"/>
  <c r="L233" i="3"/>
  <c r="L234" i="3"/>
  <c r="L235" i="3"/>
  <c r="L236" i="3"/>
  <c r="L237" i="3"/>
  <c r="L238" i="3"/>
  <c r="L239" i="3"/>
  <c r="L240" i="3"/>
  <c r="L241" i="3"/>
  <c r="L242" i="3"/>
  <c r="L243" i="3"/>
  <c r="L244" i="3"/>
  <c r="L245" i="3"/>
  <c r="L246" i="3"/>
  <c r="L247" i="3"/>
  <c r="L248" i="3"/>
  <c r="L249" i="3"/>
  <c r="L250" i="3"/>
  <c r="L251" i="3"/>
  <c r="L252" i="3"/>
  <c r="L253" i="3"/>
  <c r="L254" i="3"/>
  <c r="L255" i="3"/>
  <c r="L256" i="3"/>
  <c r="L257" i="3"/>
  <c r="L258" i="3"/>
  <c r="L259" i="3"/>
  <c r="L260" i="3"/>
  <c r="L261" i="3"/>
  <c r="L262" i="3"/>
  <c r="L263" i="3"/>
  <c r="L264" i="3"/>
  <c r="L265" i="3"/>
  <c r="L266" i="3"/>
  <c r="L267" i="3"/>
  <c r="L268" i="3"/>
  <c r="L269" i="3"/>
  <c r="L270" i="3"/>
  <c r="L271" i="3"/>
  <c r="L272" i="3"/>
  <c r="L273" i="3"/>
  <c r="L274" i="3"/>
  <c r="L275" i="3"/>
  <c r="L276" i="3"/>
  <c r="L277" i="3"/>
  <c r="L278" i="3"/>
  <c r="L279" i="3"/>
  <c r="L280" i="3"/>
  <c r="L281" i="3"/>
  <c r="L282" i="3"/>
  <c r="L283" i="3"/>
  <c r="L284" i="3"/>
  <c r="L285" i="3"/>
  <c r="L286" i="3"/>
  <c r="L287" i="3"/>
  <c r="L288" i="3"/>
  <c r="L289" i="3"/>
  <c r="L290" i="3"/>
  <c r="L291" i="3"/>
  <c r="L292" i="3"/>
  <c r="L293" i="3"/>
  <c r="L294" i="3"/>
  <c r="L295" i="3"/>
  <c r="L296" i="3"/>
  <c r="L297" i="3"/>
  <c r="L298" i="3"/>
  <c r="L299" i="3"/>
  <c r="L300" i="3"/>
  <c r="L301" i="3"/>
  <c r="L302" i="3"/>
  <c r="L303" i="3"/>
  <c r="L304" i="3"/>
  <c r="L305" i="3"/>
  <c r="L306" i="3"/>
  <c r="L307" i="3"/>
  <c r="L308" i="3"/>
  <c r="L309" i="3"/>
  <c r="L310" i="3"/>
  <c r="L311" i="3"/>
  <c r="L312" i="3"/>
  <c r="L313" i="3"/>
  <c r="L314" i="3"/>
  <c r="L315" i="3"/>
  <c r="L316" i="3"/>
  <c r="L317" i="3"/>
  <c r="L318" i="3"/>
  <c r="L319" i="3"/>
  <c r="L320" i="3"/>
  <c r="L321" i="3"/>
  <c r="L322" i="3"/>
  <c r="L323" i="3"/>
  <c r="L324" i="3"/>
  <c r="L325" i="3"/>
  <c r="L326" i="3"/>
  <c r="L327" i="3"/>
  <c r="L328" i="3"/>
  <c r="L329" i="3"/>
  <c r="L330" i="3"/>
  <c r="L331" i="3"/>
  <c r="L332" i="3"/>
  <c r="L333" i="3"/>
  <c r="L334" i="3"/>
  <c r="L335" i="3"/>
  <c r="L336" i="3"/>
  <c r="L337" i="3"/>
  <c r="L338" i="3"/>
  <c r="L339" i="3"/>
  <c r="L340" i="3"/>
  <c r="L341" i="3"/>
  <c r="L342" i="3"/>
  <c r="L343" i="3"/>
  <c r="L344" i="3"/>
  <c r="L345" i="3"/>
  <c r="L346" i="3"/>
  <c r="L347" i="3"/>
  <c r="L348" i="3"/>
  <c r="L349" i="3"/>
  <c r="L350" i="3"/>
  <c r="L351" i="3"/>
  <c r="L352" i="3"/>
  <c r="L353" i="3"/>
  <c r="L354" i="3"/>
  <c r="L355" i="3"/>
  <c r="L356" i="3"/>
  <c r="L357" i="3"/>
  <c r="L358" i="3"/>
  <c r="L359" i="3"/>
  <c r="L360" i="3"/>
  <c r="L361" i="3"/>
  <c r="L362" i="3"/>
  <c r="L363" i="3"/>
  <c r="L364" i="3"/>
  <c r="L365" i="3"/>
  <c r="L366" i="3"/>
  <c r="L367" i="3"/>
  <c r="L368" i="3"/>
  <c r="L369" i="3"/>
  <c r="L370" i="3"/>
  <c r="L371" i="3"/>
  <c r="L372" i="3"/>
  <c r="L373" i="3"/>
  <c r="L374" i="3"/>
  <c r="L375" i="3"/>
  <c r="L376" i="3"/>
  <c r="L377" i="3"/>
  <c r="L378" i="3"/>
  <c r="L379" i="3"/>
  <c r="L380" i="3"/>
  <c r="L381" i="3"/>
  <c r="L382" i="3"/>
  <c r="L383" i="3"/>
  <c r="L384" i="3"/>
  <c r="L385" i="3"/>
  <c r="L386" i="3"/>
  <c r="L387" i="3"/>
  <c r="L388" i="3"/>
  <c r="L389" i="3"/>
  <c r="L390" i="3"/>
  <c r="L391" i="3"/>
  <c r="L392" i="3"/>
  <c r="L393" i="3"/>
  <c r="L394" i="3"/>
  <c r="L395" i="3"/>
  <c r="L396" i="3"/>
  <c r="L397" i="3"/>
  <c r="L398" i="3"/>
  <c r="L399" i="3"/>
  <c r="L400" i="3"/>
  <c r="L401" i="3"/>
  <c r="L402" i="3"/>
  <c r="L403" i="3"/>
  <c r="L404" i="3"/>
  <c r="L405" i="3"/>
  <c r="L406" i="3"/>
  <c r="L407" i="3"/>
  <c r="L408" i="3"/>
  <c r="L409" i="3"/>
  <c r="L410" i="3"/>
  <c r="L411" i="3"/>
  <c r="L412" i="3"/>
  <c r="L413" i="3"/>
  <c r="L414" i="3"/>
  <c r="L415" i="3"/>
  <c r="L416" i="3"/>
  <c r="L417" i="3"/>
  <c r="L418" i="3"/>
  <c r="L419" i="3"/>
  <c r="L420" i="3"/>
  <c r="L421" i="3"/>
  <c r="L422" i="3"/>
  <c r="L423" i="3"/>
  <c r="L424" i="3"/>
  <c r="L425" i="3"/>
  <c r="L426" i="3"/>
  <c r="L427" i="3"/>
  <c r="L428" i="3"/>
  <c r="L429" i="3"/>
  <c r="L430" i="3"/>
  <c r="L431" i="3"/>
  <c r="L432" i="3"/>
  <c r="L433" i="3"/>
  <c r="L434" i="3"/>
  <c r="L435" i="3"/>
  <c r="L436" i="3"/>
  <c r="L437" i="3"/>
  <c r="L438" i="3"/>
  <c r="L439" i="3"/>
  <c r="L440" i="3"/>
  <c r="L441" i="3"/>
  <c r="L442" i="3"/>
  <c r="L443" i="3"/>
  <c r="L444" i="3"/>
  <c r="L445" i="3"/>
  <c r="L446" i="3"/>
  <c r="L447" i="3"/>
  <c r="L448" i="3"/>
  <c r="L449" i="3"/>
  <c r="L450" i="3"/>
  <c r="L451" i="3"/>
  <c r="L452" i="3"/>
  <c r="L453" i="3"/>
  <c r="L454" i="3"/>
  <c r="L455" i="3"/>
  <c r="L456" i="3"/>
  <c r="L457" i="3"/>
  <c r="L458" i="3"/>
  <c r="L459" i="3"/>
  <c r="L460" i="3"/>
  <c r="L461" i="3"/>
  <c r="L462" i="3"/>
  <c r="L463" i="3"/>
  <c r="L464" i="3"/>
  <c r="L465" i="3"/>
  <c r="L466" i="3"/>
  <c r="L467" i="3"/>
  <c r="L468" i="3"/>
  <c r="L469" i="3"/>
  <c r="L470" i="3"/>
  <c r="L471" i="3"/>
  <c r="L472" i="3"/>
  <c r="L473" i="3"/>
  <c r="L474" i="3"/>
  <c r="L475" i="3"/>
  <c r="L476" i="3"/>
  <c r="L477" i="3"/>
  <c r="L478" i="3"/>
  <c r="L479" i="3"/>
  <c r="L480" i="3"/>
  <c r="L481" i="3"/>
  <c r="L482" i="3"/>
  <c r="L483" i="3"/>
  <c r="L484" i="3"/>
  <c r="L485" i="3"/>
  <c r="L486" i="3"/>
  <c r="L487" i="3"/>
  <c r="L488" i="3"/>
  <c r="L489" i="3"/>
  <c r="L490" i="3"/>
  <c r="L491" i="3"/>
  <c r="L492" i="3"/>
  <c r="L493" i="3"/>
  <c r="L494" i="3"/>
  <c r="L495" i="3"/>
  <c r="L496" i="3"/>
  <c r="L497" i="3"/>
  <c r="L498" i="3"/>
  <c r="L499" i="3"/>
  <c r="L500" i="3"/>
  <c r="L501" i="3"/>
  <c r="L502" i="3"/>
  <c r="L503" i="3"/>
  <c r="L504" i="3"/>
  <c r="L505" i="3"/>
  <c r="L506" i="3"/>
  <c r="L507" i="3"/>
  <c r="L508" i="3"/>
  <c r="L509" i="3"/>
  <c r="L510" i="3"/>
  <c r="L511" i="3"/>
  <c r="L512" i="3"/>
  <c r="L513" i="3"/>
  <c r="L514" i="3"/>
  <c r="L515" i="3"/>
  <c r="L516" i="3"/>
  <c r="L517" i="3"/>
  <c r="L518" i="3"/>
  <c r="L519" i="3"/>
  <c r="L520" i="3"/>
  <c r="L521" i="3"/>
  <c r="L522" i="3"/>
  <c r="L523" i="3"/>
  <c r="L524" i="3"/>
  <c r="L525" i="3"/>
  <c r="L526" i="3"/>
  <c r="L527" i="3"/>
  <c r="L528" i="3"/>
  <c r="L529" i="3"/>
  <c r="L530" i="3"/>
  <c r="L531" i="3"/>
  <c r="L532" i="3"/>
  <c r="L533" i="3"/>
  <c r="L534" i="3"/>
  <c r="L535" i="3"/>
  <c r="L536" i="3"/>
  <c r="L537" i="3"/>
  <c r="L538" i="3"/>
  <c r="L539" i="3"/>
  <c r="L540" i="3"/>
  <c r="L541" i="3"/>
  <c r="L542" i="3"/>
  <c r="L543" i="3"/>
  <c r="L544" i="3"/>
  <c r="L545" i="3"/>
  <c r="L546" i="3"/>
  <c r="L547" i="3"/>
  <c r="L548" i="3"/>
  <c r="L549" i="3"/>
  <c r="L550" i="3"/>
  <c r="L551" i="3"/>
  <c r="L552" i="3"/>
  <c r="L553" i="3"/>
  <c r="L554" i="3"/>
  <c r="L555" i="3"/>
  <c r="L556" i="3"/>
  <c r="L557" i="3"/>
  <c r="L558" i="3"/>
  <c r="L559" i="3"/>
  <c r="L560" i="3"/>
  <c r="L561" i="3"/>
  <c r="L562" i="3"/>
  <c r="L563" i="3"/>
  <c r="L564" i="3"/>
  <c r="L565" i="3"/>
  <c r="L566" i="3"/>
  <c r="L567" i="3"/>
  <c r="L568" i="3"/>
  <c r="L569" i="3"/>
  <c r="L570" i="3"/>
  <c r="L571" i="3"/>
  <c r="L572" i="3"/>
  <c r="L573" i="3"/>
  <c r="L574" i="3"/>
  <c r="L575" i="3"/>
  <c r="L576" i="3"/>
  <c r="L577" i="3"/>
  <c r="L578" i="3"/>
  <c r="L579" i="3"/>
  <c r="L580" i="3"/>
  <c r="L581" i="3"/>
  <c r="L582" i="3"/>
  <c r="L583" i="3"/>
  <c r="L584" i="3"/>
  <c r="L585" i="3"/>
  <c r="L586" i="3"/>
  <c r="L587" i="3"/>
  <c r="L588" i="3"/>
  <c r="L589" i="3"/>
  <c r="L590" i="3"/>
  <c r="L591" i="3"/>
  <c r="L592" i="3"/>
  <c r="L593" i="3"/>
  <c r="L594" i="3"/>
  <c r="L595" i="3"/>
  <c r="L596" i="3"/>
  <c r="L597" i="3"/>
  <c r="L598" i="3"/>
  <c r="L599" i="3"/>
  <c r="L600" i="3"/>
  <c r="L601" i="3"/>
  <c r="L602" i="3"/>
  <c r="L603" i="3"/>
  <c r="L604" i="3"/>
  <c r="L605" i="3"/>
  <c r="L606" i="3"/>
  <c r="L607" i="3"/>
  <c r="L608" i="3"/>
  <c r="L609" i="3"/>
  <c r="L610" i="3"/>
  <c r="L611" i="3"/>
  <c r="L612" i="3"/>
  <c r="L613" i="3"/>
  <c r="L614" i="3"/>
  <c r="L615" i="3"/>
  <c r="L616" i="3"/>
  <c r="L617" i="3"/>
  <c r="L618" i="3"/>
  <c r="L619" i="3"/>
  <c r="L620" i="3"/>
  <c r="L621" i="3"/>
  <c r="L622" i="3"/>
  <c r="L623" i="3"/>
  <c r="L624" i="3"/>
  <c r="L625" i="3"/>
  <c r="L626" i="3"/>
  <c r="L627" i="3"/>
  <c r="L628" i="3"/>
  <c r="L629" i="3"/>
  <c r="L630" i="3"/>
  <c r="L631" i="3"/>
  <c r="L632" i="3"/>
  <c r="L633" i="3"/>
  <c r="L634" i="3"/>
  <c r="L635" i="3"/>
  <c r="L636" i="3"/>
  <c r="L637" i="3"/>
  <c r="L638" i="3"/>
  <c r="L639" i="3"/>
  <c r="L640" i="3"/>
  <c r="L641" i="3"/>
  <c r="L642" i="3"/>
  <c r="L643" i="3"/>
  <c r="L644" i="3"/>
  <c r="L645" i="3"/>
  <c r="L646" i="3"/>
  <c r="L647" i="3"/>
  <c r="L648" i="3"/>
  <c r="L649" i="3"/>
  <c r="L650" i="3"/>
  <c r="L651" i="3"/>
  <c r="L652" i="3"/>
  <c r="L653" i="3"/>
  <c r="L654" i="3"/>
  <c r="L655" i="3"/>
  <c r="L656" i="3"/>
  <c r="L657" i="3"/>
  <c r="L658" i="3"/>
  <c r="L659" i="3"/>
  <c r="L660" i="3"/>
  <c r="L661" i="3"/>
  <c r="L662" i="3"/>
  <c r="L663" i="3"/>
  <c r="L664" i="3"/>
  <c r="L665" i="3"/>
  <c r="L666" i="3"/>
  <c r="L667" i="3"/>
  <c r="L668" i="3"/>
  <c r="L669" i="3"/>
  <c r="L670" i="3"/>
  <c r="L671" i="3"/>
  <c r="L672" i="3"/>
  <c r="L673" i="3"/>
  <c r="L674" i="3"/>
  <c r="L675" i="3"/>
  <c r="L676" i="3"/>
  <c r="L677" i="3"/>
  <c r="L678" i="3"/>
  <c r="L679" i="3"/>
  <c r="L680" i="3"/>
  <c r="L681" i="3"/>
  <c r="L682" i="3"/>
  <c r="L683" i="3"/>
  <c r="L684" i="3"/>
  <c r="L685" i="3"/>
  <c r="L686" i="3"/>
  <c r="L687" i="3"/>
  <c r="L688" i="3"/>
  <c r="L689" i="3"/>
  <c r="L690" i="3"/>
  <c r="L691" i="3"/>
  <c r="L692" i="3"/>
  <c r="L693" i="3"/>
  <c r="L694" i="3"/>
  <c r="L695" i="3"/>
  <c r="L696" i="3"/>
  <c r="L697" i="3"/>
  <c r="L698" i="3"/>
  <c r="L699" i="3"/>
  <c r="L700" i="3"/>
  <c r="L701" i="3"/>
  <c r="L702" i="3"/>
  <c r="L703" i="3"/>
  <c r="L704" i="3"/>
  <c r="L705" i="3"/>
  <c r="L706" i="3"/>
  <c r="L707" i="3"/>
  <c r="L708" i="3"/>
  <c r="L709" i="3"/>
  <c r="L710" i="3"/>
  <c r="L711" i="3"/>
  <c r="L712" i="3"/>
  <c r="L713" i="3"/>
  <c r="L714" i="3"/>
  <c r="L715" i="3"/>
  <c r="L716" i="3"/>
  <c r="L717" i="3"/>
  <c r="L718" i="3"/>
  <c r="L719" i="3"/>
  <c r="L720" i="3"/>
  <c r="L721" i="3"/>
  <c r="L722" i="3"/>
  <c r="L723" i="3"/>
  <c r="L724" i="3"/>
  <c r="L725" i="3"/>
  <c r="L726" i="3"/>
  <c r="L727" i="3"/>
  <c r="L728" i="3"/>
  <c r="L729" i="3"/>
  <c r="L730" i="3"/>
  <c r="L731" i="3"/>
  <c r="L732" i="3"/>
  <c r="L733" i="3"/>
  <c r="L734" i="3"/>
  <c r="L735" i="3"/>
  <c r="L736" i="3"/>
  <c r="L737" i="3"/>
  <c r="L738" i="3"/>
  <c r="L739" i="3"/>
  <c r="L740" i="3"/>
  <c r="L741" i="3"/>
  <c r="L742" i="3"/>
  <c r="L743" i="3"/>
  <c r="L744" i="3"/>
  <c r="L745" i="3"/>
  <c r="L746" i="3"/>
  <c r="L747" i="3"/>
  <c r="L748" i="3"/>
  <c r="L749" i="3"/>
  <c r="L750" i="3"/>
  <c r="L751" i="3"/>
  <c r="L752" i="3"/>
  <c r="L753" i="3"/>
  <c r="L754" i="3"/>
  <c r="L755" i="3"/>
  <c r="L756" i="3"/>
  <c r="L757" i="3"/>
  <c r="L758" i="3"/>
  <c r="L759" i="3"/>
  <c r="L760" i="3"/>
  <c r="L761" i="3"/>
  <c r="L762" i="3"/>
  <c r="L763" i="3"/>
  <c r="L764" i="3"/>
  <c r="L765" i="3"/>
  <c r="L766" i="3"/>
  <c r="L767" i="3"/>
  <c r="L768" i="3"/>
  <c r="L769" i="3"/>
  <c r="L770" i="3"/>
  <c r="L771" i="3"/>
  <c r="L772" i="3"/>
  <c r="L773" i="3"/>
  <c r="L774" i="3"/>
  <c r="L775" i="3"/>
  <c r="L776" i="3"/>
  <c r="L777" i="3"/>
  <c r="L778" i="3"/>
  <c r="L779" i="3"/>
  <c r="L780" i="3"/>
  <c r="L781" i="3"/>
  <c r="L782" i="3"/>
  <c r="L783" i="3"/>
  <c r="L784" i="3"/>
  <c r="L785" i="3"/>
  <c r="L786" i="3"/>
  <c r="L787" i="3"/>
  <c r="L788" i="3"/>
  <c r="L789" i="3"/>
  <c r="L790" i="3"/>
  <c r="L791" i="3"/>
  <c r="L792" i="3"/>
  <c r="L793" i="3"/>
  <c r="L794" i="3"/>
  <c r="L795" i="3"/>
  <c r="L796" i="3"/>
  <c r="L797" i="3"/>
  <c r="L798" i="3"/>
  <c r="L799" i="3"/>
  <c r="L800" i="3"/>
  <c r="L801" i="3"/>
  <c r="L802" i="3"/>
  <c r="L803" i="3"/>
  <c r="L804" i="3"/>
  <c r="L805" i="3"/>
  <c r="L806" i="3"/>
  <c r="L807" i="3"/>
  <c r="L808" i="3"/>
  <c r="L809" i="3"/>
  <c r="L810" i="3"/>
  <c r="L811" i="3"/>
  <c r="L812" i="3"/>
  <c r="L813" i="3"/>
  <c r="L814" i="3"/>
  <c r="L815" i="3"/>
  <c r="L816" i="3"/>
  <c r="L817" i="3"/>
  <c r="L818" i="3"/>
  <c r="L819" i="3"/>
  <c r="L820" i="3"/>
  <c r="L821" i="3"/>
  <c r="L822" i="3"/>
  <c r="L823" i="3"/>
  <c r="L824" i="3"/>
  <c r="L825" i="3"/>
  <c r="L826" i="3"/>
  <c r="L827" i="3"/>
  <c r="L828" i="3"/>
  <c r="L829" i="3"/>
  <c r="L830" i="3"/>
  <c r="L831" i="3"/>
  <c r="L832" i="3"/>
  <c r="L833" i="3"/>
  <c r="L834" i="3"/>
  <c r="L835" i="3"/>
  <c r="L836" i="3"/>
  <c r="L837" i="3"/>
  <c r="L838" i="3"/>
  <c r="L839" i="3"/>
  <c r="L840" i="3"/>
  <c r="L841" i="3"/>
  <c r="L842" i="3"/>
  <c r="L843" i="3"/>
  <c r="L844" i="3"/>
  <c r="L845" i="3"/>
  <c r="L846" i="3"/>
  <c r="L847" i="3"/>
  <c r="L848" i="3"/>
  <c r="L849" i="3"/>
  <c r="L850" i="3"/>
  <c r="L851" i="3"/>
  <c r="L852" i="3"/>
  <c r="L853" i="3"/>
  <c r="L854" i="3"/>
  <c r="L855" i="3"/>
  <c r="L856" i="3"/>
  <c r="L857" i="3"/>
  <c r="L858" i="3"/>
  <c r="L859" i="3"/>
  <c r="L860" i="3"/>
  <c r="L861" i="3"/>
  <c r="L862" i="3"/>
  <c r="L863" i="3"/>
  <c r="L864" i="3"/>
  <c r="L865" i="3"/>
  <c r="L866" i="3"/>
  <c r="L867" i="3"/>
  <c r="L868" i="3"/>
  <c r="L869" i="3"/>
  <c r="L870" i="3"/>
  <c r="L871" i="3"/>
  <c r="L872" i="3"/>
  <c r="L873" i="3"/>
  <c r="L874" i="3"/>
  <c r="L875" i="3"/>
  <c r="L876" i="3"/>
  <c r="L877" i="3"/>
  <c r="L878" i="3"/>
  <c r="L879" i="3"/>
  <c r="L880" i="3"/>
  <c r="L881" i="3"/>
  <c r="L882" i="3"/>
  <c r="L883" i="3"/>
  <c r="L884" i="3"/>
  <c r="L885" i="3"/>
  <c r="L886" i="3"/>
  <c r="L887" i="3"/>
  <c r="L888" i="3"/>
  <c r="L889" i="3"/>
  <c r="L890" i="3"/>
  <c r="L891" i="3"/>
  <c r="L892" i="3"/>
  <c r="L893" i="3"/>
  <c r="L894" i="3"/>
  <c r="L895" i="3"/>
  <c r="L896" i="3"/>
  <c r="L897" i="3"/>
  <c r="L898" i="3"/>
  <c r="L899" i="3"/>
  <c r="L900" i="3"/>
  <c r="L901" i="3"/>
  <c r="L902" i="3"/>
  <c r="L903" i="3"/>
  <c r="L904" i="3"/>
  <c r="L905" i="3"/>
  <c r="L906" i="3"/>
  <c r="L907" i="3"/>
  <c r="L908" i="3"/>
  <c r="L909" i="3"/>
  <c r="L910" i="3"/>
  <c r="L911" i="3"/>
  <c r="L912" i="3"/>
  <c r="L913" i="3"/>
  <c r="L914" i="3"/>
  <c r="L915" i="3"/>
  <c r="L916" i="3"/>
  <c r="L917" i="3"/>
  <c r="L918" i="3"/>
  <c r="L919" i="3"/>
  <c r="L920" i="3"/>
  <c r="L921" i="3"/>
  <c r="L922" i="3"/>
  <c r="L923" i="3"/>
  <c r="L924" i="3"/>
  <c r="L925" i="3"/>
  <c r="L926" i="3"/>
  <c r="L927" i="3"/>
  <c r="L928" i="3"/>
  <c r="L929" i="3"/>
  <c r="L930" i="3"/>
  <c r="L931" i="3"/>
  <c r="L932" i="3"/>
  <c r="L933" i="3"/>
  <c r="L934" i="3"/>
  <c r="L935" i="3"/>
  <c r="L936" i="3"/>
  <c r="L937" i="3"/>
  <c r="L938" i="3"/>
  <c r="L939" i="3"/>
  <c r="L940" i="3"/>
  <c r="L941" i="3"/>
  <c r="L942" i="3"/>
  <c r="L943" i="3"/>
  <c r="L944" i="3"/>
  <c r="L945" i="3"/>
  <c r="L946" i="3"/>
  <c r="L947" i="3"/>
  <c r="L948" i="3"/>
  <c r="L949" i="3"/>
  <c r="L950" i="3"/>
  <c r="L951" i="3"/>
  <c r="L952" i="3"/>
  <c r="L953" i="3"/>
  <c r="L954" i="3"/>
  <c r="L955" i="3"/>
  <c r="L956" i="3"/>
  <c r="L957" i="3"/>
  <c r="L958" i="3"/>
  <c r="L959" i="3"/>
  <c r="L960" i="3"/>
  <c r="L961" i="3"/>
  <c r="L962" i="3"/>
  <c r="L963" i="3"/>
  <c r="L964" i="3"/>
  <c r="L965" i="3"/>
  <c r="L966" i="3"/>
  <c r="L967" i="3"/>
  <c r="L968" i="3"/>
  <c r="L969" i="3"/>
  <c r="L970" i="3"/>
  <c r="L971" i="3"/>
  <c r="L972" i="3"/>
  <c r="L973" i="3"/>
  <c r="L974" i="3"/>
  <c r="L975" i="3"/>
  <c r="L976" i="3"/>
  <c r="L977" i="3"/>
  <c r="L978" i="3"/>
  <c r="L979" i="3"/>
  <c r="L980" i="3"/>
  <c r="L981" i="3"/>
  <c r="L982" i="3"/>
  <c r="L983" i="3"/>
  <c r="L984" i="3"/>
  <c r="L985" i="3"/>
  <c r="L986" i="3"/>
  <c r="L987" i="3"/>
  <c r="L988" i="3"/>
  <c r="L989" i="3"/>
  <c r="L990" i="3"/>
  <c r="L991" i="3"/>
  <c r="L992" i="3"/>
  <c r="L993" i="3"/>
  <c r="L994" i="3"/>
  <c r="L995" i="3"/>
  <c r="L996" i="3"/>
  <c r="L997" i="3"/>
  <c r="L998" i="3"/>
  <c r="L999" i="3"/>
  <c r="L1000" i="3"/>
  <c r="L1001" i="3"/>
  <c r="L1002" i="3"/>
  <c r="L1003" i="3"/>
  <c r="L1004" i="3"/>
  <c r="L1005" i="3"/>
  <c r="L1006" i="3"/>
  <c r="L1007" i="3"/>
  <c r="L1008" i="3"/>
  <c r="L1009" i="3"/>
  <c r="L1010" i="3"/>
  <c r="L1011" i="3"/>
  <c r="L1012" i="3"/>
  <c r="L1013" i="3"/>
  <c r="L1014" i="3"/>
  <c r="L1015" i="3"/>
  <c r="L1016" i="3"/>
  <c r="L1017" i="3"/>
  <c r="L1018" i="3"/>
  <c r="L1019" i="3"/>
  <c r="L1020" i="3"/>
  <c r="L1021" i="3"/>
  <c r="L1022" i="3"/>
  <c r="L1023" i="3"/>
  <c r="L1024" i="3"/>
  <c r="L1025" i="3"/>
  <c r="L1026" i="3"/>
  <c r="L1027" i="3"/>
  <c r="L1028" i="3"/>
  <c r="L1029" i="3"/>
  <c r="L1030" i="3"/>
  <c r="L1031" i="3"/>
  <c r="L1032" i="3"/>
  <c r="L1033" i="3"/>
  <c r="L1034" i="3"/>
  <c r="L1035" i="3"/>
  <c r="L1036" i="3"/>
  <c r="L1037" i="3"/>
  <c r="L1038" i="3"/>
  <c r="L1039" i="3"/>
  <c r="L1040" i="3"/>
  <c r="L1041" i="3"/>
  <c r="L1042" i="3"/>
  <c r="L1043" i="3"/>
  <c r="L1044" i="3"/>
  <c r="L1045" i="3"/>
  <c r="L1046" i="3"/>
  <c r="L1047" i="3"/>
  <c r="L1048" i="3"/>
  <c r="L1049" i="3"/>
  <c r="L1050" i="3"/>
  <c r="L1051" i="3"/>
  <c r="L1052" i="3"/>
  <c r="L1053" i="3"/>
  <c r="L1054" i="3"/>
  <c r="L1055" i="3"/>
  <c r="L1056" i="3"/>
  <c r="L1057" i="3"/>
  <c r="L1058" i="3"/>
  <c r="L1059" i="3"/>
  <c r="L1060" i="3"/>
  <c r="L1061" i="3"/>
  <c r="L1062" i="3"/>
  <c r="L1063" i="3"/>
  <c r="L1064" i="3"/>
  <c r="L1065" i="3"/>
  <c r="L1066" i="3"/>
  <c r="L1067" i="3"/>
  <c r="L1068" i="3"/>
  <c r="L1069" i="3"/>
  <c r="L1070" i="3"/>
  <c r="L1071" i="3"/>
  <c r="L1072" i="3"/>
  <c r="L1073" i="3"/>
  <c r="L1074" i="3"/>
  <c r="L1075" i="3"/>
  <c r="L1076" i="3"/>
  <c r="L1077" i="3"/>
  <c r="L1078" i="3"/>
  <c r="L1079" i="3"/>
  <c r="L1080" i="3"/>
  <c r="L1081" i="3"/>
  <c r="L1082" i="3"/>
  <c r="L1083" i="3"/>
  <c r="L1084" i="3"/>
  <c r="L1085" i="3"/>
  <c r="L1086" i="3"/>
  <c r="L1087" i="3"/>
  <c r="L1088" i="3"/>
  <c r="L1089" i="3"/>
  <c r="L1090" i="3"/>
  <c r="L1091" i="3"/>
  <c r="L1092" i="3"/>
  <c r="L1093" i="3"/>
  <c r="L1094" i="3"/>
  <c r="L1095" i="3"/>
  <c r="L1096" i="3"/>
  <c r="L1097" i="3"/>
  <c r="L1098" i="3"/>
  <c r="L1099" i="3"/>
  <c r="L1100" i="3"/>
  <c r="L1101" i="3"/>
  <c r="L1102" i="3"/>
  <c r="L1103" i="3"/>
  <c r="L1104" i="3"/>
  <c r="L1105" i="3"/>
  <c r="L1106" i="3"/>
  <c r="L1107" i="3"/>
  <c r="L1108" i="3"/>
  <c r="L1109" i="3"/>
  <c r="L1110" i="3"/>
  <c r="L1111" i="3"/>
  <c r="L1112" i="3"/>
  <c r="L1113" i="3"/>
  <c r="L1114" i="3"/>
  <c r="L1115" i="3"/>
  <c r="L1116" i="3"/>
  <c r="L1117" i="3"/>
  <c r="L1118" i="3"/>
  <c r="L1119" i="3"/>
  <c r="L1120" i="3"/>
  <c r="L1121" i="3"/>
  <c r="L1122" i="3"/>
  <c r="L1123" i="3"/>
  <c r="L1124" i="3"/>
  <c r="L1125" i="3"/>
  <c r="L1126" i="3"/>
  <c r="L1127" i="3"/>
  <c r="L1128" i="3"/>
  <c r="L1129" i="3"/>
  <c r="L1130" i="3"/>
  <c r="L1131" i="3"/>
  <c r="L1132" i="3"/>
  <c r="L1133" i="3"/>
  <c r="L1134" i="3"/>
  <c r="L1135" i="3"/>
  <c r="L1136" i="3"/>
  <c r="L1137" i="3"/>
  <c r="L1138" i="3"/>
  <c r="L1139" i="3"/>
  <c r="L1140" i="3"/>
  <c r="L1141" i="3"/>
  <c r="L1142" i="3"/>
  <c r="L1143" i="3"/>
  <c r="L1144" i="3"/>
  <c r="L1145" i="3"/>
  <c r="L1146" i="3"/>
  <c r="L1147" i="3"/>
  <c r="L1148" i="3"/>
  <c r="L1149" i="3"/>
  <c r="L1150" i="3"/>
  <c r="L1151" i="3"/>
  <c r="L1152" i="3"/>
  <c r="L1153" i="3"/>
  <c r="L1154" i="3"/>
  <c r="L1155" i="3"/>
  <c r="L1156" i="3"/>
  <c r="L1157" i="3"/>
  <c r="L1158" i="3"/>
  <c r="L1159" i="3"/>
  <c r="L1160" i="3"/>
  <c r="L1161" i="3"/>
  <c r="L1162" i="3"/>
  <c r="L1163" i="3"/>
  <c r="L1164" i="3"/>
  <c r="L1165" i="3"/>
  <c r="L1166" i="3"/>
  <c r="L1167" i="3"/>
  <c r="L1168" i="3"/>
  <c r="L1169" i="3"/>
  <c r="L1170" i="3"/>
  <c r="L1171" i="3"/>
  <c r="L1172" i="3"/>
  <c r="L1173" i="3"/>
  <c r="L1174" i="3"/>
  <c r="L1175" i="3"/>
  <c r="L1176" i="3"/>
  <c r="L1177" i="3"/>
  <c r="L1178" i="3"/>
  <c r="L1179" i="3"/>
  <c r="L1180" i="3"/>
  <c r="L1181" i="3"/>
  <c r="L1182" i="3"/>
  <c r="L1183" i="3"/>
  <c r="L1184" i="3"/>
  <c r="L1185" i="3"/>
  <c r="L1186" i="3"/>
  <c r="L1187" i="3"/>
  <c r="L1188" i="3"/>
  <c r="L1189" i="3"/>
  <c r="L1190" i="3"/>
  <c r="L1191" i="3"/>
  <c r="L1192" i="3"/>
  <c r="L1193" i="3"/>
  <c r="L1194" i="3"/>
  <c r="L1195" i="3"/>
  <c r="L1196" i="3"/>
  <c r="L1197" i="3"/>
  <c r="L1198" i="3"/>
  <c r="L1199" i="3"/>
  <c r="L1200" i="3"/>
  <c r="L1201" i="3"/>
  <c r="L1202" i="3"/>
  <c r="L1203" i="3"/>
  <c r="L1204" i="3"/>
  <c r="L1205" i="3"/>
  <c r="L1206" i="3"/>
  <c r="L1207" i="3"/>
  <c r="L1208" i="3"/>
  <c r="L1209" i="3"/>
  <c r="L1210" i="3"/>
  <c r="L1211" i="3"/>
  <c r="L1212" i="3"/>
  <c r="L1213" i="3"/>
  <c r="L1214" i="3"/>
  <c r="L1215" i="3"/>
  <c r="L1216" i="3"/>
  <c r="L1217" i="3"/>
  <c r="L1218" i="3"/>
  <c r="L1219" i="3"/>
  <c r="L1220" i="3"/>
  <c r="L1221" i="3"/>
  <c r="L1222" i="3"/>
  <c r="L1223" i="3"/>
  <c r="L1224" i="3"/>
  <c r="L1225" i="3"/>
  <c r="L1226" i="3"/>
  <c r="L1227" i="3"/>
  <c r="L1228" i="3"/>
  <c r="L1229" i="3"/>
  <c r="L1230" i="3"/>
  <c r="L1231" i="3"/>
  <c r="L1232" i="3"/>
  <c r="L1233" i="3"/>
  <c r="L1234" i="3"/>
  <c r="L1235" i="3"/>
  <c r="L1236" i="3"/>
  <c r="L1237" i="3"/>
  <c r="L1238" i="3"/>
  <c r="L1239" i="3"/>
  <c r="L1240" i="3"/>
  <c r="L1241" i="3"/>
  <c r="L1242" i="3"/>
  <c r="L1243" i="3"/>
  <c r="L1244" i="3"/>
  <c r="L1245" i="3"/>
  <c r="L1246" i="3"/>
  <c r="L1247" i="3"/>
  <c r="L1248" i="3"/>
  <c r="L1249" i="3"/>
  <c r="L1250" i="3"/>
  <c r="L1251" i="3"/>
  <c r="L1252" i="3"/>
  <c r="L1253" i="3"/>
  <c r="L1254" i="3"/>
  <c r="L1255" i="3"/>
  <c r="L1256" i="3"/>
  <c r="L1257" i="3"/>
  <c r="L1258" i="3"/>
  <c r="L1259" i="3"/>
  <c r="L1260" i="3"/>
  <c r="L1261" i="3"/>
  <c r="L1262" i="3"/>
  <c r="L1263" i="3"/>
  <c r="L1264" i="3"/>
  <c r="L1265" i="3"/>
  <c r="L1266" i="3"/>
  <c r="L1267" i="3"/>
  <c r="L1268" i="3"/>
  <c r="L1269" i="3"/>
  <c r="L1270" i="3"/>
  <c r="L1271" i="3"/>
  <c r="L1272" i="3"/>
  <c r="L1273" i="3"/>
  <c r="L1274" i="3"/>
  <c r="L1275" i="3"/>
  <c r="L1276" i="3"/>
  <c r="L1277" i="3"/>
  <c r="L1278" i="3"/>
  <c r="L1279" i="3"/>
  <c r="L1280" i="3"/>
  <c r="L1281" i="3"/>
  <c r="L1282" i="3"/>
  <c r="L1283" i="3"/>
  <c r="L1284" i="3"/>
  <c r="L1285" i="3"/>
  <c r="L1286" i="3"/>
  <c r="L1287" i="3"/>
  <c r="L1288" i="3"/>
  <c r="L1289" i="3"/>
  <c r="L1290" i="3"/>
  <c r="L1291" i="3"/>
  <c r="L1292" i="3"/>
  <c r="L1293" i="3"/>
  <c r="L1294" i="3"/>
  <c r="L1295" i="3"/>
  <c r="L1296" i="3"/>
  <c r="L1297" i="3"/>
  <c r="L1298" i="3"/>
  <c r="L1299" i="3"/>
  <c r="L1300" i="3"/>
  <c r="L1301" i="3"/>
  <c r="L1302" i="3"/>
  <c r="L1303" i="3"/>
  <c r="L1304" i="3"/>
  <c r="L1305" i="3"/>
  <c r="L1306" i="3"/>
  <c r="L1307" i="3"/>
  <c r="L1308" i="3"/>
  <c r="L1309" i="3"/>
  <c r="L1310" i="3"/>
  <c r="L1311" i="3"/>
  <c r="L1312" i="3"/>
  <c r="L1313" i="3"/>
  <c r="L1314" i="3"/>
  <c r="L1315" i="3"/>
  <c r="L1316" i="3"/>
  <c r="L1317" i="3"/>
  <c r="L1318" i="3"/>
  <c r="L1319" i="3"/>
  <c r="L1320" i="3"/>
  <c r="L1321" i="3"/>
  <c r="L1322" i="3"/>
  <c r="L1323" i="3"/>
  <c r="L1324" i="3"/>
  <c r="L1325" i="3"/>
  <c r="L1326" i="3"/>
  <c r="L1327" i="3"/>
  <c r="L1328" i="3"/>
  <c r="L1329" i="3"/>
  <c r="L1330" i="3"/>
  <c r="L1331" i="3"/>
  <c r="L1332" i="3"/>
  <c r="L1333" i="3"/>
  <c r="L1334" i="3"/>
  <c r="L1335" i="3"/>
  <c r="L1336" i="3"/>
  <c r="L1337" i="3"/>
  <c r="L1338" i="3"/>
  <c r="L1339" i="3"/>
  <c r="L1340" i="3"/>
  <c r="L1341" i="3"/>
  <c r="L1342" i="3"/>
  <c r="L1343" i="3"/>
  <c r="L1344" i="3"/>
  <c r="L1345" i="3"/>
  <c r="L1346" i="3"/>
  <c r="L1347" i="3"/>
  <c r="L1348" i="3"/>
  <c r="L1349" i="3"/>
  <c r="L1350" i="3"/>
  <c r="L1351" i="3"/>
  <c r="L1352" i="3"/>
  <c r="L1353" i="3"/>
  <c r="L1354" i="3"/>
  <c r="L1355" i="3"/>
  <c r="L1356" i="3"/>
  <c r="L1357" i="3"/>
  <c r="L1358" i="3"/>
  <c r="L1359" i="3"/>
  <c r="L1360" i="3"/>
  <c r="L1361" i="3"/>
  <c r="L1362" i="3"/>
  <c r="L1363" i="3"/>
  <c r="L1364" i="3"/>
  <c r="L1365" i="3"/>
  <c r="L1366" i="3"/>
  <c r="L1367" i="3"/>
  <c r="L1368" i="3"/>
  <c r="L1369" i="3"/>
  <c r="L1370" i="3"/>
  <c r="L1371" i="3"/>
  <c r="L1372" i="3"/>
  <c r="L1373" i="3"/>
  <c r="L1374" i="3"/>
  <c r="L1375" i="3"/>
  <c r="L1376" i="3"/>
  <c r="L1377" i="3"/>
  <c r="L1378" i="3"/>
  <c r="L1379" i="3"/>
  <c r="L1380" i="3"/>
  <c r="L1381" i="3"/>
  <c r="L1382" i="3"/>
  <c r="L1383" i="3"/>
  <c r="L1384" i="3"/>
  <c r="L1385" i="3"/>
  <c r="L1386" i="3"/>
  <c r="L1387" i="3"/>
  <c r="L1388" i="3"/>
  <c r="L1389" i="3"/>
  <c r="L1390" i="3"/>
  <c r="L1391" i="3"/>
  <c r="L1392" i="3"/>
  <c r="L1393" i="3"/>
  <c r="L1394" i="3"/>
  <c r="L1395" i="3"/>
  <c r="L1396" i="3"/>
  <c r="L1397" i="3"/>
  <c r="L1398" i="3"/>
  <c r="L1399" i="3"/>
  <c r="L1400" i="3"/>
  <c r="L1401" i="3"/>
  <c r="L1402" i="3"/>
  <c r="L1403" i="3"/>
  <c r="L1404" i="3"/>
  <c r="L1405" i="3"/>
  <c r="L1406" i="3"/>
  <c r="L1407" i="3"/>
  <c r="L1408" i="3"/>
  <c r="L1409" i="3"/>
  <c r="L1410" i="3"/>
  <c r="L1411" i="3"/>
  <c r="L1412" i="3"/>
  <c r="L1413" i="3"/>
  <c r="L1414" i="3"/>
  <c r="L1415" i="3"/>
  <c r="L1416" i="3"/>
  <c r="L1417" i="3"/>
  <c r="L1418" i="3"/>
  <c r="L1419" i="3"/>
  <c r="L1420" i="3"/>
  <c r="L1421" i="3"/>
  <c r="L1422" i="3"/>
  <c r="L1423" i="3"/>
  <c r="L1424" i="3"/>
  <c r="L1425" i="3"/>
  <c r="L1426" i="3"/>
  <c r="L1427" i="3"/>
  <c r="L1428" i="3"/>
  <c r="L1429" i="3"/>
  <c r="L1430" i="3"/>
  <c r="L1431" i="3"/>
  <c r="L1432" i="3"/>
  <c r="L1433" i="3"/>
  <c r="L1434" i="3"/>
  <c r="L1435" i="3"/>
  <c r="L1436" i="3"/>
  <c r="L1437" i="3"/>
  <c r="L1438" i="3"/>
  <c r="L1439" i="3"/>
  <c r="L1440" i="3"/>
  <c r="L1441" i="3"/>
  <c r="L1442" i="3"/>
  <c r="L1443" i="3"/>
  <c r="L1444" i="3"/>
  <c r="L1445" i="3"/>
  <c r="L1446" i="3"/>
  <c r="L1447" i="3"/>
  <c r="L1448" i="3"/>
  <c r="L1449" i="3"/>
  <c r="L1450" i="3"/>
  <c r="L1451" i="3"/>
  <c r="L1452" i="3"/>
  <c r="L1453" i="3"/>
  <c r="L1454" i="3"/>
  <c r="L1455" i="3"/>
  <c r="L1456" i="3"/>
  <c r="L1457" i="3"/>
  <c r="L1458" i="3"/>
  <c r="L1459" i="3"/>
  <c r="L1460" i="3"/>
  <c r="L1461" i="3"/>
  <c r="L1462" i="3"/>
  <c r="L1463" i="3"/>
  <c r="L1464" i="3"/>
  <c r="L1465" i="3"/>
  <c r="L1466" i="3"/>
  <c r="L1467" i="3"/>
  <c r="L1468" i="3"/>
  <c r="L1469" i="3"/>
  <c r="L1470" i="3"/>
  <c r="L1471" i="3"/>
  <c r="L1472" i="3"/>
  <c r="L1473" i="3"/>
  <c r="L1474" i="3"/>
  <c r="L1475" i="3"/>
  <c r="L1476" i="3"/>
  <c r="L1477" i="3"/>
  <c r="L1478" i="3"/>
  <c r="L1479" i="3"/>
  <c r="L1480" i="3"/>
  <c r="L1481" i="3"/>
  <c r="L1482" i="3"/>
  <c r="L1483" i="3"/>
  <c r="L1484" i="3"/>
  <c r="L1485" i="3"/>
  <c r="L1486" i="3"/>
  <c r="L1487" i="3"/>
  <c r="L1488" i="3"/>
  <c r="L1489" i="3"/>
  <c r="L1490" i="3"/>
  <c r="L1491" i="3"/>
  <c r="L1492" i="3"/>
  <c r="L1493" i="3"/>
  <c r="L1494" i="3"/>
  <c r="L1495" i="3"/>
  <c r="L1496" i="3"/>
  <c r="L1497" i="3"/>
  <c r="L1498" i="3"/>
  <c r="L1499" i="3"/>
  <c r="L1500" i="3"/>
  <c r="L1501" i="3"/>
  <c r="L1502" i="3"/>
  <c r="L1503" i="3"/>
  <c r="L1504" i="3"/>
  <c r="L1505" i="3"/>
  <c r="L1506" i="3"/>
  <c r="L1507" i="3"/>
  <c r="L1508" i="3"/>
  <c r="L1509" i="3"/>
  <c r="L1510" i="3"/>
  <c r="L1511" i="3"/>
  <c r="L1512" i="3"/>
  <c r="L1513" i="3"/>
  <c r="L1514" i="3"/>
  <c r="L1515" i="3"/>
  <c r="L1516" i="3"/>
  <c r="L1517" i="3"/>
  <c r="L1518" i="3"/>
  <c r="L1519" i="3"/>
  <c r="L1520" i="3"/>
  <c r="L1521" i="3"/>
  <c r="L1522" i="3"/>
  <c r="L1523" i="3"/>
  <c r="L1524" i="3"/>
  <c r="L1525" i="3"/>
  <c r="L1526" i="3"/>
  <c r="L1527" i="3"/>
  <c r="L1528" i="3"/>
  <c r="L1529" i="3"/>
  <c r="L1530" i="3"/>
  <c r="L1531" i="3"/>
  <c r="L1532" i="3"/>
  <c r="L1533" i="3"/>
  <c r="L1534" i="3"/>
  <c r="L1535" i="3"/>
  <c r="L1536" i="3"/>
  <c r="L1537" i="3"/>
  <c r="L1538" i="3"/>
  <c r="L1539" i="3"/>
  <c r="L1540" i="3"/>
  <c r="L1541" i="3"/>
  <c r="L1542" i="3"/>
  <c r="L1543" i="3"/>
  <c r="L1544" i="3"/>
  <c r="L1545" i="3"/>
  <c r="L1546" i="3"/>
  <c r="L1547" i="3"/>
  <c r="L1548" i="3"/>
  <c r="L1549" i="3"/>
  <c r="L1550" i="3"/>
  <c r="L1551" i="3"/>
  <c r="L1552" i="3"/>
  <c r="L1553" i="3"/>
  <c r="L1554" i="3"/>
  <c r="L1555" i="3"/>
  <c r="L1556" i="3"/>
  <c r="L1557" i="3"/>
  <c r="L1558" i="3"/>
  <c r="L1559" i="3"/>
  <c r="L1560" i="3"/>
  <c r="L1561" i="3"/>
  <c r="L1562" i="3"/>
  <c r="L1563" i="3"/>
  <c r="L1564" i="3"/>
  <c r="L1565" i="3"/>
  <c r="L1566" i="3"/>
  <c r="L1567" i="3"/>
  <c r="L1568" i="3"/>
  <c r="L1569" i="3"/>
  <c r="L1570" i="3"/>
  <c r="L1571" i="3"/>
  <c r="L1572" i="3"/>
  <c r="L1573" i="3"/>
  <c r="L1574" i="3"/>
  <c r="L1575" i="3"/>
  <c r="L1576" i="3"/>
  <c r="L1577" i="3"/>
  <c r="L1578" i="3"/>
  <c r="L1579" i="3"/>
  <c r="L1580" i="3"/>
  <c r="L1581" i="3"/>
  <c r="L1582" i="3"/>
  <c r="L1583" i="3"/>
  <c r="L1584" i="3"/>
  <c r="L1585" i="3"/>
  <c r="L1586" i="3"/>
  <c r="L1587" i="3"/>
  <c r="L1588" i="3"/>
  <c r="L1589" i="3"/>
  <c r="L1590" i="3"/>
  <c r="L1591" i="3"/>
  <c r="L1592" i="3"/>
  <c r="L1593" i="3"/>
  <c r="L1594" i="3"/>
  <c r="L1595" i="3"/>
  <c r="L1596" i="3"/>
  <c r="L1597" i="3"/>
  <c r="L1598" i="3"/>
  <c r="L1599" i="3"/>
  <c r="L1600" i="3"/>
  <c r="L1601" i="3"/>
  <c r="L1602" i="3"/>
  <c r="L1603" i="3"/>
  <c r="L1604" i="3"/>
  <c r="L1605" i="3"/>
  <c r="L1606" i="3"/>
  <c r="L1607" i="3"/>
  <c r="L1608" i="3"/>
  <c r="L1609" i="3"/>
  <c r="L1610" i="3"/>
  <c r="L1611" i="3"/>
  <c r="L1612" i="3"/>
  <c r="L1613" i="3"/>
  <c r="L1614" i="3"/>
  <c r="L1615" i="3"/>
  <c r="L1616" i="3"/>
  <c r="L1617" i="3"/>
  <c r="L1618" i="3"/>
  <c r="L1619" i="3"/>
  <c r="L1620" i="3"/>
  <c r="L1621" i="3"/>
  <c r="L1622" i="3"/>
  <c r="L1623" i="3"/>
  <c r="L1624" i="3"/>
  <c r="L1625" i="3"/>
  <c r="L1626" i="3"/>
  <c r="L1627" i="3"/>
  <c r="L1628" i="3"/>
  <c r="L1629" i="3"/>
  <c r="L1630" i="3"/>
  <c r="L1631" i="3"/>
  <c r="L1632" i="3"/>
  <c r="L1633" i="3"/>
  <c r="L1634" i="3"/>
  <c r="L1635" i="3"/>
  <c r="L1636" i="3"/>
  <c r="L1637" i="3"/>
  <c r="L1638" i="3"/>
  <c r="L1639" i="3"/>
  <c r="L1640" i="3"/>
  <c r="L1641" i="3"/>
  <c r="L1642" i="3"/>
  <c r="L1643" i="3"/>
  <c r="L1644" i="3"/>
  <c r="L1645" i="3"/>
  <c r="L1646" i="3"/>
  <c r="L1647" i="3"/>
  <c r="L1648" i="3"/>
  <c r="L1649" i="3"/>
  <c r="L1650" i="3"/>
  <c r="L1651" i="3"/>
  <c r="L1652" i="3"/>
  <c r="L1653" i="3"/>
  <c r="L1654" i="3"/>
  <c r="L1655" i="3"/>
  <c r="L1656" i="3"/>
  <c r="L1657" i="3"/>
  <c r="L1658" i="3"/>
  <c r="L1659" i="3"/>
  <c r="L1660" i="3"/>
  <c r="L1661" i="3"/>
  <c r="L1662" i="3"/>
  <c r="L1663" i="3"/>
  <c r="L1664" i="3"/>
  <c r="L1665" i="3"/>
  <c r="L1666" i="3"/>
  <c r="L1667" i="3"/>
  <c r="L1668" i="3"/>
  <c r="L1669" i="3"/>
  <c r="L1670" i="3"/>
  <c r="L1671" i="3"/>
  <c r="L1672" i="3"/>
  <c r="L1673" i="3"/>
  <c r="L1674" i="3"/>
  <c r="L1675" i="3"/>
  <c r="L1676" i="3"/>
  <c r="L1677" i="3"/>
  <c r="L1678" i="3"/>
  <c r="L1679" i="3"/>
  <c r="L1680" i="3"/>
  <c r="L1681" i="3"/>
  <c r="L1682" i="3"/>
  <c r="L1683" i="3"/>
  <c r="L1684" i="3"/>
  <c r="L1685" i="3"/>
  <c r="L1686" i="3"/>
  <c r="L1687" i="3"/>
  <c r="L1688" i="3"/>
  <c r="L1689" i="3"/>
  <c r="L1690" i="3"/>
  <c r="L1691" i="3"/>
  <c r="L1692" i="3"/>
  <c r="L1693" i="3"/>
  <c r="L1694" i="3"/>
  <c r="L1695" i="3"/>
  <c r="L1696" i="3"/>
  <c r="L1697" i="3"/>
  <c r="L1698" i="3"/>
  <c r="L1699" i="3"/>
  <c r="L1700" i="3"/>
  <c r="L1701" i="3"/>
  <c r="L1702" i="3"/>
  <c r="L1703" i="3"/>
  <c r="L1704" i="3"/>
  <c r="L1705" i="3"/>
  <c r="L1706" i="3"/>
  <c r="L1707" i="3"/>
  <c r="L1708" i="3"/>
  <c r="L1709" i="3"/>
  <c r="L1710" i="3"/>
  <c r="L1711" i="3"/>
  <c r="L1712" i="3"/>
  <c r="L1713" i="3"/>
  <c r="L1714" i="3"/>
  <c r="L1715" i="3"/>
  <c r="L1716" i="3"/>
  <c r="L1717" i="3"/>
  <c r="L1718" i="3"/>
  <c r="L1719" i="3"/>
  <c r="L1720" i="3"/>
  <c r="L1721" i="3"/>
  <c r="L1722" i="3"/>
  <c r="L1723" i="3"/>
  <c r="L1724" i="3"/>
  <c r="L1725" i="3"/>
  <c r="L1726" i="3"/>
  <c r="L1727" i="3"/>
  <c r="L1728" i="3"/>
  <c r="L1729" i="3"/>
  <c r="L1730" i="3"/>
  <c r="L1731" i="3"/>
  <c r="L1732" i="3"/>
  <c r="L1733" i="3"/>
  <c r="L1734" i="3"/>
  <c r="L1735" i="3"/>
  <c r="L1736" i="3"/>
  <c r="L1737" i="3"/>
  <c r="L1738" i="3"/>
  <c r="L1739" i="3"/>
  <c r="L1740" i="3"/>
  <c r="L1741" i="3"/>
  <c r="L1742" i="3"/>
  <c r="L1743" i="3"/>
  <c r="L1744" i="3"/>
  <c r="L1745" i="3"/>
  <c r="L1746" i="3"/>
  <c r="L1747" i="3"/>
  <c r="L1748" i="3"/>
  <c r="L1749" i="3"/>
  <c r="L1750" i="3"/>
  <c r="L1751" i="3"/>
  <c r="L1752" i="3"/>
  <c r="L1753" i="3"/>
  <c r="L1754" i="3"/>
  <c r="L1755" i="3"/>
  <c r="L1756" i="3"/>
  <c r="L1757" i="3"/>
  <c r="L1758" i="3"/>
  <c r="L1759" i="3"/>
  <c r="L1760" i="3"/>
  <c r="L1761" i="3"/>
  <c r="L1762" i="3"/>
  <c r="L1763" i="3"/>
  <c r="L1764" i="3"/>
  <c r="L1765" i="3"/>
  <c r="L1766" i="3"/>
  <c r="L1767" i="3"/>
  <c r="L1768" i="3"/>
  <c r="L1769" i="3"/>
  <c r="L1770" i="3"/>
  <c r="L1771" i="3"/>
  <c r="L1772" i="3"/>
  <c r="L1773" i="3"/>
  <c r="L1774" i="3"/>
  <c r="L1775" i="3"/>
  <c r="L1776" i="3"/>
  <c r="L1777" i="3"/>
  <c r="L1778" i="3"/>
  <c r="L1779" i="3"/>
  <c r="L1780" i="3"/>
  <c r="L1781" i="3"/>
  <c r="L1782" i="3"/>
  <c r="L1783" i="3"/>
  <c r="L1784" i="3"/>
  <c r="L1785" i="3"/>
  <c r="L1786" i="3"/>
  <c r="L1787" i="3"/>
  <c r="L1788" i="3"/>
  <c r="L1789" i="3"/>
  <c r="L1790" i="3"/>
  <c r="L1791" i="3"/>
  <c r="L1792" i="3"/>
  <c r="L1793" i="3"/>
  <c r="L1794" i="3"/>
  <c r="L1795" i="3"/>
  <c r="L1796" i="3"/>
  <c r="L1797" i="3"/>
  <c r="L1798" i="3"/>
  <c r="L1799" i="3"/>
  <c r="L1800" i="3"/>
  <c r="L1801" i="3"/>
  <c r="L1802" i="3"/>
  <c r="L1803" i="3"/>
  <c r="L1804" i="3"/>
  <c r="L1805" i="3"/>
  <c r="L1806" i="3"/>
  <c r="L1807" i="3"/>
  <c r="L1808" i="3"/>
  <c r="L1809" i="3"/>
  <c r="L1810" i="3"/>
  <c r="L1811" i="3"/>
  <c r="L1812" i="3"/>
  <c r="L1813" i="3"/>
  <c r="L1814" i="3"/>
  <c r="L1815" i="3"/>
  <c r="L1816" i="3"/>
  <c r="L1817" i="3"/>
  <c r="L1818" i="3"/>
  <c r="L1819" i="3"/>
  <c r="L1820" i="3"/>
  <c r="L1821" i="3"/>
  <c r="L1822" i="3"/>
  <c r="L1823" i="3"/>
  <c r="L1824" i="3"/>
  <c r="L1825" i="3"/>
  <c r="L1826" i="3"/>
  <c r="L1827" i="3"/>
  <c r="L1828" i="3"/>
  <c r="L1829" i="3"/>
  <c r="L1830" i="3"/>
  <c r="L1831" i="3"/>
  <c r="L1832" i="3"/>
  <c r="L1833" i="3"/>
  <c r="L1834" i="3"/>
  <c r="L1835" i="3"/>
  <c r="L1836" i="3"/>
  <c r="L1837" i="3"/>
  <c r="L1838" i="3"/>
  <c r="L1839" i="3"/>
  <c r="L1840" i="3"/>
  <c r="L1841" i="3"/>
  <c r="L1842" i="3"/>
  <c r="L1843" i="3"/>
  <c r="L1844" i="3"/>
  <c r="L1845" i="3"/>
  <c r="L1846" i="3"/>
  <c r="L1847" i="3"/>
  <c r="L1848" i="3"/>
  <c r="L1849" i="3"/>
  <c r="L1850" i="3"/>
  <c r="L1851" i="3"/>
  <c r="L1852" i="3"/>
  <c r="L1853" i="3"/>
  <c r="L1854" i="3"/>
  <c r="L1855" i="3"/>
  <c r="L1856" i="3"/>
  <c r="L1857" i="3"/>
  <c r="L1858" i="3"/>
  <c r="L1859" i="3"/>
  <c r="L1860" i="3"/>
  <c r="L1861" i="3"/>
  <c r="L1862" i="3"/>
  <c r="L1863" i="3"/>
  <c r="L1864" i="3"/>
  <c r="L1865" i="3"/>
  <c r="L1866" i="3"/>
  <c r="L1867" i="3"/>
  <c r="L1868" i="3"/>
  <c r="L1869" i="3"/>
  <c r="L1870" i="3"/>
  <c r="L1871" i="3"/>
  <c r="L1872" i="3"/>
  <c r="L1873" i="3"/>
  <c r="L1874" i="3"/>
  <c r="L1875" i="3"/>
  <c r="L1876" i="3"/>
  <c r="L1877" i="3"/>
  <c r="L1878" i="3"/>
  <c r="L1879" i="3"/>
  <c r="L1880" i="3"/>
  <c r="L1881" i="3"/>
  <c r="L1882" i="3"/>
  <c r="L1883" i="3"/>
  <c r="L1884" i="3"/>
  <c r="L1885" i="3"/>
  <c r="L1886" i="3"/>
  <c r="L1887" i="3"/>
  <c r="L1888" i="3"/>
  <c r="L1889" i="3"/>
  <c r="L1890" i="3"/>
  <c r="L1891" i="3"/>
  <c r="L1892" i="3"/>
  <c r="L1893" i="3"/>
  <c r="L1894" i="3"/>
  <c r="L1895" i="3"/>
  <c r="L1896" i="3"/>
  <c r="L1897" i="3"/>
  <c r="L1898" i="3"/>
  <c r="L1899" i="3"/>
  <c r="L1900" i="3"/>
  <c r="L1901" i="3"/>
  <c r="L1902" i="3"/>
  <c r="L1903" i="3"/>
  <c r="L1904" i="3"/>
  <c r="L1905" i="3"/>
  <c r="L1906" i="3"/>
  <c r="L1907" i="3"/>
  <c r="L1908" i="3"/>
  <c r="L1909" i="3"/>
  <c r="L1910" i="3"/>
  <c r="L1911" i="3"/>
  <c r="L1912" i="3"/>
  <c r="L1913" i="3"/>
  <c r="L1914" i="3"/>
  <c r="L1915" i="3"/>
  <c r="L1916" i="3"/>
  <c r="L1917" i="3"/>
  <c r="L1918" i="3"/>
  <c r="L1919" i="3"/>
  <c r="L1920" i="3"/>
  <c r="L1921" i="3"/>
  <c r="L1922" i="3"/>
  <c r="L1923" i="3"/>
  <c r="L1924" i="3"/>
  <c r="L1925" i="3"/>
  <c r="L1926" i="3"/>
  <c r="L1927" i="3"/>
  <c r="L1928" i="3"/>
  <c r="L1929" i="3"/>
  <c r="L1930" i="3"/>
  <c r="L1931" i="3"/>
  <c r="L1932" i="3"/>
  <c r="L1933" i="3"/>
  <c r="L1934" i="3"/>
  <c r="L1935" i="3"/>
  <c r="L1936" i="3"/>
  <c r="L1937" i="3"/>
  <c r="L1938" i="3"/>
  <c r="L1939" i="3"/>
  <c r="L1940" i="3"/>
  <c r="L1941" i="3"/>
  <c r="L1942" i="3"/>
  <c r="L1943" i="3"/>
  <c r="L1944" i="3"/>
  <c r="L1945" i="3"/>
  <c r="L1946" i="3"/>
  <c r="L1947" i="3"/>
  <c r="L1948" i="3"/>
  <c r="L1949" i="3"/>
  <c r="L1950" i="3"/>
  <c r="L1951" i="3"/>
  <c r="L1952" i="3"/>
  <c r="L1953" i="3"/>
  <c r="L1954" i="3"/>
  <c r="L1955" i="3"/>
  <c r="L1956" i="3"/>
  <c r="L1957" i="3"/>
  <c r="L1958" i="3"/>
  <c r="L1959" i="3"/>
  <c r="L1960" i="3"/>
  <c r="L1961" i="3"/>
  <c r="L1962" i="3"/>
  <c r="L1963" i="3"/>
  <c r="L1964" i="3"/>
  <c r="L1965" i="3"/>
  <c r="L1966" i="3"/>
  <c r="L1967" i="3"/>
  <c r="L1968" i="3"/>
  <c r="L1969" i="3"/>
  <c r="L1970" i="3"/>
  <c r="L1971" i="3"/>
  <c r="L1972" i="3"/>
  <c r="L1973" i="3"/>
  <c r="L1974" i="3"/>
  <c r="L1975" i="3"/>
  <c r="L1976" i="3"/>
  <c r="L1977" i="3"/>
  <c r="L1978" i="3"/>
  <c r="L1979" i="3"/>
  <c r="L1980" i="3"/>
  <c r="L1981" i="3"/>
  <c r="L1982" i="3"/>
  <c r="L1983" i="3"/>
  <c r="L1984" i="3"/>
  <c r="L1985" i="3"/>
  <c r="L1986" i="3"/>
  <c r="L1987" i="3"/>
  <c r="L1988" i="3"/>
  <c r="L1989" i="3"/>
  <c r="L1990" i="3"/>
  <c r="L1991" i="3"/>
  <c r="L1992" i="3"/>
  <c r="L1993" i="3"/>
  <c r="L1994" i="3"/>
  <c r="L1995" i="3"/>
  <c r="L1996" i="3"/>
  <c r="L1997" i="3"/>
  <c r="L1998" i="3"/>
  <c r="L1999" i="3"/>
  <c r="L2000" i="3"/>
  <c r="L2001" i="3"/>
  <c r="L2002" i="3"/>
  <c r="L2003" i="3"/>
  <c r="L2004" i="3"/>
  <c r="L2005" i="3"/>
  <c r="L2006" i="3"/>
  <c r="L2007" i="3"/>
  <c r="L2008" i="3"/>
  <c r="L2009" i="3"/>
  <c r="L2010" i="3"/>
  <c r="L2011" i="3"/>
  <c r="L2012" i="3"/>
  <c r="L2013" i="3"/>
  <c r="L2014" i="3"/>
  <c r="L2015" i="3"/>
  <c r="L2016" i="3"/>
  <c r="L2017" i="3"/>
  <c r="L2018" i="3"/>
  <c r="L2019" i="3"/>
  <c r="L2020" i="3"/>
  <c r="L2021" i="3"/>
  <c r="L2022" i="3"/>
  <c r="L2023" i="3"/>
  <c r="L2024" i="3"/>
  <c r="L2025" i="3"/>
  <c r="L2026" i="3"/>
  <c r="L2027" i="3"/>
  <c r="L2028" i="3"/>
  <c r="L2029" i="3"/>
  <c r="L2030" i="3"/>
  <c r="L2031" i="3"/>
  <c r="L2032" i="3"/>
  <c r="L2033" i="3"/>
  <c r="L2034" i="3"/>
  <c r="L2035" i="3"/>
  <c r="L2036" i="3"/>
  <c r="L2037" i="3"/>
  <c r="L2038" i="3"/>
  <c r="L2039" i="3"/>
  <c r="L2040" i="3"/>
  <c r="L2041" i="3"/>
  <c r="L2042" i="3"/>
  <c r="L2043" i="3"/>
  <c r="L2044" i="3"/>
  <c r="L2045" i="3"/>
  <c r="L2046" i="3"/>
  <c r="L2047" i="3"/>
  <c r="L2048" i="3"/>
  <c r="L2049" i="3"/>
  <c r="L2050" i="3"/>
  <c r="L2051" i="3"/>
  <c r="L2052" i="3"/>
  <c r="L2053" i="3"/>
  <c r="L2054" i="3"/>
  <c r="L2055" i="3"/>
  <c r="L2056" i="3"/>
  <c r="L2057" i="3"/>
  <c r="L2058" i="3"/>
  <c r="L2059" i="3"/>
  <c r="L2060" i="3"/>
  <c r="L2061" i="3"/>
  <c r="L2062" i="3"/>
  <c r="L2063" i="3"/>
  <c r="L2064" i="3"/>
  <c r="L2065" i="3"/>
  <c r="L2066" i="3"/>
  <c r="L2067" i="3"/>
  <c r="L2068" i="3"/>
  <c r="L2069" i="3"/>
  <c r="L2070" i="3"/>
  <c r="L2071" i="3"/>
  <c r="L2072" i="3"/>
  <c r="L2073" i="3"/>
  <c r="L2074" i="3"/>
  <c r="L2075" i="3"/>
  <c r="L2076" i="3"/>
  <c r="L2077" i="3"/>
  <c r="L2078" i="3"/>
  <c r="L2079" i="3"/>
  <c r="L2080" i="3"/>
  <c r="L2081" i="3"/>
  <c r="L2082" i="3"/>
  <c r="L2083" i="3"/>
  <c r="L2084" i="3"/>
  <c r="L2085" i="3"/>
  <c r="L2086" i="3"/>
  <c r="L2087" i="3"/>
  <c r="L2088" i="3"/>
  <c r="L2089" i="3"/>
  <c r="L2090" i="3"/>
  <c r="L2091" i="3"/>
  <c r="L2092" i="3"/>
  <c r="L2093" i="3"/>
  <c r="L2094" i="3"/>
  <c r="L2095" i="3"/>
  <c r="L2096" i="3"/>
  <c r="L2097" i="3"/>
  <c r="L2098" i="3"/>
  <c r="L2099" i="3"/>
  <c r="L2100" i="3"/>
  <c r="L2101" i="3"/>
  <c r="L2102" i="3"/>
  <c r="L2103" i="3"/>
  <c r="L2104" i="3"/>
  <c r="L2105" i="3"/>
  <c r="L2106" i="3"/>
  <c r="L2107" i="3"/>
  <c r="L2108" i="3"/>
  <c r="L2109" i="3"/>
  <c r="L2110" i="3"/>
  <c r="L2111" i="3"/>
  <c r="L2112" i="3"/>
  <c r="L2113" i="3"/>
  <c r="L2114" i="3"/>
  <c r="L2115" i="3"/>
  <c r="L2116" i="3"/>
  <c r="L2117" i="3"/>
  <c r="L2118" i="3"/>
  <c r="L2119" i="3"/>
  <c r="L2120" i="3"/>
  <c r="L2121" i="3"/>
  <c r="L2122" i="3"/>
  <c r="L2123" i="3"/>
  <c r="L2124" i="3"/>
  <c r="L2125" i="3"/>
  <c r="L2126" i="3"/>
  <c r="L2127" i="3"/>
  <c r="L2128" i="3"/>
  <c r="L2129" i="3"/>
  <c r="L2130" i="3"/>
  <c r="L2131" i="3"/>
  <c r="L2132" i="3"/>
  <c r="L2133" i="3"/>
  <c r="L2134" i="3"/>
  <c r="L2135" i="3"/>
  <c r="L2136" i="3"/>
  <c r="L2137" i="3"/>
  <c r="L2138" i="3"/>
  <c r="L2139" i="3"/>
  <c r="L2140" i="3"/>
  <c r="L2141" i="3"/>
  <c r="L2142" i="3"/>
  <c r="L2143" i="3"/>
  <c r="L2144" i="3"/>
  <c r="L2145" i="3"/>
  <c r="L2146" i="3"/>
  <c r="L2147" i="3"/>
  <c r="L2148" i="3"/>
  <c r="L2149" i="3"/>
  <c r="L2150" i="3"/>
  <c r="L2151" i="3"/>
  <c r="L2152" i="3"/>
  <c r="L2153" i="3"/>
  <c r="L2154" i="3"/>
  <c r="L2155" i="3"/>
  <c r="L2156" i="3"/>
  <c r="L2157" i="3"/>
  <c r="L2158" i="3"/>
  <c r="L2159" i="3"/>
  <c r="L2160" i="3"/>
  <c r="L2161" i="3"/>
  <c r="L2162" i="3"/>
  <c r="L2163" i="3"/>
  <c r="L2164" i="3"/>
  <c r="L2165" i="3"/>
  <c r="L2166" i="3"/>
  <c r="L2167" i="3"/>
  <c r="L2168" i="3"/>
  <c r="L2169" i="3"/>
  <c r="L2170" i="3"/>
  <c r="L2171" i="3"/>
  <c r="L2172" i="3"/>
  <c r="L2173" i="3"/>
  <c r="L2174" i="3"/>
  <c r="L2175" i="3"/>
  <c r="L2176" i="3"/>
  <c r="L2177" i="3"/>
  <c r="L2178" i="3"/>
  <c r="L2179" i="3"/>
  <c r="L2180" i="3"/>
  <c r="L2181" i="3"/>
  <c r="L2182" i="3"/>
  <c r="L2183" i="3"/>
  <c r="L2184" i="3"/>
  <c r="L2185" i="3"/>
  <c r="L2186" i="3"/>
  <c r="L2187" i="3"/>
  <c r="L2188" i="3"/>
  <c r="L2189" i="3"/>
  <c r="L2190" i="3"/>
  <c r="L2191" i="3"/>
  <c r="L2192" i="3"/>
  <c r="L2193" i="3"/>
  <c r="L2194" i="3"/>
  <c r="L2195" i="3"/>
  <c r="L2196" i="3"/>
  <c r="L2197" i="3"/>
  <c r="L2198" i="3"/>
  <c r="L2199" i="3"/>
  <c r="L2200" i="3"/>
  <c r="L2201" i="3"/>
  <c r="L2202" i="3"/>
  <c r="L2203" i="3"/>
  <c r="L2204" i="3"/>
  <c r="L2205" i="3"/>
  <c r="L2206" i="3"/>
  <c r="L2207" i="3"/>
  <c r="L2208" i="3"/>
  <c r="L2209" i="3"/>
  <c r="L2210" i="3"/>
  <c r="L2211" i="3"/>
  <c r="L2212" i="3"/>
  <c r="L2213" i="3"/>
  <c r="L2214" i="3"/>
  <c r="L2215" i="3"/>
  <c r="L2216" i="3"/>
  <c r="L2217" i="3"/>
  <c r="L2218" i="3"/>
  <c r="L2219" i="3"/>
  <c r="L2220" i="3"/>
  <c r="L2221" i="3"/>
  <c r="L2222" i="3"/>
  <c r="L2223" i="3"/>
  <c r="L2224" i="3"/>
  <c r="L2225" i="3"/>
  <c r="L2226" i="3"/>
  <c r="L2227" i="3"/>
  <c r="L2228" i="3"/>
  <c r="L2229" i="3"/>
  <c r="L2230" i="3"/>
  <c r="L2231" i="3"/>
  <c r="L2232" i="3"/>
  <c r="L2233" i="3"/>
  <c r="L2234" i="3"/>
  <c r="L2235" i="3"/>
  <c r="L2236" i="3"/>
  <c r="L2237" i="3"/>
  <c r="L2238" i="3"/>
  <c r="L2239" i="3"/>
  <c r="L2240" i="3"/>
  <c r="L2241" i="3"/>
  <c r="L2242" i="3"/>
  <c r="L2243" i="3"/>
  <c r="L2244" i="3"/>
  <c r="L2245" i="3"/>
  <c r="L2246" i="3"/>
  <c r="L2247" i="3"/>
  <c r="L2248" i="3"/>
  <c r="L2249" i="3"/>
  <c r="L2250" i="3"/>
  <c r="L2251" i="3"/>
  <c r="L2252" i="3"/>
  <c r="L2253" i="3"/>
  <c r="L2254" i="3"/>
  <c r="L2255" i="3"/>
  <c r="L2256" i="3"/>
  <c r="L2257" i="3"/>
  <c r="L2258" i="3"/>
  <c r="L2259" i="3"/>
  <c r="L2260" i="3"/>
  <c r="L2261" i="3"/>
  <c r="L2262" i="3"/>
  <c r="L2263" i="3"/>
  <c r="L2264" i="3"/>
  <c r="L2265" i="3"/>
  <c r="L2266" i="3"/>
  <c r="L2267" i="3"/>
  <c r="L2268" i="3"/>
  <c r="L2269" i="3"/>
  <c r="L2270" i="3"/>
  <c r="L2271" i="3"/>
  <c r="L2272" i="3"/>
  <c r="L2273" i="3"/>
  <c r="L2274" i="3"/>
  <c r="L2275" i="3"/>
  <c r="L2276" i="3"/>
  <c r="L2277" i="3"/>
  <c r="L2278" i="3"/>
  <c r="L2279" i="3"/>
  <c r="L2280" i="3"/>
  <c r="L2281" i="3"/>
  <c r="L2282" i="3"/>
  <c r="L2283" i="3"/>
  <c r="L2284" i="3"/>
  <c r="L2285" i="3"/>
  <c r="L2286" i="3"/>
  <c r="L2287" i="3"/>
  <c r="L2288" i="3"/>
  <c r="L2289" i="3"/>
  <c r="L2290" i="3"/>
  <c r="L2291" i="3"/>
  <c r="L2292" i="3"/>
  <c r="L2293" i="3"/>
  <c r="L2294" i="3"/>
  <c r="L2295" i="3"/>
  <c r="L2296" i="3"/>
  <c r="L2297" i="3"/>
  <c r="L2298" i="3"/>
  <c r="L2299" i="3"/>
  <c r="L2300" i="3"/>
  <c r="L2301" i="3"/>
  <c r="L2302" i="3"/>
  <c r="L2303" i="3"/>
  <c r="L2304" i="3"/>
  <c r="L2305" i="3"/>
  <c r="L2306" i="3"/>
  <c r="L2307" i="3"/>
  <c r="L2308" i="3"/>
  <c r="L2309" i="3"/>
  <c r="L2310" i="3"/>
  <c r="L2311" i="3"/>
  <c r="L2312" i="3"/>
  <c r="L2313" i="3"/>
  <c r="L2314" i="3"/>
  <c r="L2315" i="3"/>
  <c r="L2316" i="3"/>
  <c r="L2317" i="3"/>
  <c r="L2318" i="3"/>
  <c r="L2319" i="3"/>
  <c r="L2320" i="3"/>
  <c r="L2321" i="3"/>
  <c r="L2322" i="3"/>
  <c r="L2323" i="3"/>
  <c r="L2324" i="3"/>
  <c r="L2325" i="3"/>
  <c r="L2326" i="3"/>
  <c r="L2327" i="3"/>
  <c r="L2328" i="3"/>
  <c r="L2329" i="3"/>
  <c r="L2330" i="3"/>
  <c r="L2331" i="3"/>
  <c r="L2332" i="3"/>
  <c r="L2333" i="3"/>
  <c r="L2334" i="3"/>
  <c r="L2335" i="3"/>
  <c r="L2336" i="3"/>
  <c r="L2337" i="3"/>
  <c r="L2338" i="3"/>
  <c r="L2339" i="3"/>
  <c r="L2340" i="3"/>
  <c r="L2341" i="3"/>
  <c r="L2342" i="3"/>
  <c r="L2343" i="3"/>
  <c r="L2344" i="3"/>
  <c r="L2345" i="3"/>
  <c r="L2346" i="3"/>
  <c r="L2347" i="3"/>
  <c r="L2348" i="3"/>
  <c r="L2349" i="3"/>
  <c r="L2350" i="3"/>
  <c r="L2351" i="3"/>
  <c r="L2352" i="3"/>
  <c r="L2353" i="3"/>
  <c r="L2354" i="3"/>
  <c r="L2355" i="3"/>
  <c r="L2356" i="3"/>
  <c r="L2357" i="3"/>
  <c r="L2358" i="3"/>
  <c r="L2359" i="3"/>
  <c r="L2360" i="3"/>
  <c r="L2361" i="3"/>
  <c r="L2362" i="3"/>
  <c r="L2363" i="3"/>
  <c r="L2364" i="3"/>
  <c r="L2365" i="3"/>
  <c r="L2366" i="3"/>
  <c r="L2367" i="3"/>
  <c r="L2368" i="3"/>
  <c r="L2369" i="3"/>
  <c r="L2370" i="3"/>
  <c r="L2371" i="3"/>
  <c r="L2372" i="3"/>
  <c r="L2373" i="3"/>
  <c r="L2374" i="3"/>
  <c r="L2375" i="3"/>
  <c r="L2376" i="3"/>
  <c r="L2377" i="3"/>
  <c r="L2378" i="3"/>
  <c r="L2379" i="3"/>
  <c r="L2380" i="3"/>
  <c r="L2381" i="3"/>
  <c r="L2382" i="3"/>
  <c r="L2383" i="3"/>
  <c r="L2384" i="3"/>
  <c r="L2385" i="3"/>
  <c r="L2386" i="3"/>
  <c r="L2387" i="3"/>
  <c r="L2388" i="3"/>
  <c r="L2389" i="3"/>
  <c r="L2390" i="3"/>
  <c r="L2391" i="3"/>
  <c r="L2392" i="3"/>
  <c r="L2393" i="3"/>
  <c r="L2394" i="3"/>
  <c r="L2395" i="3"/>
  <c r="L2396" i="3"/>
  <c r="L2397" i="3"/>
  <c r="L2398" i="3"/>
  <c r="L2399" i="3"/>
  <c r="L2400" i="3"/>
  <c r="L2401" i="3"/>
  <c r="L2402" i="3"/>
  <c r="L2403" i="3"/>
  <c r="L2404" i="3"/>
  <c r="L2405" i="3"/>
  <c r="L2406" i="3"/>
  <c r="L2407" i="3"/>
  <c r="L2408" i="3"/>
  <c r="L2409" i="3"/>
  <c r="L2410" i="3"/>
  <c r="L2411" i="3"/>
  <c r="L2412" i="3"/>
  <c r="L2413" i="3"/>
  <c r="L2414" i="3"/>
  <c r="L2415" i="3"/>
  <c r="L2416" i="3"/>
  <c r="L2417" i="3"/>
  <c r="L2418" i="3"/>
  <c r="L2419" i="3"/>
  <c r="L2420" i="3"/>
  <c r="L2421" i="3"/>
  <c r="L2422" i="3"/>
  <c r="L2423" i="3"/>
  <c r="L2424" i="3"/>
  <c r="L2425" i="3"/>
  <c r="L2426" i="3"/>
  <c r="L2427" i="3"/>
  <c r="L2428" i="3"/>
  <c r="L2429" i="3"/>
  <c r="L2430" i="3"/>
  <c r="L2431" i="3"/>
  <c r="L2432" i="3"/>
  <c r="L2433" i="3"/>
  <c r="L2434" i="3"/>
  <c r="L2435" i="3"/>
  <c r="L2436" i="3"/>
  <c r="L2437" i="3"/>
  <c r="L2438" i="3"/>
  <c r="L2439" i="3"/>
  <c r="L2440" i="3"/>
  <c r="L2441" i="3"/>
  <c r="L2442" i="3"/>
  <c r="L2443" i="3"/>
  <c r="L2444" i="3"/>
  <c r="L2445" i="3"/>
  <c r="L2446" i="3"/>
  <c r="L2447" i="3"/>
  <c r="L2448" i="3"/>
  <c r="L2449" i="3"/>
  <c r="L2450" i="3"/>
  <c r="L2451" i="3"/>
  <c r="L2452" i="3"/>
  <c r="L2453" i="3"/>
  <c r="L2454" i="3"/>
  <c r="L2455" i="3"/>
  <c r="L2456" i="3"/>
  <c r="L2457" i="3"/>
  <c r="L2458" i="3"/>
  <c r="L2459" i="3"/>
  <c r="L2460" i="3"/>
  <c r="L2461" i="3"/>
  <c r="L2462" i="3"/>
  <c r="L2463" i="3"/>
  <c r="L2464" i="3"/>
  <c r="L2465" i="3"/>
  <c r="L2466" i="3"/>
  <c r="L2467" i="3"/>
  <c r="L2468" i="3"/>
  <c r="L2469" i="3"/>
  <c r="L2470" i="3"/>
  <c r="L2471" i="3"/>
  <c r="L2472" i="3"/>
  <c r="L2473" i="3"/>
  <c r="L2474" i="3"/>
  <c r="L2475" i="3"/>
  <c r="L2476" i="3"/>
  <c r="L2477" i="3"/>
  <c r="L2478" i="3"/>
  <c r="L2479" i="3"/>
  <c r="L2480" i="3"/>
  <c r="L2481" i="3"/>
  <c r="L2482" i="3"/>
  <c r="L2483" i="3"/>
  <c r="L2484" i="3"/>
  <c r="L2485" i="3"/>
  <c r="L2486" i="3"/>
  <c r="L2487" i="3"/>
  <c r="L2488" i="3"/>
  <c r="L2489" i="3"/>
  <c r="L2490" i="3"/>
  <c r="L2491" i="3"/>
  <c r="L2492" i="3"/>
  <c r="L2493" i="3"/>
  <c r="L2494" i="3"/>
  <c r="L2495" i="3"/>
  <c r="L2496" i="3"/>
  <c r="L2497" i="3"/>
  <c r="L2498" i="3"/>
  <c r="L2499" i="3"/>
  <c r="L2500" i="3"/>
  <c r="L2501" i="3"/>
  <c r="L2502" i="3"/>
  <c r="L2503" i="3"/>
  <c r="L2504" i="3"/>
  <c r="L2505" i="3"/>
  <c r="L2506" i="3"/>
  <c r="L2507" i="3"/>
  <c r="L2508" i="3"/>
  <c r="L2509" i="3"/>
  <c r="L2510" i="3"/>
  <c r="L2511" i="3"/>
  <c r="L2512" i="3"/>
  <c r="L2513" i="3"/>
  <c r="L2514" i="3"/>
  <c r="L2515" i="3"/>
  <c r="L2516" i="3"/>
  <c r="L2517" i="3"/>
  <c r="L2518" i="3"/>
  <c r="L2519" i="3"/>
  <c r="L2520" i="3"/>
  <c r="L2521" i="3"/>
  <c r="L2522" i="3"/>
  <c r="L2523" i="3"/>
  <c r="L2524" i="3"/>
  <c r="L2525" i="3"/>
  <c r="L2526" i="3"/>
  <c r="L2527" i="3"/>
  <c r="L2528" i="3"/>
  <c r="L2529" i="3"/>
  <c r="L2530" i="3"/>
  <c r="L2531" i="3"/>
  <c r="L2532" i="3"/>
  <c r="L2533" i="3"/>
  <c r="L2534" i="3"/>
  <c r="L2535" i="3"/>
  <c r="L2536" i="3"/>
  <c r="L2537" i="3"/>
  <c r="L2538" i="3"/>
  <c r="L2539" i="3"/>
  <c r="L2540" i="3"/>
  <c r="L2541" i="3"/>
  <c r="L2542" i="3"/>
  <c r="L2543" i="3"/>
  <c r="L2544" i="3"/>
  <c r="L2545" i="3"/>
  <c r="L2546" i="3"/>
  <c r="L2547" i="3"/>
  <c r="L2548" i="3"/>
  <c r="L2549" i="3"/>
  <c r="L2550" i="3"/>
  <c r="L2551" i="3"/>
  <c r="L2552" i="3"/>
  <c r="L2553" i="3"/>
  <c r="L2554" i="3"/>
  <c r="L2555" i="3"/>
  <c r="L2556" i="3"/>
  <c r="L2557" i="3"/>
  <c r="L2558" i="3"/>
  <c r="L2559" i="3"/>
  <c r="L2560" i="3"/>
  <c r="L2561" i="3"/>
  <c r="L2562" i="3"/>
  <c r="L2563" i="3"/>
  <c r="L2564" i="3"/>
  <c r="L2565" i="3"/>
  <c r="L2566" i="3"/>
  <c r="L2567" i="3"/>
  <c r="L2568" i="3"/>
  <c r="L2569" i="3"/>
  <c r="L2570" i="3"/>
  <c r="L2571" i="3"/>
  <c r="L2572" i="3"/>
  <c r="L2573" i="3"/>
  <c r="L2574" i="3"/>
  <c r="L2575" i="3"/>
  <c r="L2576" i="3"/>
  <c r="L2577" i="3"/>
  <c r="L2578" i="3"/>
  <c r="L2579" i="3"/>
  <c r="L2580" i="3"/>
  <c r="L2581" i="3"/>
  <c r="L2582" i="3"/>
  <c r="L2583" i="3"/>
  <c r="L2584" i="3"/>
  <c r="L2585" i="3"/>
  <c r="L2586" i="3"/>
  <c r="L2587" i="3"/>
  <c r="L2588" i="3"/>
  <c r="L2589" i="3"/>
  <c r="L2590" i="3"/>
  <c r="L2591" i="3"/>
  <c r="L2592" i="3"/>
  <c r="L2593" i="3"/>
  <c r="L2594" i="3"/>
  <c r="L2595" i="3"/>
  <c r="L2596" i="3"/>
  <c r="L2597" i="3"/>
  <c r="L2598" i="3"/>
  <c r="L2599" i="3"/>
  <c r="L2600" i="3"/>
  <c r="L2601" i="3"/>
  <c r="L2602" i="3"/>
  <c r="L2603" i="3"/>
  <c r="L2604" i="3"/>
  <c r="L2605" i="3"/>
  <c r="L2606" i="3"/>
  <c r="L2607" i="3"/>
  <c r="L2608" i="3"/>
  <c r="L2609" i="3"/>
  <c r="L2610" i="3"/>
  <c r="L2611" i="3"/>
  <c r="L2612" i="3"/>
  <c r="L2613" i="3"/>
  <c r="L2614" i="3"/>
  <c r="L2615" i="3"/>
  <c r="L2616" i="3"/>
  <c r="L2617" i="3"/>
  <c r="L2618" i="3"/>
  <c r="L2619" i="3"/>
  <c r="L2620" i="3"/>
  <c r="L2621" i="3"/>
  <c r="L2622" i="3"/>
  <c r="L2623" i="3"/>
  <c r="L2624" i="3"/>
  <c r="L2625" i="3"/>
  <c r="L2626" i="3"/>
  <c r="L2627" i="3"/>
  <c r="L2628" i="3"/>
  <c r="L2629" i="3"/>
  <c r="L2630" i="3"/>
  <c r="L2631" i="3"/>
  <c r="L2632" i="3"/>
  <c r="L2633" i="3"/>
  <c r="L2634" i="3"/>
  <c r="L2635" i="3"/>
  <c r="L2636" i="3"/>
  <c r="L2637" i="3"/>
  <c r="L2638" i="3"/>
  <c r="L2639" i="3"/>
  <c r="L2640" i="3"/>
  <c r="L2641" i="3"/>
  <c r="L2642" i="3"/>
  <c r="L2643" i="3"/>
  <c r="L2644" i="3"/>
  <c r="L2645" i="3"/>
  <c r="L2646" i="3"/>
  <c r="L2647" i="3"/>
  <c r="L2648" i="3"/>
  <c r="L2649" i="3"/>
  <c r="L2650" i="3"/>
  <c r="L2651" i="3"/>
  <c r="L2652" i="3"/>
  <c r="L2653" i="3"/>
  <c r="L2654" i="3"/>
  <c r="L2655" i="3"/>
  <c r="L2656" i="3"/>
  <c r="L2657" i="3"/>
  <c r="L2658" i="3"/>
  <c r="L2659" i="3"/>
  <c r="L2660" i="3"/>
  <c r="L2661" i="3"/>
  <c r="L2662" i="3"/>
  <c r="L2663" i="3"/>
  <c r="L2664" i="3"/>
  <c r="L2665" i="3"/>
  <c r="L2666" i="3"/>
  <c r="L2667" i="3"/>
  <c r="L2668" i="3"/>
  <c r="L2669" i="3"/>
  <c r="L2670" i="3"/>
  <c r="L2671" i="3"/>
  <c r="L2672" i="3"/>
  <c r="L2673" i="3"/>
  <c r="L2674" i="3"/>
  <c r="L2675" i="3"/>
  <c r="L2676" i="3"/>
  <c r="L2677" i="3"/>
  <c r="L2678" i="3"/>
  <c r="L2679" i="3"/>
  <c r="L2680" i="3"/>
  <c r="L2681" i="3"/>
  <c r="L2682" i="3"/>
  <c r="L2683" i="3"/>
  <c r="L2684" i="3"/>
  <c r="L2685" i="3"/>
  <c r="L2686" i="3"/>
  <c r="L2687" i="3"/>
  <c r="L2688" i="3"/>
  <c r="L2689" i="3"/>
  <c r="L2690" i="3"/>
  <c r="L2691" i="3"/>
  <c r="L2692" i="3"/>
  <c r="L2693" i="3"/>
  <c r="L2694" i="3"/>
  <c r="L2695" i="3"/>
  <c r="L2696" i="3"/>
  <c r="L2697" i="3"/>
  <c r="L2698" i="3"/>
  <c r="L2699" i="3"/>
  <c r="L2700" i="3"/>
  <c r="L2701" i="3"/>
  <c r="L2702" i="3"/>
  <c r="L2703" i="3"/>
  <c r="L2704" i="3"/>
  <c r="L2705" i="3"/>
  <c r="L2706" i="3"/>
  <c r="L2707" i="3"/>
  <c r="L2708" i="3"/>
  <c r="L2709" i="3"/>
  <c r="L2710" i="3"/>
  <c r="L2711" i="3"/>
  <c r="L2712" i="3"/>
  <c r="L2713" i="3"/>
  <c r="L2714" i="3"/>
  <c r="L2715" i="3"/>
  <c r="L2716" i="3"/>
  <c r="L2717" i="3"/>
  <c r="L2718" i="3"/>
  <c r="L2719" i="3"/>
  <c r="L2720" i="3"/>
  <c r="L2721" i="3"/>
  <c r="L2722" i="3"/>
  <c r="L2723" i="3"/>
  <c r="L2724" i="3"/>
  <c r="L2725" i="3"/>
  <c r="L2726" i="3"/>
  <c r="L2727" i="3"/>
  <c r="L2728" i="3"/>
  <c r="L2729" i="3"/>
  <c r="L2730" i="3"/>
  <c r="L2731" i="3"/>
  <c r="L2732" i="3"/>
  <c r="L2733" i="3"/>
  <c r="L2734" i="3"/>
  <c r="L2735" i="3"/>
  <c r="L2736" i="3"/>
  <c r="L2737" i="3"/>
  <c r="L2738" i="3"/>
  <c r="L2739" i="3"/>
  <c r="L2740" i="3"/>
  <c r="L2741" i="3"/>
  <c r="L2742" i="3"/>
  <c r="L2743" i="3"/>
  <c r="L2744" i="3"/>
  <c r="L2745" i="3"/>
  <c r="L2746" i="3"/>
  <c r="L2747" i="3"/>
  <c r="L2748" i="3"/>
  <c r="L2749" i="3"/>
  <c r="L2750" i="3"/>
  <c r="L2751" i="3"/>
  <c r="L2752" i="3"/>
  <c r="L2753" i="3"/>
  <c r="L2754" i="3"/>
  <c r="L2755" i="3"/>
  <c r="L2756" i="3"/>
  <c r="L2757" i="3"/>
  <c r="L2758" i="3"/>
  <c r="L2759" i="3"/>
  <c r="L2760" i="3"/>
  <c r="L2761" i="3"/>
  <c r="L2762" i="3"/>
  <c r="L2763" i="3"/>
  <c r="L2764" i="3"/>
  <c r="L2765" i="3"/>
  <c r="L2766" i="3"/>
  <c r="L2767" i="3"/>
  <c r="L2768" i="3"/>
  <c r="L2769" i="3"/>
  <c r="L2770" i="3"/>
  <c r="L2771" i="3"/>
  <c r="L2772" i="3"/>
  <c r="L2773" i="3"/>
  <c r="L2774" i="3"/>
  <c r="L2775" i="3"/>
  <c r="L2776" i="3"/>
  <c r="L2777" i="3"/>
  <c r="L2778" i="3"/>
  <c r="L2779" i="3"/>
  <c r="L2780" i="3"/>
  <c r="L2781" i="3"/>
  <c r="L2782" i="3"/>
  <c r="L2783" i="3"/>
  <c r="L2784" i="3"/>
  <c r="L2785" i="3"/>
  <c r="L2786" i="3"/>
  <c r="L2787" i="3"/>
  <c r="L2788" i="3"/>
  <c r="L2789" i="3"/>
  <c r="L2790" i="3"/>
  <c r="L2791" i="3"/>
  <c r="L2792" i="3"/>
  <c r="L2793" i="3"/>
  <c r="L2794" i="3"/>
  <c r="L2795" i="3"/>
  <c r="L2796" i="3"/>
  <c r="L2797" i="3"/>
  <c r="L2798" i="3"/>
  <c r="L2799" i="3"/>
  <c r="L2800" i="3"/>
  <c r="L2801" i="3"/>
  <c r="L2802" i="3"/>
  <c r="L2803" i="3"/>
  <c r="L2804" i="3"/>
  <c r="L2805" i="3"/>
  <c r="L2806" i="3"/>
  <c r="L2807" i="3"/>
  <c r="L2808" i="3"/>
  <c r="L2809" i="3"/>
  <c r="L2810" i="3"/>
  <c r="L2811" i="3"/>
  <c r="L2812" i="3"/>
  <c r="L2813" i="3"/>
  <c r="L2814" i="3"/>
  <c r="L2815" i="3"/>
  <c r="L2816" i="3"/>
  <c r="L2817" i="3"/>
  <c r="L2818" i="3"/>
  <c r="L2819" i="3"/>
  <c r="L2820" i="3"/>
  <c r="L2821" i="3"/>
  <c r="L2822" i="3"/>
  <c r="L2823" i="3"/>
  <c r="L2824" i="3"/>
  <c r="L2825" i="3"/>
  <c r="L2826" i="3"/>
  <c r="L2827" i="3"/>
  <c r="L2828" i="3"/>
  <c r="L2829" i="3"/>
  <c r="L2830" i="3"/>
  <c r="L2831" i="3"/>
  <c r="L2832" i="3"/>
  <c r="L2833" i="3"/>
  <c r="L2834" i="3"/>
  <c r="L2835" i="3"/>
  <c r="L2836" i="3"/>
  <c r="L2837" i="3"/>
  <c r="L2838" i="3"/>
  <c r="L2839" i="3"/>
  <c r="L2840" i="3"/>
  <c r="L2841" i="3"/>
  <c r="L2842" i="3"/>
  <c r="L2843" i="3"/>
  <c r="L2844" i="3"/>
  <c r="L2845" i="3"/>
  <c r="L2846" i="3"/>
  <c r="L2847" i="3"/>
  <c r="L2848" i="3"/>
  <c r="L2849" i="3"/>
  <c r="L2850" i="3"/>
  <c r="L2851" i="3"/>
  <c r="L2852" i="3"/>
  <c r="L2853" i="3"/>
  <c r="L2854" i="3"/>
  <c r="L2855" i="3"/>
  <c r="L2856" i="3"/>
  <c r="L2857" i="3"/>
  <c r="L2858" i="3"/>
  <c r="L2859" i="3"/>
  <c r="L2860" i="3"/>
  <c r="L2861" i="3"/>
  <c r="L2862" i="3"/>
  <c r="L2863" i="3"/>
  <c r="L2864" i="3"/>
  <c r="L2865" i="3"/>
  <c r="L2866" i="3"/>
  <c r="L2867" i="3"/>
  <c r="L2868" i="3"/>
  <c r="L2869" i="3"/>
  <c r="L2870" i="3"/>
  <c r="L2871" i="3"/>
  <c r="L2872" i="3"/>
  <c r="L2873" i="3"/>
  <c r="L2874" i="3"/>
  <c r="L2875" i="3"/>
  <c r="L2876" i="3"/>
  <c r="L2877" i="3"/>
  <c r="L2878" i="3"/>
  <c r="L2879" i="3"/>
  <c r="L2880" i="3"/>
  <c r="L2881" i="3"/>
  <c r="L2882" i="3"/>
  <c r="L2883" i="3"/>
  <c r="L2884" i="3"/>
  <c r="L2885" i="3"/>
  <c r="L2886" i="3"/>
  <c r="L2887" i="3"/>
  <c r="L2888" i="3"/>
  <c r="L2889" i="3"/>
  <c r="L2890" i="3"/>
  <c r="L2891" i="3"/>
  <c r="L2892" i="3"/>
  <c r="L2893" i="3"/>
  <c r="L2894" i="3"/>
  <c r="L2895" i="3"/>
  <c r="L2896" i="3"/>
  <c r="L2897" i="3"/>
  <c r="L2898" i="3"/>
  <c r="L2899" i="3"/>
  <c r="L2900" i="3"/>
  <c r="L2901" i="3"/>
  <c r="L2902" i="3"/>
  <c r="L2903" i="3"/>
  <c r="L2904" i="3"/>
  <c r="L2905" i="3"/>
  <c r="L2906" i="3"/>
  <c r="L2907" i="3"/>
  <c r="L2908" i="3"/>
  <c r="L2909" i="3"/>
  <c r="M2" i="3"/>
  <c r="M3" i="3"/>
  <c r="M4" i="3"/>
  <c r="M5" i="3"/>
  <c r="M6" i="3"/>
  <c r="M7" i="3"/>
  <c r="M8" i="3"/>
  <c r="M9" i="3"/>
  <c r="M10" i="3"/>
  <c r="M11" i="3"/>
  <c r="M12" i="3"/>
  <c r="M13" i="3"/>
  <c r="M14" i="3"/>
  <c r="M15" i="3"/>
  <c r="M16" i="3"/>
  <c r="M17" i="3"/>
  <c r="M18" i="3"/>
  <c r="M19" i="3"/>
  <c r="M20" i="3"/>
  <c r="M21" i="3"/>
  <c r="M22" i="3"/>
  <c r="M23" i="3"/>
  <c r="M24" i="3"/>
  <c r="M25" i="3"/>
  <c r="M26" i="3"/>
  <c r="M27" i="3"/>
  <c r="M28" i="3"/>
  <c r="M29" i="3"/>
  <c r="M30" i="3"/>
  <c r="M31" i="3"/>
  <c r="M32" i="3"/>
  <c r="M33" i="3"/>
  <c r="M34" i="3"/>
  <c r="M35" i="3"/>
  <c r="M36" i="3"/>
  <c r="M37" i="3"/>
  <c r="M38" i="3"/>
  <c r="M39" i="3"/>
  <c r="M40" i="3"/>
  <c r="M41" i="3"/>
  <c r="M42" i="3"/>
  <c r="M43" i="3"/>
  <c r="M44" i="3"/>
  <c r="M45" i="3"/>
  <c r="M46" i="3"/>
  <c r="M47" i="3"/>
  <c r="M48" i="3"/>
  <c r="M49" i="3"/>
  <c r="M50" i="3"/>
  <c r="M51" i="3"/>
  <c r="M52" i="3"/>
  <c r="M53" i="3"/>
  <c r="M54" i="3"/>
  <c r="M55" i="3"/>
  <c r="M56" i="3"/>
  <c r="M57" i="3"/>
  <c r="M58" i="3"/>
  <c r="M59" i="3"/>
  <c r="M60" i="3"/>
  <c r="M61" i="3"/>
  <c r="M62" i="3"/>
  <c r="M63" i="3"/>
  <c r="M64" i="3"/>
  <c r="M65" i="3"/>
  <c r="M66" i="3"/>
  <c r="M67" i="3"/>
  <c r="M68" i="3"/>
  <c r="M69" i="3"/>
  <c r="M70" i="3"/>
  <c r="M71" i="3"/>
  <c r="M72" i="3"/>
  <c r="M73" i="3"/>
  <c r="M74" i="3"/>
  <c r="M75" i="3"/>
  <c r="M76" i="3"/>
  <c r="M77" i="3"/>
  <c r="M78" i="3"/>
  <c r="M79" i="3"/>
  <c r="M80" i="3"/>
  <c r="M81" i="3"/>
  <c r="M82" i="3"/>
  <c r="M83" i="3"/>
  <c r="M84" i="3"/>
  <c r="M85" i="3"/>
  <c r="M86" i="3"/>
  <c r="M87" i="3"/>
  <c r="M88" i="3"/>
  <c r="M89" i="3"/>
  <c r="M90" i="3"/>
  <c r="M91" i="3"/>
  <c r="M92" i="3"/>
  <c r="M93" i="3"/>
  <c r="M94" i="3"/>
  <c r="M95" i="3"/>
  <c r="M96" i="3"/>
  <c r="M97" i="3"/>
  <c r="M98" i="3"/>
  <c r="M99" i="3"/>
  <c r="M100" i="3"/>
  <c r="M101" i="3"/>
  <c r="M102" i="3"/>
  <c r="M103" i="3"/>
  <c r="M104" i="3"/>
  <c r="M105" i="3"/>
  <c r="M106" i="3"/>
  <c r="M107" i="3"/>
  <c r="M108" i="3"/>
  <c r="M109" i="3"/>
  <c r="M110" i="3"/>
  <c r="M111" i="3"/>
  <c r="M112" i="3"/>
  <c r="M113" i="3"/>
  <c r="M114" i="3"/>
  <c r="M115" i="3"/>
  <c r="M116" i="3"/>
  <c r="M117" i="3"/>
  <c r="M118" i="3"/>
  <c r="M119" i="3"/>
  <c r="M120" i="3"/>
  <c r="M121" i="3"/>
  <c r="M122" i="3"/>
  <c r="M123" i="3"/>
  <c r="M124" i="3"/>
  <c r="M125" i="3"/>
  <c r="M126" i="3"/>
  <c r="M127" i="3"/>
  <c r="M128" i="3"/>
  <c r="M129" i="3"/>
  <c r="M130" i="3"/>
  <c r="M131" i="3"/>
  <c r="M132" i="3"/>
  <c r="M133" i="3"/>
  <c r="M134" i="3"/>
  <c r="M135" i="3"/>
  <c r="M136" i="3"/>
  <c r="M137" i="3"/>
  <c r="M138" i="3"/>
  <c r="M139" i="3"/>
  <c r="M140" i="3"/>
  <c r="M141" i="3"/>
  <c r="M142" i="3"/>
  <c r="M143" i="3"/>
  <c r="M144" i="3"/>
  <c r="M145" i="3"/>
  <c r="M146" i="3"/>
  <c r="M147" i="3"/>
  <c r="M148" i="3"/>
  <c r="M149" i="3"/>
  <c r="M150" i="3"/>
  <c r="M151" i="3"/>
  <c r="M152" i="3"/>
  <c r="M153" i="3"/>
  <c r="M154" i="3"/>
  <c r="M155" i="3"/>
  <c r="M156" i="3"/>
  <c r="M157" i="3"/>
  <c r="M158" i="3"/>
  <c r="M159" i="3"/>
  <c r="M160" i="3"/>
  <c r="M161" i="3"/>
  <c r="M162" i="3"/>
  <c r="M163" i="3"/>
  <c r="M164" i="3"/>
  <c r="M165" i="3"/>
  <c r="M166" i="3"/>
  <c r="M167" i="3"/>
  <c r="M168" i="3"/>
  <c r="M169" i="3"/>
  <c r="M170" i="3"/>
  <c r="M171" i="3"/>
  <c r="M172" i="3"/>
  <c r="M173" i="3"/>
  <c r="M174" i="3"/>
  <c r="M175" i="3"/>
  <c r="M176" i="3"/>
  <c r="M177" i="3"/>
  <c r="M178" i="3"/>
  <c r="M179" i="3"/>
  <c r="M180" i="3"/>
  <c r="M181" i="3"/>
  <c r="M182" i="3"/>
  <c r="M183" i="3"/>
  <c r="M184" i="3"/>
  <c r="M185" i="3"/>
  <c r="M186" i="3"/>
  <c r="M187" i="3"/>
  <c r="M188" i="3"/>
  <c r="M189" i="3"/>
  <c r="M190" i="3"/>
  <c r="M191" i="3"/>
  <c r="M192" i="3"/>
  <c r="M193" i="3"/>
  <c r="M194" i="3"/>
  <c r="M195" i="3"/>
  <c r="M196" i="3"/>
  <c r="M197" i="3"/>
  <c r="M198" i="3"/>
  <c r="M199" i="3"/>
  <c r="M200" i="3"/>
  <c r="M201" i="3"/>
  <c r="M202" i="3"/>
  <c r="M203" i="3"/>
  <c r="M204" i="3"/>
  <c r="M205" i="3"/>
  <c r="M206" i="3"/>
  <c r="M207" i="3"/>
  <c r="M208" i="3"/>
  <c r="M209" i="3"/>
  <c r="M210" i="3"/>
  <c r="M211" i="3"/>
  <c r="M212" i="3"/>
  <c r="M213" i="3"/>
  <c r="M214" i="3"/>
  <c r="M215" i="3"/>
  <c r="M216" i="3"/>
  <c r="M217" i="3"/>
  <c r="M218" i="3"/>
  <c r="M219" i="3"/>
  <c r="M220" i="3"/>
  <c r="M221" i="3"/>
  <c r="M222" i="3"/>
  <c r="M223" i="3"/>
  <c r="M224" i="3"/>
  <c r="M225" i="3"/>
  <c r="M226" i="3"/>
  <c r="M227" i="3"/>
  <c r="M228" i="3"/>
  <c r="M229" i="3"/>
  <c r="M230" i="3"/>
  <c r="M231" i="3"/>
  <c r="M232" i="3"/>
  <c r="M233" i="3"/>
  <c r="M234" i="3"/>
  <c r="M235" i="3"/>
  <c r="M236" i="3"/>
  <c r="M237" i="3"/>
  <c r="M238" i="3"/>
  <c r="M239" i="3"/>
  <c r="M240" i="3"/>
  <c r="M241" i="3"/>
  <c r="M242" i="3"/>
  <c r="M243" i="3"/>
  <c r="M244" i="3"/>
  <c r="M245" i="3"/>
  <c r="M246" i="3"/>
  <c r="M247" i="3"/>
  <c r="M248" i="3"/>
  <c r="M249" i="3"/>
  <c r="M250" i="3"/>
  <c r="M251" i="3"/>
  <c r="M252" i="3"/>
  <c r="M253" i="3"/>
  <c r="M254" i="3"/>
  <c r="M255" i="3"/>
  <c r="M256" i="3"/>
  <c r="M257" i="3"/>
  <c r="M258" i="3"/>
  <c r="M259" i="3"/>
  <c r="M260" i="3"/>
  <c r="M261" i="3"/>
  <c r="M262" i="3"/>
  <c r="M263" i="3"/>
  <c r="M264" i="3"/>
  <c r="M265" i="3"/>
  <c r="M266" i="3"/>
  <c r="M267" i="3"/>
  <c r="M268" i="3"/>
  <c r="M269" i="3"/>
  <c r="M270" i="3"/>
  <c r="M271" i="3"/>
  <c r="M272" i="3"/>
  <c r="M273" i="3"/>
  <c r="M274" i="3"/>
  <c r="M275" i="3"/>
  <c r="M276" i="3"/>
  <c r="M277" i="3"/>
  <c r="M278" i="3"/>
  <c r="M279" i="3"/>
  <c r="M280" i="3"/>
  <c r="M281" i="3"/>
  <c r="M282" i="3"/>
  <c r="M283" i="3"/>
  <c r="M284" i="3"/>
  <c r="M285" i="3"/>
  <c r="M286" i="3"/>
  <c r="M287" i="3"/>
  <c r="M288" i="3"/>
  <c r="M289" i="3"/>
  <c r="M290" i="3"/>
  <c r="M291" i="3"/>
  <c r="M292" i="3"/>
  <c r="M293" i="3"/>
  <c r="M294" i="3"/>
  <c r="M295" i="3"/>
  <c r="M296" i="3"/>
  <c r="M297" i="3"/>
  <c r="M298" i="3"/>
  <c r="M299" i="3"/>
  <c r="M300" i="3"/>
  <c r="M301" i="3"/>
  <c r="M302" i="3"/>
  <c r="M303" i="3"/>
  <c r="M304" i="3"/>
  <c r="M305" i="3"/>
  <c r="M306" i="3"/>
  <c r="M307" i="3"/>
  <c r="M308" i="3"/>
  <c r="M309" i="3"/>
  <c r="M310" i="3"/>
  <c r="M311" i="3"/>
  <c r="M312" i="3"/>
  <c r="M313" i="3"/>
  <c r="M314" i="3"/>
  <c r="M315" i="3"/>
  <c r="M316" i="3"/>
  <c r="M317" i="3"/>
  <c r="M318" i="3"/>
  <c r="M319" i="3"/>
  <c r="M320" i="3"/>
  <c r="M321" i="3"/>
  <c r="M322" i="3"/>
  <c r="M323" i="3"/>
  <c r="M324" i="3"/>
  <c r="M325" i="3"/>
  <c r="M326" i="3"/>
  <c r="M327" i="3"/>
  <c r="M328" i="3"/>
  <c r="M329" i="3"/>
  <c r="M330" i="3"/>
  <c r="M331" i="3"/>
  <c r="M332" i="3"/>
  <c r="M333" i="3"/>
  <c r="M334" i="3"/>
  <c r="M335" i="3"/>
  <c r="M336" i="3"/>
  <c r="M337" i="3"/>
  <c r="M338" i="3"/>
  <c r="M339" i="3"/>
  <c r="M340" i="3"/>
  <c r="M341" i="3"/>
  <c r="M342" i="3"/>
  <c r="M343" i="3"/>
  <c r="M344" i="3"/>
  <c r="M345" i="3"/>
  <c r="M346" i="3"/>
  <c r="M347" i="3"/>
  <c r="M348" i="3"/>
  <c r="M349" i="3"/>
  <c r="M350" i="3"/>
  <c r="M351" i="3"/>
  <c r="M352" i="3"/>
  <c r="M353" i="3"/>
  <c r="M354" i="3"/>
  <c r="M355" i="3"/>
  <c r="M356" i="3"/>
  <c r="M357" i="3"/>
  <c r="M358" i="3"/>
  <c r="M359" i="3"/>
  <c r="M360" i="3"/>
  <c r="M361" i="3"/>
  <c r="M362" i="3"/>
  <c r="M363" i="3"/>
  <c r="M364" i="3"/>
  <c r="M365" i="3"/>
  <c r="M366" i="3"/>
  <c r="M367" i="3"/>
  <c r="M368" i="3"/>
  <c r="M369" i="3"/>
  <c r="M370" i="3"/>
  <c r="M371" i="3"/>
  <c r="M372" i="3"/>
  <c r="M373" i="3"/>
  <c r="M374" i="3"/>
  <c r="M375" i="3"/>
  <c r="M376" i="3"/>
  <c r="M377" i="3"/>
  <c r="M378" i="3"/>
  <c r="M379" i="3"/>
  <c r="M380" i="3"/>
  <c r="M381" i="3"/>
  <c r="M382" i="3"/>
  <c r="M383" i="3"/>
  <c r="M384" i="3"/>
  <c r="M385" i="3"/>
  <c r="M386" i="3"/>
  <c r="M387" i="3"/>
  <c r="M388" i="3"/>
  <c r="M389" i="3"/>
  <c r="M390" i="3"/>
  <c r="M391" i="3"/>
  <c r="M392" i="3"/>
  <c r="M393" i="3"/>
  <c r="M394" i="3"/>
  <c r="M395" i="3"/>
  <c r="M396" i="3"/>
  <c r="M397" i="3"/>
  <c r="M398" i="3"/>
  <c r="M399" i="3"/>
  <c r="M400" i="3"/>
  <c r="M401" i="3"/>
  <c r="M402" i="3"/>
  <c r="M403" i="3"/>
  <c r="M404" i="3"/>
  <c r="M405" i="3"/>
  <c r="M406" i="3"/>
  <c r="M407" i="3"/>
  <c r="M408" i="3"/>
  <c r="M409" i="3"/>
  <c r="M410" i="3"/>
  <c r="M411" i="3"/>
  <c r="M412" i="3"/>
  <c r="M413" i="3"/>
  <c r="M414" i="3"/>
  <c r="M415" i="3"/>
  <c r="M416" i="3"/>
  <c r="M417" i="3"/>
  <c r="M418" i="3"/>
  <c r="M419" i="3"/>
  <c r="M420" i="3"/>
  <c r="M421" i="3"/>
  <c r="M422" i="3"/>
  <c r="M423" i="3"/>
  <c r="M424" i="3"/>
  <c r="M425" i="3"/>
  <c r="M426" i="3"/>
  <c r="M427" i="3"/>
  <c r="M428" i="3"/>
  <c r="M429" i="3"/>
  <c r="M430" i="3"/>
  <c r="M431" i="3"/>
  <c r="M432" i="3"/>
  <c r="M433" i="3"/>
  <c r="M434" i="3"/>
  <c r="M435" i="3"/>
  <c r="M436" i="3"/>
  <c r="M437" i="3"/>
  <c r="M438" i="3"/>
  <c r="M439" i="3"/>
  <c r="M440" i="3"/>
  <c r="M441" i="3"/>
  <c r="M442" i="3"/>
  <c r="M443" i="3"/>
  <c r="M444" i="3"/>
  <c r="M445" i="3"/>
  <c r="M446" i="3"/>
  <c r="M447" i="3"/>
  <c r="M448" i="3"/>
  <c r="M449" i="3"/>
  <c r="M450" i="3"/>
  <c r="M451" i="3"/>
  <c r="M452" i="3"/>
  <c r="M453" i="3"/>
  <c r="M454" i="3"/>
  <c r="M455" i="3"/>
  <c r="M456" i="3"/>
  <c r="M457" i="3"/>
  <c r="M458" i="3"/>
  <c r="M459" i="3"/>
  <c r="M460" i="3"/>
  <c r="M461" i="3"/>
  <c r="M462" i="3"/>
  <c r="M463" i="3"/>
  <c r="M464" i="3"/>
  <c r="M465" i="3"/>
  <c r="M466" i="3"/>
  <c r="M467" i="3"/>
  <c r="M468" i="3"/>
  <c r="M469" i="3"/>
  <c r="M470" i="3"/>
  <c r="M471" i="3"/>
  <c r="M472" i="3"/>
  <c r="M473" i="3"/>
  <c r="M474" i="3"/>
  <c r="M475" i="3"/>
  <c r="M476" i="3"/>
  <c r="M477" i="3"/>
  <c r="M478" i="3"/>
  <c r="M479" i="3"/>
  <c r="M480" i="3"/>
  <c r="M481" i="3"/>
  <c r="M482" i="3"/>
  <c r="M483" i="3"/>
  <c r="M484" i="3"/>
  <c r="M485" i="3"/>
  <c r="M486" i="3"/>
  <c r="M487" i="3"/>
  <c r="M488" i="3"/>
  <c r="M489" i="3"/>
  <c r="M490" i="3"/>
  <c r="M491" i="3"/>
  <c r="M492" i="3"/>
  <c r="M493" i="3"/>
  <c r="M494" i="3"/>
  <c r="M495" i="3"/>
  <c r="M496" i="3"/>
  <c r="M497" i="3"/>
  <c r="M498" i="3"/>
  <c r="M499" i="3"/>
  <c r="M500" i="3"/>
  <c r="M501" i="3"/>
  <c r="M502" i="3"/>
  <c r="M503" i="3"/>
  <c r="M504" i="3"/>
  <c r="M505" i="3"/>
  <c r="M506" i="3"/>
  <c r="M507" i="3"/>
  <c r="M508" i="3"/>
  <c r="M509" i="3"/>
  <c r="M510" i="3"/>
  <c r="M511" i="3"/>
  <c r="M512" i="3"/>
  <c r="M513" i="3"/>
  <c r="M514" i="3"/>
  <c r="M515" i="3"/>
  <c r="M516" i="3"/>
  <c r="M517" i="3"/>
  <c r="M518" i="3"/>
  <c r="M519" i="3"/>
  <c r="M520" i="3"/>
  <c r="M521" i="3"/>
  <c r="M522" i="3"/>
  <c r="M523" i="3"/>
  <c r="M524" i="3"/>
  <c r="M525" i="3"/>
  <c r="M526" i="3"/>
  <c r="M527" i="3"/>
  <c r="M528" i="3"/>
  <c r="M529" i="3"/>
  <c r="M530" i="3"/>
  <c r="M531" i="3"/>
  <c r="M532" i="3"/>
  <c r="M533" i="3"/>
  <c r="M534" i="3"/>
  <c r="M535" i="3"/>
  <c r="M536" i="3"/>
  <c r="M537" i="3"/>
  <c r="M538" i="3"/>
  <c r="M539" i="3"/>
  <c r="M540" i="3"/>
  <c r="M541" i="3"/>
  <c r="M542" i="3"/>
  <c r="M543" i="3"/>
  <c r="M544" i="3"/>
  <c r="M545" i="3"/>
  <c r="M546" i="3"/>
  <c r="M547" i="3"/>
  <c r="M548" i="3"/>
  <c r="M549" i="3"/>
  <c r="M550" i="3"/>
  <c r="M551" i="3"/>
  <c r="M552" i="3"/>
  <c r="M553" i="3"/>
  <c r="M554" i="3"/>
  <c r="M555" i="3"/>
  <c r="M556" i="3"/>
  <c r="M557" i="3"/>
  <c r="M558" i="3"/>
  <c r="M559" i="3"/>
  <c r="M560" i="3"/>
  <c r="M561" i="3"/>
  <c r="M562" i="3"/>
  <c r="M563" i="3"/>
  <c r="M564" i="3"/>
  <c r="M565" i="3"/>
  <c r="M566" i="3"/>
  <c r="M567" i="3"/>
  <c r="M568" i="3"/>
  <c r="M569" i="3"/>
  <c r="M570" i="3"/>
  <c r="M571" i="3"/>
  <c r="M572" i="3"/>
  <c r="M573" i="3"/>
  <c r="M574" i="3"/>
  <c r="M575" i="3"/>
  <c r="M576" i="3"/>
  <c r="M577" i="3"/>
  <c r="M578" i="3"/>
  <c r="M579" i="3"/>
  <c r="M580" i="3"/>
  <c r="M581" i="3"/>
  <c r="M582" i="3"/>
  <c r="M583" i="3"/>
  <c r="M584" i="3"/>
  <c r="M585" i="3"/>
  <c r="M586" i="3"/>
  <c r="M587" i="3"/>
  <c r="M588" i="3"/>
  <c r="M589" i="3"/>
  <c r="M590" i="3"/>
  <c r="M591" i="3"/>
  <c r="M592" i="3"/>
  <c r="M593" i="3"/>
  <c r="M594" i="3"/>
  <c r="M595" i="3"/>
  <c r="M596" i="3"/>
  <c r="M597" i="3"/>
  <c r="M598" i="3"/>
  <c r="M599" i="3"/>
  <c r="M600" i="3"/>
  <c r="M601" i="3"/>
  <c r="M602" i="3"/>
  <c r="M603" i="3"/>
  <c r="M604" i="3"/>
  <c r="M605" i="3"/>
  <c r="M606" i="3"/>
  <c r="M607" i="3"/>
  <c r="M608" i="3"/>
  <c r="M609" i="3"/>
  <c r="M610" i="3"/>
  <c r="M611" i="3"/>
  <c r="M612" i="3"/>
  <c r="M613" i="3"/>
  <c r="M614" i="3"/>
  <c r="M615" i="3"/>
  <c r="M616" i="3"/>
  <c r="M617" i="3"/>
  <c r="M618" i="3"/>
  <c r="M619" i="3"/>
  <c r="M620" i="3"/>
  <c r="M621" i="3"/>
  <c r="M622" i="3"/>
  <c r="M623" i="3"/>
  <c r="M624" i="3"/>
  <c r="M625" i="3"/>
  <c r="M626" i="3"/>
  <c r="M627" i="3"/>
  <c r="M628" i="3"/>
  <c r="M629" i="3"/>
  <c r="M630" i="3"/>
  <c r="M631" i="3"/>
  <c r="M632" i="3"/>
  <c r="M633" i="3"/>
  <c r="M634" i="3"/>
  <c r="M635" i="3"/>
  <c r="M636" i="3"/>
  <c r="M637" i="3"/>
  <c r="M638" i="3"/>
  <c r="M639" i="3"/>
  <c r="M640" i="3"/>
  <c r="M641" i="3"/>
  <c r="M642" i="3"/>
  <c r="M643" i="3"/>
  <c r="M644" i="3"/>
  <c r="M645" i="3"/>
  <c r="M646" i="3"/>
  <c r="M647" i="3"/>
  <c r="M648" i="3"/>
  <c r="M649" i="3"/>
  <c r="M650" i="3"/>
  <c r="M651" i="3"/>
  <c r="M652" i="3"/>
  <c r="M653" i="3"/>
  <c r="M654" i="3"/>
  <c r="M655" i="3"/>
  <c r="M656" i="3"/>
  <c r="M657" i="3"/>
  <c r="M658" i="3"/>
  <c r="M659" i="3"/>
  <c r="M660" i="3"/>
  <c r="M661" i="3"/>
  <c r="M662" i="3"/>
  <c r="M663" i="3"/>
  <c r="M664" i="3"/>
  <c r="M665" i="3"/>
  <c r="M666" i="3"/>
  <c r="M667" i="3"/>
  <c r="M668" i="3"/>
  <c r="M669" i="3"/>
  <c r="M670" i="3"/>
  <c r="M671" i="3"/>
  <c r="M672" i="3"/>
  <c r="M673" i="3"/>
  <c r="M674" i="3"/>
  <c r="M675" i="3"/>
  <c r="M676" i="3"/>
  <c r="M677" i="3"/>
  <c r="M678" i="3"/>
  <c r="M679" i="3"/>
  <c r="M680" i="3"/>
  <c r="M681" i="3"/>
  <c r="M682" i="3"/>
  <c r="M683" i="3"/>
  <c r="M684" i="3"/>
  <c r="M685" i="3"/>
  <c r="M686" i="3"/>
  <c r="M687" i="3"/>
  <c r="M688" i="3"/>
  <c r="M689" i="3"/>
  <c r="M690" i="3"/>
  <c r="M691" i="3"/>
  <c r="M692" i="3"/>
  <c r="M693" i="3"/>
  <c r="M694" i="3"/>
  <c r="M695" i="3"/>
  <c r="M696" i="3"/>
  <c r="M697" i="3"/>
  <c r="M698" i="3"/>
  <c r="M699" i="3"/>
  <c r="M700" i="3"/>
  <c r="M701" i="3"/>
  <c r="M702" i="3"/>
  <c r="M703" i="3"/>
  <c r="M704" i="3"/>
  <c r="M705" i="3"/>
  <c r="M706" i="3"/>
  <c r="M707" i="3"/>
  <c r="M708" i="3"/>
  <c r="M709" i="3"/>
  <c r="M710" i="3"/>
  <c r="M711" i="3"/>
  <c r="M712" i="3"/>
  <c r="M713" i="3"/>
  <c r="M714" i="3"/>
  <c r="M715" i="3"/>
  <c r="M716" i="3"/>
  <c r="M717" i="3"/>
  <c r="M718" i="3"/>
  <c r="M719" i="3"/>
  <c r="M720" i="3"/>
  <c r="M721" i="3"/>
  <c r="M722" i="3"/>
  <c r="M723" i="3"/>
  <c r="M724" i="3"/>
  <c r="M725" i="3"/>
  <c r="M726" i="3"/>
  <c r="M727" i="3"/>
  <c r="M728" i="3"/>
  <c r="M729" i="3"/>
  <c r="M730" i="3"/>
  <c r="M731" i="3"/>
  <c r="M732" i="3"/>
  <c r="M733" i="3"/>
  <c r="M734" i="3"/>
  <c r="M735" i="3"/>
  <c r="M736" i="3"/>
  <c r="M737" i="3"/>
  <c r="M738" i="3"/>
  <c r="M739" i="3"/>
  <c r="M740" i="3"/>
  <c r="M741" i="3"/>
  <c r="M742" i="3"/>
  <c r="M743" i="3"/>
  <c r="M744" i="3"/>
  <c r="M745" i="3"/>
  <c r="M746" i="3"/>
  <c r="M747" i="3"/>
  <c r="M748" i="3"/>
  <c r="M749" i="3"/>
  <c r="M750" i="3"/>
  <c r="M751" i="3"/>
  <c r="M752" i="3"/>
  <c r="M753" i="3"/>
  <c r="M754" i="3"/>
  <c r="M755" i="3"/>
  <c r="M756" i="3"/>
  <c r="M757" i="3"/>
  <c r="M758" i="3"/>
  <c r="M759" i="3"/>
  <c r="M760" i="3"/>
  <c r="M761" i="3"/>
  <c r="M762" i="3"/>
  <c r="M763" i="3"/>
  <c r="M764" i="3"/>
  <c r="M765" i="3"/>
  <c r="M766" i="3"/>
  <c r="M767" i="3"/>
  <c r="M768" i="3"/>
  <c r="M769" i="3"/>
  <c r="M770" i="3"/>
  <c r="M771" i="3"/>
  <c r="M772" i="3"/>
  <c r="M773" i="3"/>
  <c r="M774" i="3"/>
  <c r="M775" i="3"/>
  <c r="M776" i="3"/>
  <c r="M777" i="3"/>
  <c r="M778" i="3"/>
  <c r="M779" i="3"/>
  <c r="M780" i="3"/>
  <c r="M781" i="3"/>
  <c r="M782" i="3"/>
  <c r="M783" i="3"/>
  <c r="M784" i="3"/>
  <c r="M785" i="3"/>
  <c r="M786" i="3"/>
  <c r="M787" i="3"/>
  <c r="M788" i="3"/>
  <c r="M789" i="3"/>
  <c r="M790" i="3"/>
  <c r="M791" i="3"/>
  <c r="M792" i="3"/>
  <c r="M793" i="3"/>
  <c r="M794" i="3"/>
  <c r="M795" i="3"/>
  <c r="M796" i="3"/>
  <c r="M797" i="3"/>
  <c r="M798" i="3"/>
  <c r="M799" i="3"/>
  <c r="M800" i="3"/>
  <c r="M801" i="3"/>
  <c r="M802" i="3"/>
  <c r="M803" i="3"/>
  <c r="M804" i="3"/>
  <c r="M805" i="3"/>
  <c r="M806" i="3"/>
  <c r="M807" i="3"/>
  <c r="M808" i="3"/>
  <c r="M809" i="3"/>
  <c r="M810" i="3"/>
  <c r="M811" i="3"/>
  <c r="M812" i="3"/>
  <c r="M813" i="3"/>
  <c r="M814" i="3"/>
  <c r="M815" i="3"/>
  <c r="M816" i="3"/>
  <c r="M817" i="3"/>
  <c r="M818" i="3"/>
  <c r="M819" i="3"/>
  <c r="M820" i="3"/>
  <c r="M821" i="3"/>
  <c r="M822" i="3"/>
  <c r="M823" i="3"/>
  <c r="M824" i="3"/>
  <c r="M825" i="3"/>
  <c r="M826" i="3"/>
  <c r="M827" i="3"/>
  <c r="M828" i="3"/>
  <c r="M829" i="3"/>
  <c r="M830" i="3"/>
  <c r="M831" i="3"/>
  <c r="M832" i="3"/>
  <c r="M833" i="3"/>
  <c r="M834" i="3"/>
  <c r="M835" i="3"/>
  <c r="M836" i="3"/>
  <c r="M837" i="3"/>
  <c r="M838" i="3"/>
  <c r="M839" i="3"/>
  <c r="M840" i="3"/>
  <c r="M841" i="3"/>
  <c r="M842" i="3"/>
  <c r="M843" i="3"/>
  <c r="M844" i="3"/>
  <c r="M845" i="3"/>
  <c r="M846" i="3"/>
  <c r="M847" i="3"/>
  <c r="M848" i="3"/>
  <c r="M849" i="3"/>
  <c r="M850" i="3"/>
  <c r="M851" i="3"/>
  <c r="M852" i="3"/>
  <c r="M853" i="3"/>
  <c r="M854" i="3"/>
  <c r="M855" i="3"/>
  <c r="M856" i="3"/>
  <c r="M857" i="3"/>
  <c r="M858" i="3"/>
  <c r="M859" i="3"/>
  <c r="M860" i="3"/>
  <c r="M861" i="3"/>
  <c r="M862" i="3"/>
  <c r="M863" i="3"/>
  <c r="M864" i="3"/>
  <c r="M865" i="3"/>
  <c r="M866" i="3"/>
  <c r="M867" i="3"/>
  <c r="M868" i="3"/>
  <c r="M869" i="3"/>
  <c r="M870" i="3"/>
  <c r="M871" i="3"/>
  <c r="M872" i="3"/>
  <c r="M873" i="3"/>
  <c r="M874" i="3"/>
  <c r="M875" i="3"/>
  <c r="M876" i="3"/>
  <c r="M877" i="3"/>
  <c r="M878" i="3"/>
  <c r="M879" i="3"/>
  <c r="M880" i="3"/>
  <c r="M881" i="3"/>
  <c r="M882" i="3"/>
  <c r="M883" i="3"/>
  <c r="M884" i="3"/>
  <c r="M885" i="3"/>
  <c r="M886" i="3"/>
  <c r="M887" i="3"/>
  <c r="M888" i="3"/>
  <c r="M889" i="3"/>
  <c r="M890" i="3"/>
  <c r="M891" i="3"/>
  <c r="M892" i="3"/>
  <c r="M893" i="3"/>
  <c r="M894" i="3"/>
  <c r="M895" i="3"/>
  <c r="M896" i="3"/>
  <c r="M897" i="3"/>
  <c r="M898" i="3"/>
  <c r="M899" i="3"/>
  <c r="M900" i="3"/>
  <c r="M901" i="3"/>
  <c r="M902" i="3"/>
  <c r="M903" i="3"/>
  <c r="M904" i="3"/>
  <c r="M905" i="3"/>
  <c r="M906" i="3"/>
  <c r="M907" i="3"/>
  <c r="M908" i="3"/>
  <c r="M909" i="3"/>
  <c r="M910" i="3"/>
  <c r="M911" i="3"/>
  <c r="M912" i="3"/>
  <c r="M913" i="3"/>
  <c r="M914" i="3"/>
  <c r="M915" i="3"/>
  <c r="M916" i="3"/>
  <c r="M917" i="3"/>
  <c r="M918" i="3"/>
  <c r="M919" i="3"/>
  <c r="M920" i="3"/>
  <c r="M921" i="3"/>
  <c r="M922" i="3"/>
  <c r="M923" i="3"/>
  <c r="M924" i="3"/>
  <c r="M925" i="3"/>
  <c r="M926" i="3"/>
  <c r="M927" i="3"/>
  <c r="M928" i="3"/>
  <c r="M929" i="3"/>
  <c r="M930" i="3"/>
  <c r="M931" i="3"/>
  <c r="M932" i="3"/>
  <c r="M933" i="3"/>
  <c r="M934" i="3"/>
  <c r="M935" i="3"/>
  <c r="M936" i="3"/>
  <c r="M937" i="3"/>
  <c r="M938" i="3"/>
  <c r="M939" i="3"/>
  <c r="M940" i="3"/>
  <c r="M941" i="3"/>
  <c r="M942" i="3"/>
  <c r="M943" i="3"/>
  <c r="M944" i="3"/>
  <c r="M945" i="3"/>
  <c r="M946" i="3"/>
  <c r="M947" i="3"/>
  <c r="M948" i="3"/>
  <c r="M949" i="3"/>
  <c r="M950" i="3"/>
  <c r="M951" i="3"/>
  <c r="M952" i="3"/>
  <c r="M953" i="3"/>
  <c r="M954" i="3"/>
  <c r="M955" i="3"/>
  <c r="M956" i="3"/>
  <c r="M957" i="3"/>
  <c r="M958" i="3"/>
  <c r="M959" i="3"/>
  <c r="M960" i="3"/>
  <c r="M961" i="3"/>
  <c r="M962" i="3"/>
  <c r="M963" i="3"/>
  <c r="M964" i="3"/>
  <c r="M965" i="3"/>
  <c r="M966" i="3"/>
  <c r="M967" i="3"/>
  <c r="M968" i="3"/>
  <c r="M969" i="3"/>
  <c r="M970" i="3"/>
  <c r="M971" i="3"/>
  <c r="M972" i="3"/>
  <c r="M973" i="3"/>
  <c r="M974" i="3"/>
  <c r="M975" i="3"/>
  <c r="M976" i="3"/>
  <c r="M977" i="3"/>
  <c r="M978" i="3"/>
  <c r="M979" i="3"/>
  <c r="M980" i="3"/>
  <c r="M981" i="3"/>
  <c r="M982" i="3"/>
  <c r="M983" i="3"/>
  <c r="M984" i="3"/>
  <c r="M985" i="3"/>
  <c r="M986" i="3"/>
  <c r="M987" i="3"/>
  <c r="M988" i="3"/>
  <c r="M989" i="3"/>
  <c r="M990" i="3"/>
  <c r="M991" i="3"/>
  <c r="M992" i="3"/>
  <c r="M993" i="3"/>
  <c r="M994" i="3"/>
  <c r="M995" i="3"/>
  <c r="M996" i="3"/>
  <c r="M997" i="3"/>
  <c r="M998" i="3"/>
  <c r="M999" i="3"/>
  <c r="M1000" i="3"/>
  <c r="M1001" i="3"/>
  <c r="M1002" i="3"/>
  <c r="M1003" i="3"/>
  <c r="M1004" i="3"/>
  <c r="M1005" i="3"/>
  <c r="M1006" i="3"/>
  <c r="M1007" i="3"/>
  <c r="M1008" i="3"/>
  <c r="M1009" i="3"/>
  <c r="M1010" i="3"/>
  <c r="M1011" i="3"/>
  <c r="M1012" i="3"/>
  <c r="M1013" i="3"/>
  <c r="M1014" i="3"/>
  <c r="M1015" i="3"/>
  <c r="M1016" i="3"/>
  <c r="M1017" i="3"/>
  <c r="M1018" i="3"/>
  <c r="M1019" i="3"/>
  <c r="M1020" i="3"/>
  <c r="M1021" i="3"/>
  <c r="M1022" i="3"/>
  <c r="M1023" i="3"/>
  <c r="M1024" i="3"/>
  <c r="M1025" i="3"/>
  <c r="M1026" i="3"/>
  <c r="M1027" i="3"/>
  <c r="M1028" i="3"/>
  <c r="M1029" i="3"/>
  <c r="M1030" i="3"/>
  <c r="M1031" i="3"/>
  <c r="M1032" i="3"/>
  <c r="M1033" i="3"/>
  <c r="M1034" i="3"/>
  <c r="M1035" i="3"/>
  <c r="M1036" i="3"/>
  <c r="M1037" i="3"/>
  <c r="M1038" i="3"/>
  <c r="M1039" i="3"/>
  <c r="M1040" i="3"/>
  <c r="M1041" i="3"/>
  <c r="M1042" i="3"/>
  <c r="M1043" i="3"/>
  <c r="M1044" i="3"/>
  <c r="M1045" i="3"/>
  <c r="M1046" i="3"/>
  <c r="M1047" i="3"/>
  <c r="M1048" i="3"/>
  <c r="M1049" i="3"/>
  <c r="M1050" i="3"/>
  <c r="M1051" i="3"/>
  <c r="M1052" i="3"/>
  <c r="M1053" i="3"/>
  <c r="M1054" i="3"/>
  <c r="M1055" i="3"/>
  <c r="M1056" i="3"/>
  <c r="M1057" i="3"/>
  <c r="M1058" i="3"/>
  <c r="M1059" i="3"/>
  <c r="M1060" i="3"/>
  <c r="M1061" i="3"/>
  <c r="M1062" i="3"/>
  <c r="M1063" i="3"/>
  <c r="M1064" i="3"/>
  <c r="M1065" i="3"/>
  <c r="M1066" i="3"/>
  <c r="M1067" i="3"/>
  <c r="M1068" i="3"/>
  <c r="M1069" i="3"/>
  <c r="M1070" i="3"/>
  <c r="M1071" i="3"/>
  <c r="M1072" i="3"/>
  <c r="M1073" i="3"/>
  <c r="M1074" i="3"/>
  <c r="M1075" i="3"/>
  <c r="M1076" i="3"/>
  <c r="M1077" i="3"/>
  <c r="M1078" i="3"/>
  <c r="M1079" i="3"/>
  <c r="M1080" i="3"/>
  <c r="M1081" i="3"/>
  <c r="M1082" i="3"/>
  <c r="M1083" i="3"/>
  <c r="M1084" i="3"/>
  <c r="M1085" i="3"/>
  <c r="M1086" i="3"/>
  <c r="M1087" i="3"/>
  <c r="M1088" i="3"/>
  <c r="M1089" i="3"/>
  <c r="M1090" i="3"/>
  <c r="M1091" i="3"/>
  <c r="M1092" i="3"/>
  <c r="M1093" i="3"/>
  <c r="M1094" i="3"/>
  <c r="M1095" i="3"/>
  <c r="M1096" i="3"/>
  <c r="M1097" i="3"/>
  <c r="M1098" i="3"/>
  <c r="M1099" i="3"/>
  <c r="M1100" i="3"/>
  <c r="M1101" i="3"/>
  <c r="M1102" i="3"/>
  <c r="M1103" i="3"/>
  <c r="M1104" i="3"/>
  <c r="M1105" i="3"/>
  <c r="M1106" i="3"/>
  <c r="M1107" i="3"/>
  <c r="M1108" i="3"/>
  <c r="M1109" i="3"/>
  <c r="M1110" i="3"/>
  <c r="M1111" i="3"/>
  <c r="M1112" i="3"/>
  <c r="M1113" i="3"/>
  <c r="M1114" i="3"/>
  <c r="M1115" i="3"/>
  <c r="M1116" i="3"/>
  <c r="M1117" i="3"/>
  <c r="M1118" i="3"/>
  <c r="M1119" i="3"/>
  <c r="M1120" i="3"/>
  <c r="M1121" i="3"/>
  <c r="M1122" i="3"/>
  <c r="M1123" i="3"/>
  <c r="M1124" i="3"/>
  <c r="M1125" i="3"/>
  <c r="M1126" i="3"/>
  <c r="M1127" i="3"/>
  <c r="M1128" i="3"/>
  <c r="M1129" i="3"/>
  <c r="M1130" i="3"/>
  <c r="M1131" i="3"/>
  <c r="M1132" i="3"/>
  <c r="M1133" i="3"/>
  <c r="M1134" i="3"/>
  <c r="M1135" i="3"/>
  <c r="M1136" i="3"/>
  <c r="M1137" i="3"/>
  <c r="M1138" i="3"/>
  <c r="M1139" i="3"/>
  <c r="M1140" i="3"/>
  <c r="M1141" i="3"/>
  <c r="M1142" i="3"/>
  <c r="M1143" i="3"/>
  <c r="M1144" i="3"/>
  <c r="M1145" i="3"/>
  <c r="M1146" i="3"/>
  <c r="M1147" i="3"/>
  <c r="M1148" i="3"/>
  <c r="M1149" i="3"/>
  <c r="M1150" i="3"/>
  <c r="M1151" i="3"/>
  <c r="M1152" i="3"/>
  <c r="M1153" i="3"/>
  <c r="M1154" i="3"/>
  <c r="M1155" i="3"/>
  <c r="M1156" i="3"/>
  <c r="M1157" i="3"/>
  <c r="M1158" i="3"/>
  <c r="M1159" i="3"/>
  <c r="M1160" i="3"/>
  <c r="M1161" i="3"/>
  <c r="M1162" i="3"/>
  <c r="M1163" i="3"/>
  <c r="M1164" i="3"/>
  <c r="M1165" i="3"/>
  <c r="M1166" i="3"/>
  <c r="M1167" i="3"/>
  <c r="M1168" i="3"/>
  <c r="M1169" i="3"/>
  <c r="M1170" i="3"/>
  <c r="M1171" i="3"/>
  <c r="M1172" i="3"/>
  <c r="M1173" i="3"/>
  <c r="M1174" i="3"/>
  <c r="M1175" i="3"/>
  <c r="M1176" i="3"/>
  <c r="M1177" i="3"/>
  <c r="M1178" i="3"/>
  <c r="M1179" i="3"/>
  <c r="M1180" i="3"/>
  <c r="M1181" i="3"/>
  <c r="M1182" i="3"/>
  <c r="M1183" i="3"/>
  <c r="M1184" i="3"/>
  <c r="M1185" i="3"/>
  <c r="M1186" i="3"/>
  <c r="M1187" i="3"/>
  <c r="M1188" i="3"/>
  <c r="M1189" i="3"/>
  <c r="M1190" i="3"/>
  <c r="M1191" i="3"/>
  <c r="M1192" i="3"/>
  <c r="M1193" i="3"/>
  <c r="M1194" i="3"/>
  <c r="M1195" i="3"/>
  <c r="M1196" i="3"/>
  <c r="M1197" i="3"/>
  <c r="M1198" i="3"/>
  <c r="M1199" i="3"/>
  <c r="M1200" i="3"/>
  <c r="M1201" i="3"/>
  <c r="M1202" i="3"/>
  <c r="M1203" i="3"/>
  <c r="M1204" i="3"/>
  <c r="M1205" i="3"/>
  <c r="M1206" i="3"/>
  <c r="M1207" i="3"/>
  <c r="M1208" i="3"/>
  <c r="M1209" i="3"/>
  <c r="M1210" i="3"/>
  <c r="M1211" i="3"/>
  <c r="M1212" i="3"/>
  <c r="M1213" i="3"/>
  <c r="M1214" i="3"/>
  <c r="M1215" i="3"/>
  <c r="M1216" i="3"/>
  <c r="M1217" i="3"/>
  <c r="M1218" i="3"/>
  <c r="M1219" i="3"/>
  <c r="M1220" i="3"/>
  <c r="M1221" i="3"/>
  <c r="M1222" i="3"/>
  <c r="M1223" i="3"/>
  <c r="M1224" i="3"/>
  <c r="M1225" i="3"/>
  <c r="M1226" i="3"/>
  <c r="M1227" i="3"/>
  <c r="M1228" i="3"/>
  <c r="M1229" i="3"/>
  <c r="M1230" i="3"/>
  <c r="M1231" i="3"/>
  <c r="M1232" i="3"/>
  <c r="M1233" i="3"/>
  <c r="M1234" i="3"/>
  <c r="M1235" i="3"/>
  <c r="M1236" i="3"/>
  <c r="M1237" i="3"/>
  <c r="M1238" i="3"/>
  <c r="M1239" i="3"/>
  <c r="M1240" i="3"/>
  <c r="M1241" i="3"/>
  <c r="M1242" i="3"/>
  <c r="M1243" i="3"/>
  <c r="M1244" i="3"/>
  <c r="M1245" i="3"/>
  <c r="M1246" i="3"/>
  <c r="M1247" i="3"/>
  <c r="M1248" i="3"/>
  <c r="M1249" i="3"/>
  <c r="M1250" i="3"/>
  <c r="M1251" i="3"/>
  <c r="M1252" i="3"/>
  <c r="M1253" i="3"/>
  <c r="M1254" i="3"/>
  <c r="M1255" i="3"/>
  <c r="M1256" i="3"/>
  <c r="M1257" i="3"/>
  <c r="M1258" i="3"/>
  <c r="M1259" i="3"/>
  <c r="M1260" i="3"/>
  <c r="M1261" i="3"/>
  <c r="M1262" i="3"/>
  <c r="M1263" i="3"/>
  <c r="M1264" i="3"/>
  <c r="M1265" i="3"/>
  <c r="M1266" i="3"/>
  <c r="M1267" i="3"/>
  <c r="M1268" i="3"/>
  <c r="M1269" i="3"/>
  <c r="M1270" i="3"/>
  <c r="M1271" i="3"/>
  <c r="M1272" i="3"/>
  <c r="M1273" i="3"/>
  <c r="M1274" i="3"/>
  <c r="M1275" i="3"/>
  <c r="M1276" i="3"/>
  <c r="M1277" i="3"/>
  <c r="M1278" i="3"/>
  <c r="M1279" i="3"/>
  <c r="M1280" i="3"/>
  <c r="M1281" i="3"/>
  <c r="M1282" i="3"/>
  <c r="M1283" i="3"/>
  <c r="M1284" i="3"/>
  <c r="M1285" i="3"/>
  <c r="M1286" i="3"/>
  <c r="M1287" i="3"/>
  <c r="M1288" i="3"/>
  <c r="M1289" i="3"/>
  <c r="M1290" i="3"/>
  <c r="M1291" i="3"/>
  <c r="M1292" i="3"/>
  <c r="M1293" i="3"/>
  <c r="M1294" i="3"/>
  <c r="M1295" i="3"/>
  <c r="M1296" i="3"/>
  <c r="M1297" i="3"/>
  <c r="M1298" i="3"/>
  <c r="M1299" i="3"/>
  <c r="M1300" i="3"/>
  <c r="M1301" i="3"/>
  <c r="M1302" i="3"/>
  <c r="M1303" i="3"/>
  <c r="M1304" i="3"/>
  <c r="M1305" i="3"/>
  <c r="M1306" i="3"/>
  <c r="M1307" i="3"/>
  <c r="M1308" i="3"/>
  <c r="M1309" i="3"/>
  <c r="M1310" i="3"/>
  <c r="M1311" i="3"/>
  <c r="M1312" i="3"/>
  <c r="M1313" i="3"/>
  <c r="M1314" i="3"/>
  <c r="M1315" i="3"/>
  <c r="M1316" i="3"/>
  <c r="M1317" i="3"/>
  <c r="M1318" i="3"/>
  <c r="M1319" i="3"/>
  <c r="M1320" i="3"/>
  <c r="M1321" i="3"/>
  <c r="M1322" i="3"/>
  <c r="M1323" i="3"/>
  <c r="M1324" i="3"/>
  <c r="M1325" i="3"/>
  <c r="M1326" i="3"/>
  <c r="M1327" i="3"/>
  <c r="M1328" i="3"/>
  <c r="M1329" i="3"/>
  <c r="M1330" i="3"/>
  <c r="M1331" i="3"/>
  <c r="M1332" i="3"/>
  <c r="M1333" i="3"/>
  <c r="M1334" i="3"/>
  <c r="M1335" i="3"/>
  <c r="M1336" i="3"/>
  <c r="M1337" i="3"/>
  <c r="M1338" i="3"/>
  <c r="M1339" i="3"/>
  <c r="M1340" i="3"/>
  <c r="M1341" i="3"/>
  <c r="M1342" i="3"/>
  <c r="M1343" i="3"/>
  <c r="M1344" i="3"/>
  <c r="M1345" i="3"/>
  <c r="M1346" i="3"/>
  <c r="M1347" i="3"/>
  <c r="M1348" i="3"/>
  <c r="M1349" i="3"/>
  <c r="M1350" i="3"/>
  <c r="M1351" i="3"/>
  <c r="M1352" i="3"/>
  <c r="M1353" i="3"/>
  <c r="M1354" i="3"/>
  <c r="M1355" i="3"/>
  <c r="M1356" i="3"/>
  <c r="M1357" i="3"/>
  <c r="M1358" i="3"/>
  <c r="M1359" i="3"/>
  <c r="M1360" i="3"/>
  <c r="M1361" i="3"/>
  <c r="M1362" i="3"/>
  <c r="M1363" i="3"/>
  <c r="M1364" i="3"/>
  <c r="M1365" i="3"/>
  <c r="M1366" i="3"/>
  <c r="M1367" i="3"/>
  <c r="M1368" i="3"/>
  <c r="M1369" i="3"/>
  <c r="M1370" i="3"/>
  <c r="M1371" i="3"/>
  <c r="M1372" i="3"/>
  <c r="M1373" i="3"/>
  <c r="M1374" i="3"/>
  <c r="M1375" i="3"/>
  <c r="M1376" i="3"/>
  <c r="M1377" i="3"/>
  <c r="M1378" i="3"/>
  <c r="M1379" i="3"/>
  <c r="M1380" i="3"/>
  <c r="M1381" i="3"/>
  <c r="M1382" i="3"/>
  <c r="M1383" i="3"/>
  <c r="M1384" i="3"/>
  <c r="M1385" i="3"/>
  <c r="M1386" i="3"/>
  <c r="M1387" i="3"/>
  <c r="M1388" i="3"/>
  <c r="M1389" i="3"/>
  <c r="M1390" i="3"/>
  <c r="M1391" i="3"/>
  <c r="M1392" i="3"/>
  <c r="M1393" i="3"/>
  <c r="M1394" i="3"/>
  <c r="M1395" i="3"/>
  <c r="M1396" i="3"/>
  <c r="M1397" i="3"/>
  <c r="M1398" i="3"/>
  <c r="M1399" i="3"/>
  <c r="M1400" i="3"/>
  <c r="M1401" i="3"/>
  <c r="M1402" i="3"/>
  <c r="M1403" i="3"/>
  <c r="M1404" i="3"/>
  <c r="M1405" i="3"/>
  <c r="M1406" i="3"/>
  <c r="M1407" i="3"/>
  <c r="M1408" i="3"/>
  <c r="M1409" i="3"/>
  <c r="M1410" i="3"/>
  <c r="M1411" i="3"/>
  <c r="M1412" i="3"/>
  <c r="M1413" i="3"/>
  <c r="M1414" i="3"/>
  <c r="M1415" i="3"/>
  <c r="M1416" i="3"/>
  <c r="M1417" i="3"/>
  <c r="M1418" i="3"/>
  <c r="M1419" i="3"/>
  <c r="M1420" i="3"/>
  <c r="M1421" i="3"/>
  <c r="M1422" i="3"/>
  <c r="M1423" i="3"/>
  <c r="M1424" i="3"/>
  <c r="M1425" i="3"/>
  <c r="M1426" i="3"/>
  <c r="M1427" i="3"/>
  <c r="M1428" i="3"/>
  <c r="M1429" i="3"/>
  <c r="M1430" i="3"/>
  <c r="M1431" i="3"/>
  <c r="M1432" i="3"/>
  <c r="M1433" i="3"/>
  <c r="M1434" i="3"/>
  <c r="M1435" i="3"/>
  <c r="M1436" i="3"/>
  <c r="M1437" i="3"/>
  <c r="M1438" i="3"/>
  <c r="M1439" i="3"/>
  <c r="M1440" i="3"/>
  <c r="M1441" i="3"/>
  <c r="M1442" i="3"/>
  <c r="M1443" i="3"/>
  <c r="M1444" i="3"/>
  <c r="M1445" i="3"/>
  <c r="M1446" i="3"/>
  <c r="M1447" i="3"/>
  <c r="M1448" i="3"/>
  <c r="M1449" i="3"/>
  <c r="M1450" i="3"/>
  <c r="M1451" i="3"/>
  <c r="M1452" i="3"/>
  <c r="M1453" i="3"/>
  <c r="M1454" i="3"/>
  <c r="M1455" i="3"/>
  <c r="M1456" i="3"/>
  <c r="M1457" i="3"/>
  <c r="M1458" i="3"/>
  <c r="M1459" i="3"/>
  <c r="M1460" i="3"/>
  <c r="M1461" i="3"/>
  <c r="M1462" i="3"/>
  <c r="M1463" i="3"/>
  <c r="M1464" i="3"/>
  <c r="M1465" i="3"/>
  <c r="M1466" i="3"/>
  <c r="M1467" i="3"/>
  <c r="M1468" i="3"/>
  <c r="M1469" i="3"/>
  <c r="M1470" i="3"/>
  <c r="M1471" i="3"/>
  <c r="M1472" i="3"/>
  <c r="M1473" i="3"/>
  <c r="M1474" i="3"/>
  <c r="M1475" i="3"/>
  <c r="M1476" i="3"/>
  <c r="M1477" i="3"/>
  <c r="M1478" i="3"/>
  <c r="M1479" i="3"/>
  <c r="M1480" i="3"/>
  <c r="M1481" i="3"/>
  <c r="M1482" i="3"/>
  <c r="M1483" i="3"/>
  <c r="M1484" i="3"/>
  <c r="M1485" i="3"/>
  <c r="M1486" i="3"/>
  <c r="M1487" i="3"/>
  <c r="M1488" i="3"/>
  <c r="M1489" i="3"/>
  <c r="M1490" i="3"/>
  <c r="M1491" i="3"/>
  <c r="M1492" i="3"/>
  <c r="M1493" i="3"/>
  <c r="M1494" i="3"/>
  <c r="M1495" i="3"/>
  <c r="M1496" i="3"/>
  <c r="M1497" i="3"/>
  <c r="M1498" i="3"/>
  <c r="M1499" i="3"/>
  <c r="M1500" i="3"/>
  <c r="M1501" i="3"/>
  <c r="M1502" i="3"/>
  <c r="M1503" i="3"/>
  <c r="M1504" i="3"/>
  <c r="M1505" i="3"/>
  <c r="M1506" i="3"/>
  <c r="M1507" i="3"/>
  <c r="M1508" i="3"/>
  <c r="M1509" i="3"/>
  <c r="M1510" i="3"/>
  <c r="M1511" i="3"/>
  <c r="M1512" i="3"/>
  <c r="M1513" i="3"/>
  <c r="M1514" i="3"/>
  <c r="M1515" i="3"/>
  <c r="M1516" i="3"/>
  <c r="M1517" i="3"/>
  <c r="M1518" i="3"/>
  <c r="M1519" i="3"/>
  <c r="M1520" i="3"/>
  <c r="M1521" i="3"/>
  <c r="M1522" i="3"/>
  <c r="M1523" i="3"/>
  <c r="M1524" i="3"/>
  <c r="M1525" i="3"/>
  <c r="M1526" i="3"/>
  <c r="M1527" i="3"/>
  <c r="M1528" i="3"/>
  <c r="M1529" i="3"/>
  <c r="M1530" i="3"/>
  <c r="M1531" i="3"/>
  <c r="M1532" i="3"/>
  <c r="M1533" i="3"/>
  <c r="M1534" i="3"/>
  <c r="M1535" i="3"/>
  <c r="M1536" i="3"/>
  <c r="M1537" i="3"/>
  <c r="M1538" i="3"/>
  <c r="M1539" i="3"/>
  <c r="M1540" i="3"/>
  <c r="M1541" i="3"/>
  <c r="M1542" i="3"/>
  <c r="M1543" i="3"/>
  <c r="M1544" i="3"/>
  <c r="M1545" i="3"/>
  <c r="M1546" i="3"/>
  <c r="M1547" i="3"/>
  <c r="M1548" i="3"/>
  <c r="M1549" i="3"/>
  <c r="M1550" i="3"/>
  <c r="M1551" i="3"/>
  <c r="M1552" i="3"/>
  <c r="M1553" i="3"/>
  <c r="M1554" i="3"/>
  <c r="M1555" i="3"/>
  <c r="M1556" i="3"/>
  <c r="M1557" i="3"/>
  <c r="M1558" i="3"/>
  <c r="M1559" i="3"/>
  <c r="M1560" i="3"/>
  <c r="M1561" i="3"/>
  <c r="M1562" i="3"/>
  <c r="M1563" i="3"/>
  <c r="M1564" i="3"/>
  <c r="M1565" i="3"/>
  <c r="M1566" i="3"/>
  <c r="M1567" i="3"/>
  <c r="M1568" i="3"/>
  <c r="M1569" i="3"/>
  <c r="M1570" i="3"/>
  <c r="M1571" i="3"/>
  <c r="M1572" i="3"/>
  <c r="M1573" i="3"/>
  <c r="M1574" i="3"/>
  <c r="M1575" i="3"/>
  <c r="M1576" i="3"/>
  <c r="M1577" i="3"/>
  <c r="M1578" i="3"/>
  <c r="M1579" i="3"/>
  <c r="M1580" i="3"/>
  <c r="M1581" i="3"/>
  <c r="M1582" i="3"/>
  <c r="M1583" i="3"/>
  <c r="M1584" i="3"/>
  <c r="M1585" i="3"/>
  <c r="M1586" i="3"/>
  <c r="M1587" i="3"/>
  <c r="M1588" i="3"/>
  <c r="M1589" i="3"/>
  <c r="M1590" i="3"/>
  <c r="M1591" i="3"/>
  <c r="M1592" i="3"/>
  <c r="M1593" i="3"/>
  <c r="M1594" i="3"/>
  <c r="M1595" i="3"/>
  <c r="M1596" i="3"/>
  <c r="M1597" i="3"/>
  <c r="M1598" i="3"/>
  <c r="M1599" i="3"/>
  <c r="M1600" i="3"/>
  <c r="M1601" i="3"/>
  <c r="M1602" i="3"/>
  <c r="M1603" i="3"/>
  <c r="M1604" i="3"/>
  <c r="M1605" i="3"/>
  <c r="M1606" i="3"/>
  <c r="M1607" i="3"/>
  <c r="M1608" i="3"/>
  <c r="M1609" i="3"/>
  <c r="M1610" i="3"/>
  <c r="M1611" i="3"/>
  <c r="M1612" i="3"/>
  <c r="M1613" i="3"/>
  <c r="M1614" i="3"/>
  <c r="M1615" i="3"/>
  <c r="M1616" i="3"/>
  <c r="M1617" i="3"/>
  <c r="M1618" i="3"/>
  <c r="M1619" i="3"/>
  <c r="M1620" i="3"/>
  <c r="M1621" i="3"/>
  <c r="M1622" i="3"/>
  <c r="M1623" i="3"/>
  <c r="M1624" i="3"/>
  <c r="M1625" i="3"/>
  <c r="M1626" i="3"/>
  <c r="M1627" i="3"/>
  <c r="M1628" i="3"/>
  <c r="M1629" i="3"/>
  <c r="M1630" i="3"/>
  <c r="M1631" i="3"/>
  <c r="M1632" i="3"/>
  <c r="M1633" i="3"/>
  <c r="M1634" i="3"/>
  <c r="M1635" i="3"/>
  <c r="M1636" i="3"/>
  <c r="M1637" i="3"/>
  <c r="M1638" i="3"/>
  <c r="M1639" i="3"/>
  <c r="M1640" i="3"/>
  <c r="M1641" i="3"/>
  <c r="M1642" i="3"/>
  <c r="M1643" i="3"/>
  <c r="M1644" i="3"/>
  <c r="M1645" i="3"/>
  <c r="M1646" i="3"/>
  <c r="M1647" i="3"/>
  <c r="M1648" i="3"/>
  <c r="M1649" i="3"/>
  <c r="M1650" i="3"/>
  <c r="M1651" i="3"/>
  <c r="M1652" i="3"/>
  <c r="M1653" i="3"/>
  <c r="M1654" i="3"/>
  <c r="M1655" i="3"/>
  <c r="M1656" i="3"/>
  <c r="M1657" i="3"/>
  <c r="M1658" i="3"/>
  <c r="M1659" i="3"/>
  <c r="M1660" i="3"/>
  <c r="M1661" i="3"/>
  <c r="M1662" i="3"/>
  <c r="M1663" i="3"/>
  <c r="M1664" i="3"/>
  <c r="M1665" i="3"/>
  <c r="M1666" i="3"/>
  <c r="M1667" i="3"/>
  <c r="M1668" i="3"/>
  <c r="M1669" i="3"/>
  <c r="M1670" i="3"/>
  <c r="M1671" i="3"/>
  <c r="M1672" i="3"/>
  <c r="M1673" i="3"/>
  <c r="M1674" i="3"/>
  <c r="M1675" i="3"/>
  <c r="M1676" i="3"/>
  <c r="M1677" i="3"/>
  <c r="M1678" i="3"/>
  <c r="M1679" i="3"/>
  <c r="M1680" i="3"/>
  <c r="M1681" i="3"/>
  <c r="M1682" i="3"/>
  <c r="M1683" i="3"/>
  <c r="M1684" i="3"/>
  <c r="M1685" i="3"/>
  <c r="M1686" i="3"/>
  <c r="M1687" i="3"/>
  <c r="M1688" i="3"/>
  <c r="M1689" i="3"/>
  <c r="M1690" i="3"/>
  <c r="M1691" i="3"/>
  <c r="M1692" i="3"/>
  <c r="M1693" i="3"/>
  <c r="M1694" i="3"/>
  <c r="M1695" i="3"/>
  <c r="M1696" i="3"/>
  <c r="M1697" i="3"/>
  <c r="M1698" i="3"/>
  <c r="M1699" i="3"/>
  <c r="M1700" i="3"/>
  <c r="M1701" i="3"/>
  <c r="M1702" i="3"/>
  <c r="M1703" i="3"/>
  <c r="M1704" i="3"/>
  <c r="M1705" i="3"/>
  <c r="M1706" i="3"/>
  <c r="M1707" i="3"/>
  <c r="M1708" i="3"/>
  <c r="M1709" i="3"/>
  <c r="M1710" i="3"/>
  <c r="M1711" i="3"/>
  <c r="M1712" i="3"/>
  <c r="M1713" i="3"/>
  <c r="M1714" i="3"/>
  <c r="M1715" i="3"/>
  <c r="M1716" i="3"/>
  <c r="M1717" i="3"/>
  <c r="M1718" i="3"/>
  <c r="M1719" i="3"/>
  <c r="M1720" i="3"/>
  <c r="M1721" i="3"/>
  <c r="M1722" i="3"/>
  <c r="M1723" i="3"/>
  <c r="M1724" i="3"/>
  <c r="M1725" i="3"/>
  <c r="M1726" i="3"/>
  <c r="M1727" i="3"/>
  <c r="M1728" i="3"/>
  <c r="M1729" i="3"/>
  <c r="M1730" i="3"/>
  <c r="M1731" i="3"/>
  <c r="M1732" i="3"/>
  <c r="M1733" i="3"/>
  <c r="M1734" i="3"/>
  <c r="M1735" i="3"/>
  <c r="M1736" i="3"/>
  <c r="M1737" i="3"/>
  <c r="M1738" i="3"/>
  <c r="M1739" i="3"/>
  <c r="M1740" i="3"/>
  <c r="M1741" i="3"/>
  <c r="M1742" i="3"/>
  <c r="M1743" i="3"/>
  <c r="M1744" i="3"/>
  <c r="M1745" i="3"/>
  <c r="M1746" i="3"/>
  <c r="M1747" i="3"/>
  <c r="M1748" i="3"/>
  <c r="M1749" i="3"/>
  <c r="M1750" i="3"/>
  <c r="M1751" i="3"/>
  <c r="M1752" i="3"/>
  <c r="M1753" i="3"/>
  <c r="M1754" i="3"/>
  <c r="M1755" i="3"/>
  <c r="M1756" i="3"/>
  <c r="M1757" i="3"/>
  <c r="M1758" i="3"/>
  <c r="M1759" i="3"/>
  <c r="M1760" i="3"/>
  <c r="M1761" i="3"/>
  <c r="M1762" i="3"/>
  <c r="M1763" i="3"/>
  <c r="M1764" i="3"/>
  <c r="M1765" i="3"/>
  <c r="M1766" i="3"/>
  <c r="M1767" i="3"/>
  <c r="M1768" i="3"/>
  <c r="M1769" i="3"/>
  <c r="M1770" i="3"/>
  <c r="M1771" i="3"/>
  <c r="M1772" i="3"/>
  <c r="M1773" i="3"/>
  <c r="M1774" i="3"/>
  <c r="M1775" i="3"/>
  <c r="M1776" i="3"/>
  <c r="M1777" i="3"/>
  <c r="M1778" i="3"/>
  <c r="M1779" i="3"/>
  <c r="M1780" i="3"/>
  <c r="M1781" i="3"/>
  <c r="M1782" i="3"/>
  <c r="M1783" i="3"/>
  <c r="M1784" i="3"/>
  <c r="M1785" i="3"/>
  <c r="M1786" i="3"/>
  <c r="M1787" i="3"/>
  <c r="M1788" i="3"/>
  <c r="M1789" i="3"/>
  <c r="M1790" i="3"/>
  <c r="M1791" i="3"/>
  <c r="M1792" i="3"/>
  <c r="M1793" i="3"/>
  <c r="M1794" i="3"/>
  <c r="M1795" i="3"/>
  <c r="M1796" i="3"/>
  <c r="M1797" i="3"/>
  <c r="M1798" i="3"/>
  <c r="M1799" i="3"/>
  <c r="M1800" i="3"/>
  <c r="M1801" i="3"/>
  <c r="M1802" i="3"/>
  <c r="M1803" i="3"/>
  <c r="M1804" i="3"/>
  <c r="M1805" i="3"/>
  <c r="M1806" i="3"/>
  <c r="M1807" i="3"/>
  <c r="M1808" i="3"/>
  <c r="M1809" i="3"/>
  <c r="M1810" i="3"/>
  <c r="M1811" i="3"/>
  <c r="M1812" i="3"/>
  <c r="M1813" i="3"/>
  <c r="M1814" i="3"/>
  <c r="M1815" i="3"/>
  <c r="M1816" i="3"/>
  <c r="M1817" i="3"/>
  <c r="M1818" i="3"/>
  <c r="M1819" i="3"/>
  <c r="M1820" i="3"/>
  <c r="M1821" i="3"/>
  <c r="M1822" i="3"/>
  <c r="M1823" i="3"/>
  <c r="M1824" i="3"/>
  <c r="M1825" i="3"/>
  <c r="M1826" i="3"/>
  <c r="M1827" i="3"/>
  <c r="M1828" i="3"/>
  <c r="M1829" i="3"/>
  <c r="M1830" i="3"/>
  <c r="M1831" i="3"/>
  <c r="M1832" i="3"/>
  <c r="M1833" i="3"/>
  <c r="M1834" i="3"/>
  <c r="M1835" i="3"/>
  <c r="M1836" i="3"/>
  <c r="M1837" i="3"/>
  <c r="M1838" i="3"/>
  <c r="M1839" i="3"/>
  <c r="M1840" i="3"/>
  <c r="M1841" i="3"/>
  <c r="M1842" i="3"/>
  <c r="M1843" i="3"/>
  <c r="M1844" i="3"/>
  <c r="M1845" i="3"/>
  <c r="M1846" i="3"/>
  <c r="M1847" i="3"/>
  <c r="M1848" i="3"/>
  <c r="M1849" i="3"/>
  <c r="M1850" i="3"/>
  <c r="M1851" i="3"/>
  <c r="M1852" i="3"/>
  <c r="M1853" i="3"/>
  <c r="M1854" i="3"/>
  <c r="M1855" i="3"/>
  <c r="M1856" i="3"/>
  <c r="M1857" i="3"/>
  <c r="M1858" i="3"/>
  <c r="M1859" i="3"/>
  <c r="M1860" i="3"/>
  <c r="M1861" i="3"/>
  <c r="M1862" i="3"/>
  <c r="M1863" i="3"/>
  <c r="M1864" i="3"/>
  <c r="M1865" i="3"/>
  <c r="M1866" i="3"/>
  <c r="M1867" i="3"/>
  <c r="M1868" i="3"/>
  <c r="M1869" i="3"/>
  <c r="M1870" i="3"/>
  <c r="M1871" i="3"/>
  <c r="M1872" i="3"/>
  <c r="M1873" i="3"/>
  <c r="M1874" i="3"/>
  <c r="M1875" i="3"/>
  <c r="M1876" i="3"/>
  <c r="M1877" i="3"/>
  <c r="M1878" i="3"/>
  <c r="M1879" i="3"/>
  <c r="M1880" i="3"/>
  <c r="M1881" i="3"/>
  <c r="M1882" i="3"/>
  <c r="M1883" i="3"/>
  <c r="M1884" i="3"/>
  <c r="M1885" i="3"/>
  <c r="M1886" i="3"/>
  <c r="M1887" i="3"/>
  <c r="M1888" i="3"/>
  <c r="M1889" i="3"/>
  <c r="M1890" i="3"/>
  <c r="M1891" i="3"/>
  <c r="M1892" i="3"/>
  <c r="M1893" i="3"/>
  <c r="M1894" i="3"/>
  <c r="M1895" i="3"/>
  <c r="M1896" i="3"/>
  <c r="M1897" i="3"/>
  <c r="M1898" i="3"/>
  <c r="M1899" i="3"/>
  <c r="M1900" i="3"/>
  <c r="M1901" i="3"/>
  <c r="M1902" i="3"/>
  <c r="M1903" i="3"/>
  <c r="M1904" i="3"/>
  <c r="M1905" i="3"/>
  <c r="M1906" i="3"/>
  <c r="M1907" i="3"/>
  <c r="M1908" i="3"/>
  <c r="M1909" i="3"/>
  <c r="M1910" i="3"/>
  <c r="M1911" i="3"/>
  <c r="M1912" i="3"/>
  <c r="M1913" i="3"/>
  <c r="M1914" i="3"/>
  <c r="M1915" i="3"/>
  <c r="M1916" i="3"/>
  <c r="M1917" i="3"/>
  <c r="M1918" i="3"/>
  <c r="M1919" i="3"/>
  <c r="M1920" i="3"/>
  <c r="M1921" i="3"/>
  <c r="M1922" i="3"/>
  <c r="M1923" i="3"/>
  <c r="M1924" i="3"/>
  <c r="M1925" i="3"/>
  <c r="M1926" i="3"/>
  <c r="M1927" i="3"/>
  <c r="M1928" i="3"/>
  <c r="M1929" i="3"/>
  <c r="M1930" i="3"/>
  <c r="M1931" i="3"/>
  <c r="M1932" i="3"/>
  <c r="M1933" i="3"/>
  <c r="M1934" i="3"/>
  <c r="M1935" i="3"/>
  <c r="M1936" i="3"/>
  <c r="M1937" i="3"/>
  <c r="M1938" i="3"/>
  <c r="M1939" i="3"/>
  <c r="M1940" i="3"/>
  <c r="M1941" i="3"/>
  <c r="M1942" i="3"/>
  <c r="M1943" i="3"/>
  <c r="M1944" i="3"/>
  <c r="M1945" i="3"/>
  <c r="M1946" i="3"/>
  <c r="M1947" i="3"/>
  <c r="M1948" i="3"/>
  <c r="M1949" i="3"/>
  <c r="M1950" i="3"/>
  <c r="M1951" i="3"/>
  <c r="M1952" i="3"/>
  <c r="M1953" i="3"/>
  <c r="M1954" i="3"/>
  <c r="M1955" i="3"/>
  <c r="M1956" i="3"/>
  <c r="M1957" i="3"/>
  <c r="M1958" i="3"/>
  <c r="M1959" i="3"/>
  <c r="M1960" i="3"/>
  <c r="M1961" i="3"/>
  <c r="M1962" i="3"/>
  <c r="M1963" i="3"/>
  <c r="M1964" i="3"/>
  <c r="M1965" i="3"/>
  <c r="M1966" i="3"/>
  <c r="M1967" i="3"/>
  <c r="M1968" i="3"/>
  <c r="M1969" i="3"/>
  <c r="M1970" i="3"/>
  <c r="M1971" i="3"/>
  <c r="M1972" i="3"/>
  <c r="M1973" i="3"/>
  <c r="M1974" i="3"/>
  <c r="M1975" i="3"/>
  <c r="M1976" i="3"/>
  <c r="M1977" i="3"/>
  <c r="M1978" i="3"/>
  <c r="M1979" i="3"/>
  <c r="M1980" i="3"/>
  <c r="M1981" i="3"/>
  <c r="M1982" i="3"/>
  <c r="M1983" i="3"/>
  <c r="M1984" i="3"/>
  <c r="M1985" i="3"/>
  <c r="M1986" i="3"/>
  <c r="M1987" i="3"/>
  <c r="M1988" i="3"/>
  <c r="M1989" i="3"/>
  <c r="M1990" i="3"/>
  <c r="M1991" i="3"/>
  <c r="M1992" i="3"/>
  <c r="M1993" i="3"/>
  <c r="M1994" i="3"/>
  <c r="M1995" i="3"/>
  <c r="M1996" i="3"/>
  <c r="M1997" i="3"/>
  <c r="M1998" i="3"/>
  <c r="M1999" i="3"/>
  <c r="M2000" i="3"/>
  <c r="M2001" i="3"/>
  <c r="M2002" i="3"/>
  <c r="M2003" i="3"/>
  <c r="M2004" i="3"/>
  <c r="M2005" i="3"/>
  <c r="M2006" i="3"/>
  <c r="M2007" i="3"/>
  <c r="M2008" i="3"/>
  <c r="M2009" i="3"/>
  <c r="M2010" i="3"/>
  <c r="M2011" i="3"/>
  <c r="M2012" i="3"/>
  <c r="M2013" i="3"/>
  <c r="M2014" i="3"/>
  <c r="M2015" i="3"/>
  <c r="M2016" i="3"/>
  <c r="M2017" i="3"/>
  <c r="M2018" i="3"/>
  <c r="M2019" i="3"/>
  <c r="M2020" i="3"/>
  <c r="M2021" i="3"/>
  <c r="M2022" i="3"/>
  <c r="M2023" i="3"/>
  <c r="M2024" i="3"/>
  <c r="M2025" i="3"/>
  <c r="M2026" i="3"/>
  <c r="M2027" i="3"/>
  <c r="M2028" i="3"/>
  <c r="M2029" i="3"/>
  <c r="M2030" i="3"/>
  <c r="M2031" i="3"/>
  <c r="M2032" i="3"/>
  <c r="M2033" i="3"/>
  <c r="M2034" i="3"/>
  <c r="M2035" i="3"/>
  <c r="M2036" i="3"/>
  <c r="M2037" i="3"/>
  <c r="M2038" i="3"/>
  <c r="M2039" i="3"/>
  <c r="M2040" i="3"/>
  <c r="M2041" i="3"/>
  <c r="M2042" i="3"/>
  <c r="M2043" i="3"/>
  <c r="M2044" i="3"/>
  <c r="M2045" i="3"/>
  <c r="M2046" i="3"/>
  <c r="M2047" i="3"/>
  <c r="M2048" i="3"/>
  <c r="M2049" i="3"/>
  <c r="M2050" i="3"/>
  <c r="M2051" i="3"/>
  <c r="M2052" i="3"/>
  <c r="M2053" i="3"/>
  <c r="M2054" i="3"/>
  <c r="M2055" i="3"/>
  <c r="M2056" i="3"/>
  <c r="M2057" i="3"/>
  <c r="M2058" i="3"/>
  <c r="M2059" i="3"/>
  <c r="M2060" i="3"/>
  <c r="M2061" i="3"/>
  <c r="M2062" i="3"/>
  <c r="M2063" i="3"/>
  <c r="M2064" i="3"/>
  <c r="M2065" i="3"/>
  <c r="M2066" i="3"/>
  <c r="M2067" i="3"/>
  <c r="M2068" i="3"/>
  <c r="M2069" i="3"/>
  <c r="M2070" i="3"/>
  <c r="M2071" i="3"/>
  <c r="M2072" i="3"/>
  <c r="M2073" i="3"/>
  <c r="M2074" i="3"/>
  <c r="M2075" i="3"/>
  <c r="M2076" i="3"/>
  <c r="M2077" i="3"/>
  <c r="M2078" i="3"/>
  <c r="M2079" i="3"/>
  <c r="M2080" i="3"/>
  <c r="M2081" i="3"/>
  <c r="M2082" i="3"/>
  <c r="M2083" i="3"/>
  <c r="M2084" i="3"/>
  <c r="M2085" i="3"/>
  <c r="M2086" i="3"/>
  <c r="M2087" i="3"/>
  <c r="M2088" i="3"/>
  <c r="M2089" i="3"/>
  <c r="M2090" i="3"/>
  <c r="M2091" i="3"/>
  <c r="M2092" i="3"/>
  <c r="M2093" i="3"/>
  <c r="M2094" i="3"/>
  <c r="M2095" i="3"/>
  <c r="M2096" i="3"/>
  <c r="M2097" i="3"/>
  <c r="M2098" i="3"/>
  <c r="M2099" i="3"/>
  <c r="M2100" i="3"/>
  <c r="M2101" i="3"/>
  <c r="M2102" i="3"/>
  <c r="M2103" i="3"/>
  <c r="M2104" i="3"/>
  <c r="M2105" i="3"/>
  <c r="M2106" i="3"/>
  <c r="M2107" i="3"/>
  <c r="M2108" i="3"/>
  <c r="M2109" i="3"/>
  <c r="M2110" i="3"/>
  <c r="M2111" i="3"/>
  <c r="M2112" i="3"/>
  <c r="M2113" i="3"/>
  <c r="M2114" i="3"/>
  <c r="M2115" i="3"/>
  <c r="M2116" i="3"/>
  <c r="M2117" i="3"/>
  <c r="M2118" i="3"/>
  <c r="M2119" i="3"/>
  <c r="M2120" i="3"/>
  <c r="M2121" i="3"/>
  <c r="M2122" i="3"/>
  <c r="M2123" i="3"/>
  <c r="M2124" i="3"/>
  <c r="M2125" i="3"/>
  <c r="M2126" i="3"/>
  <c r="M2127" i="3"/>
  <c r="M2128" i="3"/>
  <c r="M2129" i="3"/>
  <c r="M2130" i="3"/>
  <c r="M2131" i="3"/>
  <c r="M2132" i="3"/>
  <c r="M2133" i="3"/>
  <c r="M2134" i="3"/>
  <c r="M2135" i="3"/>
  <c r="M2136" i="3"/>
  <c r="M2137" i="3"/>
  <c r="M2138" i="3"/>
  <c r="M2139" i="3"/>
  <c r="M2140" i="3"/>
  <c r="M2141" i="3"/>
  <c r="M2142" i="3"/>
  <c r="M2143" i="3"/>
  <c r="M2144" i="3"/>
  <c r="M2145" i="3"/>
  <c r="M2146" i="3"/>
  <c r="M2147" i="3"/>
  <c r="M2148" i="3"/>
  <c r="M2149" i="3"/>
  <c r="M2150" i="3"/>
  <c r="M2151" i="3"/>
  <c r="M2152" i="3"/>
  <c r="M2153" i="3"/>
  <c r="M2154" i="3"/>
  <c r="M2155" i="3"/>
  <c r="M2156" i="3"/>
  <c r="M2157" i="3"/>
  <c r="M2158" i="3"/>
  <c r="M2159" i="3"/>
  <c r="M2160" i="3"/>
  <c r="M2161" i="3"/>
  <c r="M2162" i="3"/>
  <c r="M2163" i="3"/>
  <c r="M2164" i="3"/>
  <c r="M2165" i="3"/>
  <c r="M2166" i="3"/>
  <c r="M2167" i="3"/>
  <c r="M2168" i="3"/>
  <c r="M2169" i="3"/>
  <c r="M2170" i="3"/>
  <c r="M2171" i="3"/>
  <c r="M2172" i="3"/>
  <c r="M2173" i="3"/>
  <c r="M2174" i="3"/>
  <c r="M2175" i="3"/>
  <c r="M2176" i="3"/>
  <c r="M2177" i="3"/>
  <c r="M2178" i="3"/>
  <c r="M2179" i="3"/>
  <c r="M2180" i="3"/>
  <c r="M2181" i="3"/>
  <c r="M2182" i="3"/>
  <c r="M2183" i="3"/>
  <c r="M2184" i="3"/>
  <c r="M2185" i="3"/>
  <c r="M2186" i="3"/>
  <c r="M2187" i="3"/>
  <c r="M2188" i="3"/>
  <c r="M2189" i="3"/>
  <c r="M2190" i="3"/>
  <c r="M2191" i="3"/>
  <c r="M2192" i="3"/>
  <c r="M2193" i="3"/>
  <c r="M2194" i="3"/>
  <c r="M2195" i="3"/>
  <c r="M2196" i="3"/>
  <c r="M2197" i="3"/>
  <c r="M2198" i="3"/>
  <c r="M2199" i="3"/>
  <c r="M2200" i="3"/>
  <c r="M2201" i="3"/>
  <c r="M2202" i="3"/>
  <c r="M2203" i="3"/>
  <c r="M2204" i="3"/>
  <c r="M2205" i="3"/>
  <c r="M2206" i="3"/>
  <c r="M2207" i="3"/>
  <c r="M2208" i="3"/>
  <c r="M2209" i="3"/>
  <c r="M2210" i="3"/>
  <c r="M2211" i="3"/>
  <c r="M2212" i="3"/>
  <c r="M2213" i="3"/>
  <c r="M2214" i="3"/>
  <c r="M2215" i="3"/>
  <c r="M2216" i="3"/>
  <c r="M2217" i="3"/>
  <c r="M2218" i="3"/>
  <c r="M2219" i="3"/>
  <c r="M2220" i="3"/>
  <c r="M2221" i="3"/>
  <c r="M2222" i="3"/>
  <c r="M2223" i="3"/>
  <c r="M2224" i="3"/>
  <c r="M2225" i="3"/>
  <c r="M2226" i="3"/>
  <c r="M2227" i="3"/>
  <c r="M2228" i="3"/>
  <c r="M2229" i="3"/>
  <c r="M2230" i="3"/>
  <c r="M2231" i="3"/>
  <c r="M2232" i="3"/>
  <c r="M2233" i="3"/>
  <c r="M2234" i="3"/>
  <c r="M2235" i="3"/>
  <c r="M2236" i="3"/>
  <c r="M2237" i="3"/>
  <c r="M2238" i="3"/>
  <c r="M2239" i="3"/>
  <c r="M2240" i="3"/>
  <c r="M2241" i="3"/>
  <c r="M2242" i="3"/>
  <c r="M2243" i="3"/>
  <c r="M2244" i="3"/>
  <c r="M2245" i="3"/>
  <c r="M2246" i="3"/>
  <c r="M2247" i="3"/>
  <c r="M2248" i="3"/>
  <c r="M2249" i="3"/>
  <c r="M2250" i="3"/>
  <c r="M2251" i="3"/>
  <c r="M2252" i="3"/>
  <c r="M2253" i="3"/>
  <c r="M2254" i="3"/>
  <c r="M2255" i="3"/>
  <c r="M2256" i="3"/>
  <c r="M2257" i="3"/>
  <c r="M2258" i="3"/>
  <c r="M2259" i="3"/>
  <c r="M2260" i="3"/>
  <c r="M2261" i="3"/>
  <c r="M2262" i="3"/>
  <c r="M2263" i="3"/>
  <c r="M2264" i="3"/>
  <c r="M2265" i="3"/>
  <c r="M2266" i="3"/>
  <c r="M2267" i="3"/>
  <c r="M2268" i="3"/>
  <c r="M2269" i="3"/>
  <c r="M2270" i="3"/>
  <c r="M2271" i="3"/>
  <c r="M2272" i="3"/>
  <c r="M2273" i="3"/>
  <c r="M2274" i="3"/>
  <c r="M2275" i="3"/>
  <c r="M2276" i="3"/>
  <c r="M2277" i="3"/>
  <c r="M2278" i="3"/>
  <c r="M2279" i="3"/>
  <c r="M2280" i="3"/>
  <c r="M2281" i="3"/>
  <c r="M2282" i="3"/>
  <c r="M2283" i="3"/>
  <c r="M2284" i="3"/>
  <c r="M2285" i="3"/>
  <c r="M2286" i="3"/>
  <c r="M2287" i="3"/>
  <c r="M2288" i="3"/>
  <c r="M2289" i="3"/>
  <c r="M2290" i="3"/>
  <c r="M2291" i="3"/>
  <c r="M2292" i="3"/>
  <c r="M2293" i="3"/>
  <c r="M2294" i="3"/>
  <c r="M2295" i="3"/>
  <c r="M2296" i="3"/>
  <c r="M2297" i="3"/>
  <c r="M2298" i="3"/>
  <c r="M2299" i="3"/>
  <c r="M2300" i="3"/>
  <c r="M2301" i="3"/>
  <c r="M2302" i="3"/>
  <c r="M2303" i="3"/>
  <c r="M2304" i="3"/>
  <c r="M2305" i="3"/>
  <c r="M2306" i="3"/>
  <c r="M2307" i="3"/>
  <c r="M2308" i="3"/>
  <c r="M2309" i="3"/>
  <c r="M2310" i="3"/>
  <c r="M2311" i="3"/>
  <c r="M2312" i="3"/>
  <c r="M2313" i="3"/>
  <c r="M2314" i="3"/>
  <c r="M2315" i="3"/>
  <c r="M2316" i="3"/>
  <c r="M2317" i="3"/>
  <c r="M2318" i="3"/>
  <c r="M2319" i="3"/>
  <c r="M2320" i="3"/>
  <c r="M2321" i="3"/>
  <c r="M2322" i="3"/>
  <c r="M2323" i="3"/>
  <c r="M2324" i="3"/>
  <c r="M2325" i="3"/>
  <c r="M2326" i="3"/>
  <c r="M2327" i="3"/>
  <c r="M2328" i="3"/>
  <c r="M2329" i="3"/>
  <c r="M2330" i="3"/>
  <c r="M2331" i="3"/>
  <c r="M2332" i="3"/>
  <c r="M2333" i="3"/>
  <c r="M2334" i="3"/>
  <c r="M2335" i="3"/>
  <c r="M2336" i="3"/>
  <c r="M2337" i="3"/>
  <c r="M2338" i="3"/>
  <c r="M2339" i="3"/>
  <c r="M2340" i="3"/>
  <c r="M2341" i="3"/>
  <c r="M2342" i="3"/>
  <c r="M2343" i="3"/>
  <c r="M2344" i="3"/>
  <c r="M2345" i="3"/>
  <c r="M2346" i="3"/>
  <c r="M2347" i="3"/>
  <c r="M2348" i="3"/>
  <c r="M2349" i="3"/>
  <c r="M2350" i="3"/>
  <c r="M2351" i="3"/>
  <c r="M2352" i="3"/>
  <c r="M2353" i="3"/>
  <c r="M2354" i="3"/>
  <c r="M2355" i="3"/>
  <c r="M2356" i="3"/>
  <c r="M2357" i="3"/>
  <c r="M2358" i="3"/>
  <c r="M2359" i="3"/>
  <c r="M2360" i="3"/>
  <c r="M2361" i="3"/>
  <c r="M2362" i="3"/>
  <c r="M2363" i="3"/>
  <c r="M2364" i="3"/>
  <c r="M2365" i="3"/>
  <c r="M2366" i="3"/>
  <c r="M2367" i="3"/>
  <c r="M2368" i="3"/>
  <c r="M2369" i="3"/>
  <c r="M2370" i="3"/>
  <c r="M2371" i="3"/>
  <c r="M2372" i="3"/>
  <c r="M2373" i="3"/>
  <c r="M2374" i="3"/>
  <c r="M2375" i="3"/>
  <c r="M2376" i="3"/>
  <c r="M2377" i="3"/>
  <c r="M2378" i="3"/>
  <c r="M2379" i="3"/>
  <c r="M2380" i="3"/>
  <c r="M2381" i="3"/>
  <c r="M2382" i="3"/>
  <c r="M2383" i="3"/>
  <c r="M2384" i="3"/>
  <c r="M2385" i="3"/>
  <c r="M2386" i="3"/>
  <c r="M2387" i="3"/>
  <c r="M2388" i="3"/>
  <c r="M2389" i="3"/>
  <c r="M2390" i="3"/>
  <c r="M2391" i="3"/>
  <c r="M2392" i="3"/>
  <c r="M2393" i="3"/>
  <c r="M2394" i="3"/>
  <c r="M2395" i="3"/>
  <c r="M2396" i="3"/>
  <c r="M2397" i="3"/>
  <c r="M2398" i="3"/>
  <c r="M2399" i="3"/>
  <c r="M2400" i="3"/>
  <c r="M2401" i="3"/>
  <c r="M2402" i="3"/>
  <c r="M2403" i="3"/>
  <c r="M2404" i="3"/>
  <c r="M2405" i="3"/>
  <c r="M2406" i="3"/>
  <c r="M2407" i="3"/>
  <c r="M2408" i="3"/>
  <c r="M2409" i="3"/>
  <c r="M2410" i="3"/>
  <c r="M2411" i="3"/>
  <c r="M2412" i="3"/>
  <c r="M2413" i="3"/>
  <c r="M2414" i="3"/>
  <c r="M2415" i="3"/>
  <c r="M2416" i="3"/>
  <c r="M2417" i="3"/>
  <c r="M2418" i="3"/>
  <c r="M2419" i="3"/>
  <c r="M2420" i="3"/>
  <c r="M2421" i="3"/>
  <c r="M2422" i="3"/>
  <c r="M2423" i="3"/>
  <c r="M2424" i="3"/>
  <c r="M2425" i="3"/>
  <c r="M2426" i="3"/>
  <c r="M2427" i="3"/>
  <c r="M2428" i="3"/>
  <c r="M2429" i="3"/>
  <c r="M2430" i="3"/>
  <c r="M2431" i="3"/>
  <c r="M2432" i="3"/>
  <c r="M2433" i="3"/>
  <c r="M2434" i="3"/>
  <c r="M2435" i="3"/>
  <c r="M2436" i="3"/>
  <c r="M2437" i="3"/>
  <c r="M2438" i="3"/>
  <c r="M2439" i="3"/>
  <c r="M2440" i="3"/>
  <c r="M2441" i="3"/>
  <c r="M2442" i="3"/>
  <c r="M2443" i="3"/>
  <c r="M2444" i="3"/>
  <c r="M2445" i="3"/>
  <c r="M2446" i="3"/>
  <c r="M2447" i="3"/>
  <c r="M2448" i="3"/>
  <c r="M2449" i="3"/>
  <c r="M2450" i="3"/>
  <c r="M2451" i="3"/>
  <c r="M2452" i="3"/>
  <c r="M2453" i="3"/>
  <c r="M2454" i="3"/>
  <c r="M2455" i="3"/>
  <c r="M2456" i="3"/>
  <c r="M2457" i="3"/>
  <c r="M2458" i="3"/>
  <c r="M2459" i="3"/>
  <c r="M2460" i="3"/>
  <c r="M2461" i="3"/>
  <c r="M2462" i="3"/>
  <c r="M2463" i="3"/>
  <c r="M2464" i="3"/>
  <c r="M2465" i="3"/>
  <c r="M2466" i="3"/>
  <c r="M2467" i="3"/>
  <c r="M2468" i="3"/>
  <c r="M2469" i="3"/>
  <c r="M2470" i="3"/>
  <c r="M2471" i="3"/>
  <c r="M2472" i="3"/>
  <c r="M2473" i="3"/>
  <c r="M2474" i="3"/>
  <c r="M2475" i="3"/>
  <c r="M2476" i="3"/>
  <c r="M2477" i="3"/>
  <c r="M2478" i="3"/>
  <c r="M2479" i="3"/>
  <c r="M2480" i="3"/>
  <c r="M2481" i="3"/>
  <c r="M2482" i="3"/>
  <c r="M2483" i="3"/>
  <c r="M2484" i="3"/>
  <c r="M2485" i="3"/>
  <c r="M2486" i="3"/>
  <c r="M2487" i="3"/>
  <c r="M2488" i="3"/>
  <c r="M2489" i="3"/>
  <c r="M2490" i="3"/>
  <c r="M2491" i="3"/>
  <c r="M2492" i="3"/>
  <c r="M2493" i="3"/>
  <c r="M2494" i="3"/>
  <c r="M2495" i="3"/>
  <c r="M2496" i="3"/>
  <c r="M2497" i="3"/>
  <c r="M2498" i="3"/>
  <c r="M2499" i="3"/>
  <c r="M2500" i="3"/>
  <c r="M2501" i="3"/>
  <c r="M2502" i="3"/>
  <c r="M2503" i="3"/>
  <c r="M2504" i="3"/>
  <c r="M2505" i="3"/>
  <c r="M2506" i="3"/>
  <c r="M2507" i="3"/>
  <c r="M2508" i="3"/>
  <c r="M2509" i="3"/>
  <c r="M2510" i="3"/>
  <c r="M2511" i="3"/>
  <c r="M2512" i="3"/>
  <c r="M2513" i="3"/>
  <c r="M2514" i="3"/>
  <c r="M2515" i="3"/>
  <c r="M2516" i="3"/>
  <c r="M2517" i="3"/>
  <c r="M2518" i="3"/>
  <c r="M2519" i="3"/>
  <c r="M2520" i="3"/>
  <c r="M2521" i="3"/>
  <c r="M2522" i="3"/>
  <c r="M2523" i="3"/>
  <c r="M2524" i="3"/>
  <c r="M2525" i="3"/>
  <c r="M2526" i="3"/>
  <c r="M2527" i="3"/>
  <c r="M2528" i="3"/>
  <c r="M2529" i="3"/>
  <c r="M2530" i="3"/>
  <c r="M2531" i="3"/>
  <c r="M2532" i="3"/>
  <c r="M2533" i="3"/>
  <c r="M2534" i="3"/>
  <c r="M2535" i="3"/>
  <c r="M2536" i="3"/>
  <c r="M2537" i="3"/>
  <c r="M2538" i="3"/>
  <c r="M2539" i="3"/>
  <c r="M2540" i="3"/>
  <c r="M2541" i="3"/>
  <c r="M2542" i="3"/>
  <c r="M2543" i="3"/>
  <c r="M2544" i="3"/>
  <c r="M2545" i="3"/>
  <c r="M2546" i="3"/>
  <c r="M2547" i="3"/>
  <c r="M2548" i="3"/>
  <c r="M2549" i="3"/>
  <c r="M2550" i="3"/>
  <c r="M2551" i="3"/>
  <c r="M2552" i="3"/>
  <c r="M2553" i="3"/>
  <c r="M2554" i="3"/>
  <c r="M2555" i="3"/>
  <c r="M2556" i="3"/>
  <c r="M2557" i="3"/>
  <c r="M2558" i="3"/>
  <c r="M2559" i="3"/>
  <c r="M2560" i="3"/>
  <c r="M2561" i="3"/>
  <c r="M2562" i="3"/>
  <c r="M2563" i="3"/>
  <c r="M2564" i="3"/>
  <c r="M2565" i="3"/>
  <c r="M2566" i="3"/>
  <c r="M2567" i="3"/>
  <c r="M2568" i="3"/>
  <c r="M2569" i="3"/>
  <c r="M2570" i="3"/>
  <c r="M2571" i="3"/>
  <c r="M2572" i="3"/>
  <c r="M2573" i="3"/>
  <c r="M2574" i="3"/>
  <c r="M2575" i="3"/>
  <c r="M2576" i="3"/>
  <c r="M2577" i="3"/>
  <c r="M2578" i="3"/>
  <c r="M2579" i="3"/>
  <c r="M2580" i="3"/>
  <c r="M2581" i="3"/>
  <c r="M2582" i="3"/>
  <c r="M2583" i="3"/>
  <c r="M2584" i="3"/>
  <c r="M2585" i="3"/>
  <c r="M2586" i="3"/>
  <c r="M2587" i="3"/>
  <c r="M2588" i="3"/>
  <c r="M2589" i="3"/>
  <c r="M2590" i="3"/>
  <c r="M2591" i="3"/>
  <c r="M2592" i="3"/>
  <c r="M2593" i="3"/>
  <c r="M2594" i="3"/>
  <c r="M2595" i="3"/>
  <c r="M2596" i="3"/>
  <c r="M2597" i="3"/>
  <c r="M2598" i="3"/>
  <c r="M2599" i="3"/>
  <c r="M2600" i="3"/>
  <c r="M2601" i="3"/>
  <c r="M2602" i="3"/>
  <c r="M2603" i="3"/>
  <c r="M2604" i="3"/>
  <c r="M2605" i="3"/>
  <c r="M2606" i="3"/>
  <c r="M2607" i="3"/>
  <c r="M2608" i="3"/>
  <c r="M2609" i="3"/>
  <c r="M2610" i="3"/>
  <c r="M2611" i="3"/>
  <c r="M2612" i="3"/>
  <c r="M2613" i="3"/>
  <c r="M2614" i="3"/>
  <c r="M2615" i="3"/>
  <c r="M2616" i="3"/>
  <c r="M2617" i="3"/>
  <c r="M2618" i="3"/>
  <c r="M2619" i="3"/>
  <c r="M2620" i="3"/>
  <c r="M2621" i="3"/>
  <c r="M2622" i="3"/>
  <c r="M2623" i="3"/>
  <c r="M2624" i="3"/>
  <c r="M2625" i="3"/>
  <c r="M2626" i="3"/>
  <c r="M2627" i="3"/>
  <c r="M2628" i="3"/>
  <c r="M2629" i="3"/>
  <c r="M2630" i="3"/>
  <c r="M2631" i="3"/>
  <c r="M2632" i="3"/>
  <c r="M2633" i="3"/>
  <c r="M2634" i="3"/>
  <c r="M2635" i="3"/>
  <c r="M2636" i="3"/>
  <c r="M2637" i="3"/>
  <c r="M2638" i="3"/>
  <c r="M2639" i="3"/>
  <c r="M2640" i="3"/>
  <c r="M2641" i="3"/>
  <c r="M2642" i="3"/>
  <c r="M2643" i="3"/>
  <c r="M2644" i="3"/>
  <c r="M2645" i="3"/>
  <c r="M2646" i="3"/>
  <c r="M2647" i="3"/>
  <c r="M2648" i="3"/>
  <c r="M2649" i="3"/>
  <c r="M2650" i="3"/>
  <c r="M2651" i="3"/>
  <c r="M2652" i="3"/>
  <c r="M2653" i="3"/>
  <c r="M2654" i="3"/>
  <c r="M2655" i="3"/>
  <c r="M2656" i="3"/>
  <c r="M2657" i="3"/>
  <c r="M2658" i="3"/>
  <c r="M2659" i="3"/>
  <c r="M2660" i="3"/>
  <c r="M2661" i="3"/>
  <c r="M2662" i="3"/>
  <c r="M2663" i="3"/>
  <c r="M2664" i="3"/>
  <c r="M2665" i="3"/>
  <c r="M2666" i="3"/>
  <c r="M2667" i="3"/>
  <c r="M2668" i="3"/>
  <c r="M2669" i="3"/>
  <c r="M2670" i="3"/>
  <c r="M2671" i="3"/>
  <c r="M2672" i="3"/>
  <c r="M2673" i="3"/>
  <c r="M2674" i="3"/>
  <c r="M2675" i="3"/>
  <c r="M2676" i="3"/>
  <c r="M2677" i="3"/>
  <c r="M2678" i="3"/>
  <c r="M2679" i="3"/>
  <c r="M2680" i="3"/>
  <c r="M2681" i="3"/>
  <c r="M2682" i="3"/>
  <c r="M2683" i="3"/>
  <c r="M2684" i="3"/>
  <c r="M2685" i="3"/>
  <c r="M2686" i="3"/>
  <c r="M2687" i="3"/>
  <c r="M2688" i="3"/>
  <c r="M2689" i="3"/>
  <c r="M2690" i="3"/>
  <c r="M2691" i="3"/>
  <c r="M2692" i="3"/>
  <c r="M2693" i="3"/>
  <c r="M2694" i="3"/>
  <c r="M2695" i="3"/>
  <c r="M2696" i="3"/>
  <c r="M2697" i="3"/>
  <c r="M2698" i="3"/>
  <c r="M2699" i="3"/>
  <c r="M2700" i="3"/>
  <c r="M2701" i="3"/>
  <c r="M2702" i="3"/>
  <c r="M2703" i="3"/>
  <c r="M2704" i="3"/>
  <c r="M2705" i="3"/>
  <c r="M2706" i="3"/>
  <c r="M2707" i="3"/>
  <c r="M2708" i="3"/>
  <c r="M2709" i="3"/>
  <c r="M2710" i="3"/>
  <c r="M2711" i="3"/>
  <c r="M2712" i="3"/>
  <c r="M2713" i="3"/>
  <c r="M2714" i="3"/>
  <c r="M2715" i="3"/>
  <c r="M2716" i="3"/>
  <c r="M2717" i="3"/>
  <c r="M2718" i="3"/>
  <c r="M2719" i="3"/>
  <c r="M2720" i="3"/>
  <c r="M2721" i="3"/>
  <c r="M2722" i="3"/>
  <c r="M2723" i="3"/>
  <c r="M2724" i="3"/>
  <c r="M2725" i="3"/>
  <c r="M2726" i="3"/>
  <c r="M2727" i="3"/>
  <c r="M2728" i="3"/>
  <c r="M2729" i="3"/>
  <c r="M2730" i="3"/>
  <c r="M2731" i="3"/>
  <c r="M2732" i="3"/>
  <c r="M2733" i="3"/>
  <c r="M2734" i="3"/>
  <c r="M2735" i="3"/>
  <c r="M2736" i="3"/>
  <c r="M2737" i="3"/>
  <c r="M2738" i="3"/>
  <c r="M2739" i="3"/>
  <c r="M2740" i="3"/>
  <c r="M2741" i="3"/>
  <c r="M2742" i="3"/>
  <c r="M2743" i="3"/>
  <c r="M2744" i="3"/>
  <c r="M2745" i="3"/>
  <c r="M2746" i="3"/>
  <c r="M2747" i="3"/>
  <c r="M2748" i="3"/>
  <c r="M2749" i="3"/>
  <c r="M2750" i="3"/>
  <c r="M2751" i="3"/>
  <c r="M2752" i="3"/>
  <c r="M2753" i="3"/>
  <c r="M2754" i="3"/>
  <c r="M2755" i="3"/>
  <c r="M2756" i="3"/>
  <c r="M2757" i="3"/>
  <c r="M2758" i="3"/>
  <c r="M2759" i="3"/>
  <c r="M2760" i="3"/>
  <c r="M2761" i="3"/>
  <c r="M2762" i="3"/>
  <c r="M2763" i="3"/>
  <c r="M2764" i="3"/>
  <c r="M2765" i="3"/>
  <c r="M2766" i="3"/>
  <c r="M2767" i="3"/>
  <c r="M2768" i="3"/>
  <c r="M2769" i="3"/>
  <c r="M2770" i="3"/>
  <c r="M2771" i="3"/>
  <c r="M2772" i="3"/>
  <c r="M2773" i="3"/>
  <c r="M2774" i="3"/>
  <c r="M2775" i="3"/>
  <c r="M2776" i="3"/>
  <c r="M2777" i="3"/>
  <c r="M2778" i="3"/>
  <c r="M2779" i="3"/>
  <c r="M2780" i="3"/>
  <c r="M2781" i="3"/>
  <c r="M2782" i="3"/>
  <c r="M2783" i="3"/>
  <c r="M2784" i="3"/>
  <c r="M2785" i="3"/>
  <c r="M2786" i="3"/>
  <c r="M2787" i="3"/>
  <c r="M2788" i="3"/>
  <c r="M2789" i="3"/>
  <c r="M2790" i="3"/>
  <c r="M2791" i="3"/>
  <c r="M2792" i="3"/>
  <c r="M2793" i="3"/>
  <c r="M2794" i="3"/>
  <c r="M2795" i="3"/>
  <c r="M2796" i="3"/>
  <c r="M2797" i="3"/>
  <c r="M2798" i="3"/>
  <c r="M2799" i="3"/>
  <c r="M2800" i="3"/>
  <c r="M2801" i="3"/>
  <c r="M2802" i="3"/>
  <c r="M2803" i="3"/>
  <c r="M2804" i="3"/>
  <c r="M2805" i="3"/>
  <c r="M2806" i="3"/>
  <c r="M2807" i="3"/>
  <c r="M2808" i="3"/>
  <c r="M2809" i="3"/>
  <c r="M2810" i="3"/>
  <c r="M2811" i="3"/>
  <c r="M2812" i="3"/>
  <c r="M2813" i="3"/>
  <c r="M2814" i="3"/>
  <c r="M2815" i="3"/>
  <c r="M2816" i="3"/>
  <c r="M2817" i="3"/>
  <c r="M2818" i="3"/>
  <c r="M2819" i="3"/>
  <c r="M2820" i="3"/>
  <c r="M2821" i="3"/>
  <c r="M2822" i="3"/>
  <c r="M2823" i="3"/>
  <c r="M2824" i="3"/>
  <c r="M2825" i="3"/>
  <c r="M2826" i="3"/>
  <c r="M2827" i="3"/>
  <c r="M2828" i="3"/>
  <c r="M2829" i="3"/>
  <c r="M2830" i="3"/>
  <c r="M2831" i="3"/>
  <c r="M2832" i="3"/>
  <c r="M2833" i="3"/>
  <c r="M2834" i="3"/>
  <c r="M2835" i="3"/>
  <c r="M2836" i="3"/>
  <c r="M2837" i="3"/>
  <c r="M2838" i="3"/>
  <c r="M2839" i="3"/>
  <c r="M2840" i="3"/>
  <c r="M2841" i="3"/>
  <c r="M2842" i="3"/>
  <c r="M2843" i="3"/>
  <c r="M2844" i="3"/>
  <c r="M2845" i="3"/>
  <c r="M2846" i="3"/>
  <c r="M2847" i="3"/>
  <c r="M2848" i="3"/>
  <c r="M2849" i="3"/>
  <c r="M2850" i="3"/>
  <c r="M2851" i="3"/>
  <c r="M2852" i="3"/>
  <c r="M2853" i="3"/>
  <c r="M2854" i="3"/>
  <c r="M2855" i="3"/>
  <c r="M2856" i="3"/>
  <c r="M2857" i="3"/>
  <c r="M2858" i="3"/>
  <c r="M2859" i="3"/>
  <c r="M2860" i="3"/>
  <c r="M2861" i="3"/>
  <c r="M2862" i="3"/>
  <c r="M2863" i="3"/>
  <c r="M2864" i="3"/>
  <c r="M2865" i="3"/>
  <c r="M2866" i="3"/>
  <c r="M2867" i="3"/>
  <c r="M2868" i="3"/>
  <c r="M2869" i="3"/>
  <c r="M2870" i="3"/>
  <c r="M2871" i="3"/>
  <c r="M2872" i="3"/>
  <c r="M2873" i="3"/>
  <c r="M2874" i="3"/>
  <c r="M2875" i="3"/>
  <c r="M2876" i="3"/>
  <c r="M2877" i="3"/>
  <c r="M2878" i="3"/>
  <c r="M2879" i="3"/>
  <c r="M2880" i="3"/>
  <c r="M2881" i="3"/>
  <c r="M2882" i="3"/>
  <c r="M2883" i="3"/>
  <c r="M2884" i="3"/>
  <c r="M2885" i="3"/>
  <c r="M2886" i="3"/>
  <c r="M2887" i="3"/>
  <c r="M2888" i="3"/>
  <c r="M2889" i="3"/>
  <c r="M2890" i="3"/>
  <c r="M2891" i="3"/>
  <c r="M2892" i="3"/>
  <c r="M2893" i="3"/>
  <c r="M2894" i="3"/>
  <c r="M2895" i="3"/>
  <c r="M2896" i="3"/>
  <c r="M2897" i="3"/>
  <c r="M2898" i="3"/>
  <c r="M2899" i="3"/>
  <c r="M2900" i="3"/>
  <c r="M2901" i="3"/>
  <c r="M2902" i="3"/>
  <c r="M2903" i="3"/>
  <c r="M2904" i="3"/>
  <c r="M2905" i="3"/>
  <c r="M2906" i="3"/>
  <c r="M2907" i="3"/>
  <c r="M2908" i="3"/>
  <c r="M2909" i="3"/>
  <c r="N2" i="3"/>
  <c r="N3" i="3"/>
  <c r="N4" i="3"/>
  <c r="N5" i="3"/>
  <c r="N6" i="3"/>
  <c r="N7" i="3"/>
  <c r="N8" i="3"/>
  <c r="N9" i="3"/>
  <c r="N10" i="3"/>
  <c r="N11" i="3"/>
  <c r="N12" i="3"/>
  <c r="N13" i="3"/>
  <c r="N14" i="3"/>
  <c r="N15" i="3"/>
  <c r="N16" i="3"/>
  <c r="N17" i="3"/>
  <c r="N18" i="3"/>
  <c r="N19" i="3"/>
  <c r="N20" i="3"/>
  <c r="N21" i="3"/>
  <c r="N22" i="3"/>
  <c r="N23" i="3"/>
  <c r="N24" i="3"/>
  <c r="N25" i="3"/>
  <c r="N26" i="3"/>
  <c r="N27" i="3"/>
  <c r="N28" i="3"/>
  <c r="N29" i="3"/>
  <c r="N30" i="3"/>
  <c r="N31" i="3"/>
  <c r="N32" i="3"/>
  <c r="N33" i="3"/>
  <c r="N34" i="3"/>
  <c r="N35" i="3"/>
  <c r="N36" i="3"/>
  <c r="N37" i="3"/>
  <c r="N38" i="3"/>
  <c r="N39" i="3"/>
  <c r="N40" i="3"/>
  <c r="N41" i="3"/>
  <c r="N42" i="3"/>
  <c r="N43" i="3"/>
  <c r="N44" i="3"/>
  <c r="N45" i="3"/>
  <c r="N46" i="3"/>
  <c r="N47" i="3"/>
  <c r="N48" i="3"/>
  <c r="N49" i="3"/>
  <c r="N50" i="3"/>
  <c r="N51" i="3"/>
  <c r="N52" i="3"/>
  <c r="N53" i="3"/>
  <c r="N54" i="3"/>
  <c r="N55" i="3"/>
  <c r="N56" i="3"/>
  <c r="N57" i="3"/>
  <c r="N58" i="3"/>
  <c r="N59" i="3"/>
  <c r="N60" i="3"/>
  <c r="N61" i="3"/>
  <c r="N62" i="3"/>
  <c r="N63"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N273" i="3"/>
  <c r="N274" i="3"/>
  <c r="N275" i="3"/>
  <c r="N276" i="3"/>
  <c r="N277" i="3"/>
  <c r="N278" i="3"/>
  <c r="N279" i="3"/>
  <c r="N280" i="3"/>
  <c r="N281" i="3"/>
  <c r="N282" i="3"/>
  <c r="N283" i="3"/>
  <c r="N284" i="3"/>
  <c r="N285" i="3"/>
  <c r="N286" i="3"/>
  <c r="N287" i="3"/>
  <c r="N288" i="3"/>
  <c r="N289" i="3"/>
  <c r="N290" i="3"/>
  <c r="N291" i="3"/>
  <c r="N292" i="3"/>
  <c r="N293" i="3"/>
  <c r="N294" i="3"/>
  <c r="N295" i="3"/>
  <c r="N296" i="3"/>
  <c r="N297" i="3"/>
  <c r="N298" i="3"/>
  <c r="N299" i="3"/>
  <c r="N300" i="3"/>
  <c r="N301" i="3"/>
  <c r="N302" i="3"/>
  <c r="N303" i="3"/>
  <c r="N304" i="3"/>
  <c r="N305" i="3"/>
  <c r="N306" i="3"/>
  <c r="N307" i="3"/>
  <c r="N308" i="3"/>
  <c r="N309" i="3"/>
  <c r="N310" i="3"/>
  <c r="N311" i="3"/>
  <c r="N312" i="3"/>
  <c r="N313" i="3"/>
  <c r="N314" i="3"/>
  <c r="N315" i="3"/>
  <c r="N316" i="3"/>
  <c r="N317" i="3"/>
  <c r="N318" i="3"/>
  <c r="N319" i="3"/>
  <c r="N320" i="3"/>
  <c r="N321" i="3"/>
  <c r="N322" i="3"/>
  <c r="N323" i="3"/>
  <c r="N324" i="3"/>
  <c r="N325" i="3"/>
  <c r="N326" i="3"/>
  <c r="N327" i="3"/>
  <c r="N328" i="3"/>
  <c r="N329" i="3"/>
  <c r="N330" i="3"/>
  <c r="N331" i="3"/>
  <c r="N332" i="3"/>
  <c r="N333" i="3"/>
  <c r="N334" i="3"/>
  <c r="N335" i="3"/>
  <c r="N336" i="3"/>
  <c r="N337" i="3"/>
  <c r="N338" i="3"/>
  <c r="N339" i="3"/>
  <c r="N340" i="3"/>
  <c r="N341" i="3"/>
  <c r="N342" i="3"/>
  <c r="N343" i="3"/>
  <c r="N344" i="3"/>
  <c r="N345" i="3"/>
  <c r="N346" i="3"/>
  <c r="N347" i="3"/>
  <c r="N348" i="3"/>
  <c r="N349" i="3"/>
  <c r="N350" i="3"/>
  <c r="N351" i="3"/>
  <c r="N352" i="3"/>
  <c r="N353" i="3"/>
  <c r="N354" i="3"/>
  <c r="N355" i="3"/>
  <c r="N356" i="3"/>
  <c r="N357" i="3"/>
  <c r="N358" i="3"/>
  <c r="N359" i="3"/>
  <c r="N360" i="3"/>
  <c r="N361" i="3"/>
  <c r="N362" i="3"/>
  <c r="N363" i="3"/>
  <c r="N364" i="3"/>
  <c r="N365" i="3"/>
  <c r="N366" i="3"/>
  <c r="N367" i="3"/>
  <c r="N368" i="3"/>
  <c r="N369" i="3"/>
  <c r="N370" i="3"/>
  <c r="N371" i="3"/>
  <c r="N372" i="3"/>
  <c r="N373" i="3"/>
  <c r="N374" i="3"/>
  <c r="N375" i="3"/>
  <c r="N376" i="3"/>
  <c r="N377" i="3"/>
  <c r="N378" i="3"/>
  <c r="N379" i="3"/>
  <c r="N380" i="3"/>
  <c r="N381" i="3"/>
  <c r="N382" i="3"/>
  <c r="N383" i="3"/>
  <c r="N384" i="3"/>
  <c r="N385" i="3"/>
  <c r="N386" i="3"/>
  <c r="N387" i="3"/>
  <c r="N388" i="3"/>
  <c r="N389" i="3"/>
  <c r="N390" i="3"/>
  <c r="N391" i="3"/>
  <c r="N392" i="3"/>
  <c r="N393" i="3"/>
  <c r="N394" i="3"/>
  <c r="N395" i="3"/>
  <c r="N396" i="3"/>
  <c r="N397" i="3"/>
  <c r="N398" i="3"/>
  <c r="N399" i="3"/>
  <c r="N400" i="3"/>
  <c r="N401" i="3"/>
  <c r="N402" i="3"/>
  <c r="N403" i="3"/>
  <c r="N404" i="3"/>
  <c r="N405" i="3"/>
  <c r="N406" i="3"/>
  <c r="N407" i="3"/>
  <c r="N408" i="3"/>
  <c r="N409" i="3"/>
  <c r="N410" i="3"/>
  <c r="N411" i="3"/>
  <c r="N412" i="3"/>
  <c r="N413" i="3"/>
  <c r="N414" i="3"/>
  <c r="N415" i="3"/>
  <c r="N416" i="3"/>
  <c r="N417" i="3"/>
  <c r="N418" i="3"/>
  <c r="N419" i="3"/>
  <c r="N420" i="3"/>
  <c r="N421" i="3"/>
  <c r="N422" i="3"/>
  <c r="N423" i="3"/>
  <c r="N424" i="3"/>
  <c r="N425" i="3"/>
  <c r="N426" i="3"/>
  <c r="N427" i="3"/>
  <c r="N428" i="3"/>
  <c r="N429" i="3"/>
  <c r="N430" i="3"/>
  <c r="N431" i="3"/>
  <c r="N432" i="3"/>
  <c r="N433" i="3"/>
  <c r="N434" i="3"/>
  <c r="N435" i="3"/>
  <c r="N436" i="3"/>
  <c r="N437" i="3"/>
  <c r="N438" i="3"/>
  <c r="N439" i="3"/>
  <c r="N440" i="3"/>
  <c r="N441" i="3"/>
  <c r="N442" i="3"/>
  <c r="N443" i="3"/>
  <c r="N444" i="3"/>
  <c r="N445" i="3"/>
  <c r="N446" i="3"/>
  <c r="N447" i="3"/>
  <c r="N448" i="3"/>
  <c r="N449" i="3"/>
  <c r="N450" i="3"/>
  <c r="N451" i="3"/>
  <c r="N452" i="3"/>
  <c r="N453" i="3"/>
  <c r="N454" i="3"/>
  <c r="N455" i="3"/>
  <c r="N456" i="3"/>
  <c r="N457" i="3"/>
  <c r="N458" i="3"/>
  <c r="N459" i="3"/>
  <c r="N460" i="3"/>
  <c r="N461" i="3"/>
  <c r="N462" i="3"/>
  <c r="N463" i="3"/>
  <c r="N464" i="3"/>
  <c r="N465" i="3"/>
  <c r="N466" i="3"/>
  <c r="N467" i="3"/>
  <c r="N468" i="3"/>
  <c r="N469" i="3"/>
  <c r="N470" i="3"/>
  <c r="N471" i="3"/>
  <c r="N472" i="3"/>
  <c r="N473" i="3"/>
  <c r="N474" i="3"/>
  <c r="N475" i="3"/>
  <c r="N476" i="3"/>
  <c r="N477" i="3"/>
  <c r="N478" i="3"/>
  <c r="N479" i="3"/>
  <c r="N480" i="3"/>
  <c r="N481" i="3"/>
  <c r="N482" i="3"/>
  <c r="N483" i="3"/>
  <c r="N484" i="3"/>
  <c r="N485" i="3"/>
  <c r="N486" i="3"/>
  <c r="N487" i="3"/>
  <c r="N488" i="3"/>
  <c r="N489" i="3"/>
  <c r="N490" i="3"/>
  <c r="N491" i="3"/>
  <c r="N492" i="3"/>
  <c r="N493" i="3"/>
  <c r="N494" i="3"/>
  <c r="N495" i="3"/>
  <c r="N496" i="3"/>
  <c r="N497" i="3"/>
  <c r="N498" i="3"/>
  <c r="N499" i="3"/>
  <c r="N500" i="3"/>
  <c r="N501" i="3"/>
  <c r="N502" i="3"/>
  <c r="N503" i="3"/>
  <c r="N504" i="3"/>
  <c r="N505" i="3"/>
  <c r="N506" i="3"/>
  <c r="N507" i="3"/>
  <c r="N508" i="3"/>
  <c r="N509" i="3"/>
  <c r="N510" i="3"/>
  <c r="N511" i="3"/>
  <c r="N512" i="3"/>
  <c r="N513" i="3"/>
  <c r="N514" i="3"/>
  <c r="N515" i="3"/>
  <c r="N516" i="3"/>
  <c r="N517" i="3"/>
  <c r="N518" i="3"/>
  <c r="N519" i="3"/>
  <c r="N520" i="3"/>
  <c r="N521" i="3"/>
  <c r="N522" i="3"/>
  <c r="N523" i="3"/>
  <c r="N524" i="3"/>
  <c r="N525" i="3"/>
  <c r="N526" i="3"/>
  <c r="N527" i="3"/>
  <c r="N528" i="3"/>
  <c r="N529" i="3"/>
  <c r="N530" i="3"/>
  <c r="N531" i="3"/>
  <c r="N532" i="3"/>
  <c r="N533" i="3"/>
  <c r="N534" i="3"/>
  <c r="N535" i="3"/>
  <c r="N536" i="3"/>
  <c r="N537" i="3"/>
  <c r="N538" i="3"/>
  <c r="N539" i="3"/>
  <c r="N540" i="3"/>
  <c r="N541" i="3"/>
  <c r="N542" i="3"/>
  <c r="N543" i="3"/>
  <c r="N544" i="3"/>
  <c r="N545" i="3"/>
  <c r="N546" i="3"/>
  <c r="N547" i="3"/>
  <c r="N548" i="3"/>
  <c r="N549" i="3"/>
  <c r="N550" i="3"/>
  <c r="N551" i="3"/>
  <c r="N552" i="3"/>
  <c r="N553" i="3"/>
  <c r="N554" i="3"/>
  <c r="N555" i="3"/>
  <c r="N556" i="3"/>
  <c r="N557" i="3"/>
  <c r="N558" i="3"/>
  <c r="N559" i="3"/>
  <c r="N560" i="3"/>
  <c r="N561" i="3"/>
  <c r="N562" i="3"/>
  <c r="N563" i="3"/>
  <c r="N564" i="3"/>
  <c r="N565" i="3"/>
  <c r="N566" i="3"/>
  <c r="N567" i="3"/>
  <c r="N568" i="3"/>
  <c r="N569" i="3"/>
  <c r="N570" i="3"/>
  <c r="N571" i="3"/>
  <c r="N572" i="3"/>
  <c r="N573" i="3"/>
  <c r="N574" i="3"/>
  <c r="N575" i="3"/>
  <c r="N576" i="3"/>
  <c r="N577" i="3"/>
  <c r="N578" i="3"/>
  <c r="N579" i="3"/>
  <c r="N580" i="3"/>
  <c r="N581" i="3"/>
  <c r="N582" i="3"/>
  <c r="N583" i="3"/>
  <c r="N584" i="3"/>
  <c r="N585" i="3"/>
  <c r="N586" i="3"/>
  <c r="N587" i="3"/>
  <c r="N588" i="3"/>
  <c r="N589" i="3"/>
  <c r="N590" i="3"/>
  <c r="N591" i="3"/>
  <c r="N592" i="3"/>
  <c r="N593" i="3"/>
  <c r="N594" i="3"/>
  <c r="N595" i="3"/>
  <c r="N596" i="3"/>
  <c r="N597" i="3"/>
  <c r="N598" i="3"/>
  <c r="N599" i="3"/>
  <c r="N600" i="3"/>
  <c r="N601" i="3"/>
  <c r="N602" i="3"/>
  <c r="N603" i="3"/>
  <c r="N604" i="3"/>
  <c r="N605" i="3"/>
  <c r="N606" i="3"/>
  <c r="N607" i="3"/>
  <c r="N608" i="3"/>
  <c r="N609" i="3"/>
  <c r="N610" i="3"/>
  <c r="N611" i="3"/>
  <c r="N612" i="3"/>
  <c r="N613" i="3"/>
  <c r="N614" i="3"/>
  <c r="N615" i="3"/>
  <c r="N616" i="3"/>
  <c r="N617" i="3"/>
  <c r="N618" i="3"/>
  <c r="N619" i="3"/>
  <c r="N620" i="3"/>
  <c r="N621" i="3"/>
  <c r="N622" i="3"/>
  <c r="N623" i="3"/>
  <c r="N624" i="3"/>
  <c r="N625" i="3"/>
  <c r="N626" i="3"/>
  <c r="N627" i="3"/>
  <c r="N628" i="3"/>
  <c r="N629" i="3"/>
  <c r="N630" i="3"/>
  <c r="N631" i="3"/>
  <c r="N632" i="3"/>
  <c r="N633" i="3"/>
  <c r="N634" i="3"/>
  <c r="N635" i="3"/>
  <c r="N636" i="3"/>
  <c r="N637" i="3"/>
  <c r="N638" i="3"/>
  <c r="N639" i="3"/>
  <c r="N640" i="3"/>
  <c r="N641" i="3"/>
  <c r="N642" i="3"/>
  <c r="N643" i="3"/>
  <c r="N644" i="3"/>
  <c r="N645" i="3"/>
  <c r="N646" i="3"/>
  <c r="N647" i="3"/>
  <c r="N648" i="3"/>
  <c r="N649" i="3"/>
  <c r="N650" i="3"/>
  <c r="N651" i="3"/>
  <c r="N652" i="3"/>
  <c r="N653" i="3"/>
  <c r="N654" i="3"/>
  <c r="N655" i="3"/>
  <c r="N656" i="3"/>
  <c r="N657" i="3"/>
  <c r="N658" i="3"/>
  <c r="N659" i="3"/>
  <c r="N660" i="3"/>
  <c r="N661" i="3"/>
  <c r="N662" i="3"/>
  <c r="N663" i="3"/>
  <c r="N664" i="3"/>
  <c r="N665" i="3"/>
  <c r="N666" i="3"/>
  <c r="N667" i="3"/>
  <c r="N668" i="3"/>
  <c r="N669" i="3"/>
  <c r="N670" i="3"/>
  <c r="N671" i="3"/>
  <c r="N672" i="3"/>
  <c r="N673" i="3"/>
  <c r="N674" i="3"/>
  <c r="N675" i="3"/>
  <c r="N676" i="3"/>
  <c r="N677" i="3"/>
  <c r="N678" i="3"/>
  <c r="N679" i="3"/>
  <c r="N680" i="3"/>
  <c r="N681" i="3"/>
  <c r="N682" i="3"/>
  <c r="N683" i="3"/>
  <c r="N684" i="3"/>
  <c r="N685" i="3"/>
  <c r="N686" i="3"/>
  <c r="N687" i="3"/>
  <c r="N688" i="3"/>
  <c r="N689" i="3"/>
  <c r="N690" i="3"/>
  <c r="N691" i="3"/>
  <c r="N692" i="3"/>
  <c r="N693" i="3"/>
  <c r="N694" i="3"/>
  <c r="N695" i="3"/>
  <c r="N696" i="3"/>
  <c r="N697" i="3"/>
  <c r="N698" i="3"/>
  <c r="N699" i="3"/>
  <c r="N700" i="3"/>
  <c r="N701" i="3"/>
  <c r="N702" i="3"/>
  <c r="N703" i="3"/>
  <c r="N704" i="3"/>
  <c r="N705" i="3"/>
  <c r="N706" i="3"/>
  <c r="N707" i="3"/>
  <c r="N708" i="3"/>
  <c r="N709" i="3"/>
  <c r="N710" i="3"/>
  <c r="N711" i="3"/>
  <c r="N712" i="3"/>
  <c r="N713" i="3"/>
  <c r="N714" i="3"/>
  <c r="N715" i="3"/>
  <c r="N716" i="3"/>
  <c r="N717" i="3"/>
  <c r="N718" i="3"/>
  <c r="N719" i="3"/>
  <c r="N720" i="3"/>
  <c r="N721" i="3"/>
  <c r="N722" i="3"/>
  <c r="N723" i="3"/>
  <c r="N724" i="3"/>
  <c r="N725" i="3"/>
  <c r="N726" i="3"/>
  <c r="N727" i="3"/>
  <c r="N728" i="3"/>
  <c r="N729" i="3"/>
  <c r="N730" i="3"/>
  <c r="N731" i="3"/>
  <c r="N732" i="3"/>
  <c r="N733" i="3"/>
  <c r="N734" i="3"/>
  <c r="N735" i="3"/>
  <c r="N736" i="3"/>
  <c r="N737" i="3"/>
  <c r="N738" i="3"/>
  <c r="N739" i="3"/>
  <c r="N740" i="3"/>
  <c r="N741" i="3"/>
  <c r="N742" i="3"/>
  <c r="N743" i="3"/>
  <c r="N744" i="3"/>
  <c r="N745" i="3"/>
  <c r="N746" i="3"/>
  <c r="N747" i="3"/>
  <c r="N748" i="3"/>
  <c r="N749" i="3"/>
  <c r="N750" i="3"/>
  <c r="N751" i="3"/>
  <c r="N752" i="3"/>
  <c r="N753" i="3"/>
  <c r="N754" i="3"/>
  <c r="N755" i="3"/>
  <c r="N756" i="3"/>
  <c r="N757" i="3"/>
  <c r="N758" i="3"/>
  <c r="N759" i="3"/>
  <c r="N760" i="3"/>
  <c r="N761" i="3"/>
  <c r="N762" i="3"/>
  <c r="N763" i="3"/>
  <c r="N764" i="3"/>
  <c r="N765" i="3"/>
  <c r="N766" i="3"/>
  <c r="N767" i="3"/>
  <c r="N768" i="3"/>
  <c r="N769" i="3"/>
  <c r="N770" i="3"/>
  <c r="N771" i="3"/>
  <c r="N772" i="3"/>
  <c r="N773" i="3"/>
  <c r="N774" i="3"/>
  <c r="N775" i="3"/>
  <c r="N776" i="3"/>
  <c r="N777" i="3"/>
  <c r="N778" i="3"/>
  <c r="N779" i="3"/>
  <c r="N780" i="3"/>
  <c r="N781" i="3"/>
  <c r="N782" i="3"/>
  <c r="N783" i="3"/>
  <c r="N784" i="3"/>
  <c r="N785" i="3"/>
  <c r="N786" i="3"/>
  <c r="N787" i="3"/>
  <c r="N788" i="3"/>
  <c r="N789" i="3"/>
  <c r="N790" i="3"/>
  <c r="N791" i="3"/>
  <c r="N792" i="3"/>
  <c r="N793" i="3"/>
  <c r="N794" i="3"/>
  <c r="N795" i="3"/>
  <c r="N796" i="3"/>
  <c r="N797" i="3"/>
  <c r="N798" i="3"/>
  <c r="N799" i="3"/>
  <c r="N800" i="3"/>
  <c r="N801" i="3"/>
  <c r="N802" i="3"/>
  <c r="N803" i="3"/>
  <c r="N804" i="3"/>
  <c r="N805" i="3"/>
  <c r="N806" i="3"/>
  <c r="N807" i="3"/>
  <c r="N808" i="3"/>
  <c r="N809" i="3"/>
  <c r="N810" i="3"/>
  <c r="N811" i="3"/>
  <c r="N812" i="3"/>
  <c r="N813" i="3"/>
  <c r="N814" i="3"/>
  <c r="N815" i="3"/>
  <c r="N816" i="3"/>
  <c r="N817" i="3"/>
  <c r="N818" i="3"/>
  <c r="N819" i="3"/>
  <c r="N820" i="3"/>
  <c r="N821" i="3"/>
  <c r="N822" i="3"/>
  <c r="N823" i="3"/>
  <c r="N824" i="3"/>
  <c r="N825" i="3"/>
  <c r="N826" i="3"/>
  <c r="N827" i="3"/>
  <c r="N828" i="3"/>
  <c r="N829" i="3"/>
  <c r="N830" i="3"/>
  <c r="N831" i="3"/>
  <c r="N832" i="3"/>
  <c r="N833" i="3"/>
  <c r="N834" i="3"/>
  <c r="N835" i="3"/>
  <c r="N836" i="3"/>
  <c r="N837" i="3"/>
  <c r="N838" i="3"/>
  <c r="N839" i="3"/>
  <c r="N840" i="3"/>
  <c r="N841" i="3"/>
  <c r="N842" i="3"/>
  <c r="N843" i="3"/>
  <c r="N844" i="3"/>
  <c r="N845" i="3"/>
  <c r="N846" i="3"/>
  <c r="N847" i="3"/>
  <c r="N848" i="3"/>
  <c r="N849" i="3"/>
  <c r="N850" i="3"/>
  <c r="N851" i="3"/>
  <c r="N852" i="3"/>
  <c r="N853" i="3"/>
  <c r="N854" i="3"/>
  <c r="N855" i="3"/>
  <c r="N856" i="3"/>
  <c r="N857" i="3"/>
  <c r="N858" i="3"/>
  <c r="N859" i="3"/>
  <c r="N860" i="3"/>
  <c r="N861" i="3"/>
  <c r="N862" i="3"/>
  <c r="N863" i="3"/>
  <c r="N864" i="3"/>
  <c r="N865" i="3"/>
  <c r="N866" i="3"/>
  <c r="N867" i="3"/>
  <c r="N868" i="3"/>
  <c r="N869" i="3"/>
  <c r="N870" i="3"/>
  <c r="N871" i="3"/>
  <c r="N872" i="3"/>
  <c r="N873" i="3"/>
  <c r="N874" i="3"/>
  <c r="N875" i="3"/>
  <c r="N876" i="3"/>
  <c r="N877" i="3"/>
  <c r="N878" i="3"/>
  <c r="N879" i="3"/>
  <c r="N880" i="3"/>
  <c r="N881" i="3"/>
  <c r="N882" i="3"/>
  <c r="N883" i="3"/>
  <c r="N884" i="3"/>
  <c r="N885" i="3"/>
  <c r="N886" i="3"/>
  <c r="N887" i="3"/>
  <c r="N888" i="3"/>
  <c r="N889" i="3"/>
  <c r="N890" i="3"/>
  <c r="N891" i="3"/>
  <c r="N892" i="3"/>
  <c r="N893" i="3"/>
  <c r="N894" i="3"/>
  <c r="N895" i="3"/>
  <c r="N896" i="3"/>
  <c r="N897" i="3"/>
  <c r="N898" i="3"/>
  <c r="N899" i="3"/>
  <c r="N900" i="3"/>
  <c r="N901" i="3"/>
  <c r="N902" i="3"/>
  <c r="N903" i="3"/>
  <c r="N904" i="3"/>
  <c r="N905" i="3"/>
  <c r="N906" i="3"/>
  <c r="N907" i="3"/>
  <c r="N908" i="3"/>
  <c r="N909" i="3"/>
  <c r="N910" i="3"/>
  <c r="N911" i="3"/>
  <c r="N912" i="3"/>
  <c r="N913" i="3"/>
  <c r="N914" i="3"/>
  <c r="N915" i="3"/>
  <c r="N916" i="3"/>
  <c r="N917" i="3"/>
  <c r="N918" i="3"/>
  <c r="N919" i="3"/>
  <c r="N920" i="3"/>
  <c r="N921" i="3"/>
  <c r="N922" i="3"/>
  <c r="N923" i="3"/>
  <c r="N924" i="3"/>
  <c r="N925" i="3"/>
  <c r="N926" i="3"/>
  <c r="N927" i="3"/>
  <c r="N928" i="3"/>
  <c r="N929" i="3"/>
  <c r="N930" i="3"/>
  <c r="N931" i="3"/>
  <c r="N932" i="3"/>
  <c r="N933" i="3"/>
  <c r="N934" i="3"/>
  <c r="N935" i="3"/>
  <c r="N936" i="3"/>
  <c r="N937" i="3"/>
  <c r="N938" i="3"/>
  <c r="N939" i="3"/>
  <c r="N940" i="3"/>
  <c r="N941" i="3"/>
  <c r="N942" i="3"/>
  <c r="N943" i="3"/>
  <c r="N944" i="3"/>
  <c r="N945" i="3"/>
  <c r="N946" i="3"/>
  <c r="N947" i="3"/>
  <c r="N948" i="3"/>
  <c r="N949" i="3"/>
  <c r="N950" i="3"/>
  <c r="N951" i="3"/>
  <c r="N952" i="3"/>
  <c r="N953" i="3"/>
  <c r="N954" i="3"/>
  <c r="N955" i="3"/>
  <c r="N956" i="3"/>
  <c r="N957" i="3"/>
  <c r="N958" i="3"/>
  <c r="N959" i="3"/>
  <c r="N960" i="3"/>
  <c r="N961" i="3"/>
  <c r="N962" i="3"/>
  <c r="N963" i="3"/>
  <c r="N964" i="3"/>
  <c r="N965" i="3"/>
  <c r="N966" i="3"/>
  <c r="N967" i="3"/>
  <c r="N968" i="3"/>
  <c r="N969" i="3"/>
  <c r="N970" i="3"/>
  <c r="N971" i="3"/>
  <c r="N972" i="3"/>
  <c r="N973" i="3"/>
  <c r="N974" i="3"/>
  <c r="N975" i="3"/>
  <c r="N976" i="3"/>
  <c r="N977" i="3"/>
  <c r="N978" i="3"/>
  <c r="N979" i="3"/>
  <c r="N980" i="3"/>
  <c r="N981" i="3"/>
  <c r="N982" i="3"/>
  <c r="N983" i="3"/>
  <c r="N984" i="3"/>
  <c r="N985" i="3"/>
  <c r="N986" i="3"/>
  <c r="N987" i="3"/>
  <c r="N988" i="3"/>
  <c r="N989" i="3"/>
  <c r="N990" i="3"/>
  <c r="N991" i="3"/>
  <c r="N992" i="3"/>
  <c r="N993" i="3"/>
  <c r="N994" i="3"/>
  <c r="N995" i="3"/>
  <c r="N996" i="3"/>
  <c r="N997" i="3"/>
  <c r="N998" i="3"/>
  <c r="N999" i="3"/>
  <c r="N1000" i="3"/>
  <c r="N1001" i="3"/>
  <c r="N1002" i="3"/>
  <c r="N1003" i="3"/>
  <c r="N1004" i="3"/>
  <c r="N1005" i="3"/>
  <c r="N1006" i="3"/>
  <c r="N1007" i="3"/>
  <c r="N1008" i="3"/>
  <c r="N1009" i="3"/>
  <c r="N1010" i="3"/>
  <c r="N1011" i="3"/>
  <c r="N1012" i="3"/>
  <c r="N1013" i="3"/>
  <c r="N1014" i="3"/>
  <c r="N1015" i="3"/>
  <c r="N1016" i="3"/>
  <c r="N1017" i="3"/>
  <c r="N1018" i="3"/>
  <c r="N1019" i="3"/>
  <c r="N1020" i="3"/>
  <c r="N1021" i="3"/>
  <c r="N1022" i="3"/>
  <c r="N1023" i="3"/>
  <c r="N1024" i="3"/>
  <c r="N1025" i="3"/>
  <c r="N1026" i="3"/>
  <c r="N1027" i="3"/>
  <c r="N1028" i="3"/>
  <c r="N1029" i="3"/>
  <c r="N1030" i="3"/>
  <c r="N1031" i="3"/>
  <c r="N1032" i="3"/>
  <c r="N1033" i="3"/>
  <c r="N1034" i="3"/>
  <c r="N1035" i="3"/>
  <c r="N1036" i="3"/>
  <c r="N1037" i="3"/>
  <c r="N1038" i="3"/>
  <c r="N1039" i="3"/>
  <c r="N1040" i="3"/>
  <c r="N1041" i="3"/>
  <c r="N1042" i="3"/>
  <c r="N1043" i="3"/>
  <c r="N1044" i="3"/>
  <c r="N1045" i="3"/>
  <c r="N1046" i="3"/>
  <c r="N1047" i="3"/>
  <c r="N1048" i="3"/>
  <c r="N1049" i="3"/>
  <c r="N1050" i="3"/>
  <c r="N1051" i="3"/>
  <c r="N1052" i="3"/>
  <c r="N1053" i="3"/>
  <c r="N1054" i="3"/>
  <c r="N1055" i="3"/>
  <c r="N1056" i="3"/>
  <c r="N1057" i="3"/>
  <c r="N1058" i="3"/>
  <c r="N1059" i="3"/>
  <c r="N1060" i="3"/>
  <c r="N1061" i="3"/>
  <c r="N1062" i="3"/>
  <c r="N1063" i="3"/>
  <c r="N1064" i="3"/>
  <c r="N1065" i="3"/>
  <c r="N1066" i="3"/>
  <c r="N1067" i="3"/>
  <c r="N1068" i="3"/>
  <c r="N1069" i="3"/>
  <c r="N1070" i="3"/>
  <c r="N1071" i="3"/>
  <c r="N1072" i="3"/>
  <c r="N1073" i="3"/>
  <c r="N1074" i="3"/>
  <c r="N1075" i="3"/>
  <c r="N1076" i="3"/>
  <c r="N1077" i="3"/>
  <c r="N1078" i="3"/>
  <c r="N1079" i="3"/>
  <c r="N1080" i="3"/>
  <c r="N1081" i="3"/>
  <c r="N1082" i="3"/>
  <c r="N1083" i="3"/>
  <c r="N1084" i="3"/>
  <c r="N1085" i="3"/>
  <c r="N1086" i="3"/>
  <c r="N1087" i="3"/>
  <c r="N1088" i="3"/>
  <c r="N1089" i="3"/>
  <c r="N1090" i="3"/>
  <c r="N1091" i="3"/>
  <c r="N1092" i="3"/>
  <c r="N1093" i="3"/>
  <c r="N1094" i="3"/>
  <c r="N1095" i="3"/>
  <c r="N1096" i="3"/>
  <c r="N1097" i="3"/>
  <c r="N1098" i="3"/>
  <c r="N1099" i="3"/>
  <c r="N1100" i="3"/>
  <c r="N1101" i="3"/>
  <c r="N1102" i="3"/>
  <c r="N1103" i="3"/>
  <c r="N1104" i="3"/>
  <c r="N1105" i="3"/>
  <c r="N1106" i="3"/>
  <c r="N1107" i="3"/>
  <c r="N1108" i="3"/>
  <c r="N1109" i="3"/>
  <c r="N1110" i="3"/>
  <c r="N1111" i="3"/>
  <c r="N1112" i="3"/>
  <c r="N1113" i="3"/>
  <c r="N1114" i="3"/>
  <c r="N1115" i="3"/>
  <c r="N1116" i="3"/>
  <c r="N1117" i="3"/>
  <c r="N1118" i="3"/>
  <c r="N1119" i="3"/>
  <c r="N1120" i="3"/>
  <c r="N1121" i="3"/>
  <c r="N1122" i="3"/>
  <c r="N1123" i="3"/>
  <c r="N1124" i="3"/>
  <c r="N1125" i="3"/>
  <c r="N1126" i="3"/>
  <c r="N1127" i="3"/>
  <c r="N1128" i="3"/>
  <c r="N1129" i="3"/>
  <c r="N1130" i="3"/>
  <c r="N1131" i="3"/>
  <c r="N1132" i="3"/>
  <c r="N1133" i="3"/>
  <c r="N1134" i="3"/>
  <c r="N1135" i="3"/>
  <c r="N1136" i="3"/>
  <c r="N1137" i="3"/>
  <c r="N1138" i="3"/>
  <c r="N1139" i="3"/>
  <c r="N1140" i="3"/>
  <c r="N1141" i="3"/>
  <c r="N1142" i="3"/>
  <c r="N1143" i="3"/>
  <c r="N1144" i="3"/>
  <c r="N1145" i="3"/>
  <c r="N1146" i="3"/>
  <c r="N1147" i="3"/>
  <c r="N1148" i="3"/>
  <c r="N1149" i="3"/>
  <c r="N1150" i="3"/>
  <c r="N1151" i="3"/>
  <c r="N1152" i="3"/>
  <c r="N1153" i="3"/>
  <c r="N1154" i="3"/>
  <c r="N1155" i="3"/>
  <c r="N1156" i="3"/>
  <c r="N1157" i="3"/>
  <c r="N1158" i="3"/>
  <c r="N1159" i="3"/>
  <c r="N1160" i="3"/>
  <c r="N1161" i="3"/>
  <c r="N1162" i="3"/>
  <c r="N1163" i="3"/>
  <c r="N1164" i="3"/>
  <c r="N1165" i="3"/>
  <c r="N1166" i="3"/>
  <c r="N1167" i="3"/>
  <c r="N1168" i="3"/>
  <c r="N1169" i="3"/>
  <c r="N1170" i="3"/>
  <c r="N1171" i="3"/>
  <c r="N1172" i="3"/>
  <c r="N1173" i="3"/>
  <c r="N1174" i="3"/>
  <c r="N1175" i="3"/>
  <c r="N1176" i="3"/>
  <c r="N1177" i="3"/>
  <c r="N1178" i="3"/>
  <c r="N1179" i="3"/>
  <c r="N1180" i="3"/>
  <c r="N1181" i="3"/>
  <c r="N1182" i="3"/>
  <c r="N1183" i="3"/>
  <c r="N1184" i="3"/>
  <c r="N1185" i="3"/>
  <c r="N1186" i="3"/>
  <c r="N1187" i="3"/>
  <c r="N1188" i="3"/>
  <c r="N1189" i="3"/>
  <c r="N1190" i="3"/>
  <c r="N1191" i="3"/>
  <c r="N1192" i="3"/>
  <c r="N1193" i="3"/>
  <c r="N1194" i="3"/>
  <c r="N1195" i="3"/>
  <c r="N1196" i="3"/>
  <c r="N1197" i="3"/>
  <c r="N1198" i="3"/>
  <c r="N1199" i="3"/>
  <c r="N1200" i="3"/>
  <c r="N1201" i="3"/>
  <c r="N1202" i="3"/>
  <c r="N1203" i="3"/>
  <c r="N1204" i="3"/>
  <c r="N1205" i="3"/>
  <c r="N1206" i="3"/>
  <c r="N1207" i="3"/>
  <c r="N1208" i="3"/>
  <c r="N1209" i="3"/>
  <c r="N1210" i="3"/>
  <c r="N1211" i="3"/>
  <c r="N1212" i="3"/>
  <c r="N1213" i="3"/>
  <c r="N1214" i="3"/>
  <c r="N1215" i="3"/>
  <c r="N1216" i="3"/>
  <c r="N1217" i="3"/>
  <c r="N1218" i="3"/>
  <c r="N1219" i="3"/>
  <c r="N1220" i="3"/>
  <c r="N1221" i="3"/>
  <c r="N1222" i="3"/>
  <c r="N1223" i="3"/>
  <c r="N1224" i="3"/>
  <c r="N1225" i="3"/>
  <c r="N1226" i="3"/>
  <c r="N1227" i="3"/>
  <c r="N1228" i="3"/>
  <c r="N1229" i="3"/>
  <c r="N1230" i="3"/>
  <c r="N1231" i="3"/>
  <c r="N1232" i="3"/>
  <c r="N1233" i="3"/>
  <c r="N1234" i="3"/>
  <c r="N1235" i="3"/>
  <c r="N1236" i="3"/>
  <c r="N1237" i="3"/>
  <c r="N1238" i="3"/>
  <c r="N1239" i="3"/>
  <c r="N1240" i="3"/>
  <c r="N1241" i="3"/>
  <c r="N1242" i="3"/>
  <c r="N1243" i="3"/>
  <c r="N1244" i="3"/>
  <c r="N1245" i="3"/>
  <c r="N1246" i="3"/>
  <c r="N1247" i="3"/>
  <c r="N1248" i="3"/>
  <c r="N1249" i="3"/>
  <c r="N1250" i="3"/>
  <c r="N1251" i="3"/>
  <c r="N1252" i="3"/>
  <c r="N1253" i="3"/>
  <c r="N1254" i="3"/>
  <c r="N1255" i="3"/>
  <c r="N1256" i="3"/>
  <c r="N1257" i="3"/>
  <c r="N1258" i="3"/>
  <c r="N1259" i="3"/>
  <c r="N1260" i="3"/>
  <c r="N1261" i="3"/>
  <c r="N1262" i="3"/>
  <c r="N1263" i="3"/>
  <c r="N1264" i="3"/>
  <c r="N1265" i="3"/>
  <c r="N1266" i="3"/>
  <c r="N1267" i="3"/>
  <c r="N1268" i="3"/>
  <c r="N1269" i="3"/>
  <c r="N1270" i="3"/>
  <c r="N1271" i="3"/>
  <c r="N1272" i="3"/>
  <c r="N1273" i="3"/>
  <c r="N1274" i="3"/>
  <c r="N1275" i="3"/>
  <c r="N1276" i="3"/>
  <c r="N1277" i="3"/>
  <c r="N1278" i="3"/>
  <c r="N1279" i="3"/>
  <c r="N1280" i="3"/>
  <c r="N1281" i="3"/>
  <c r="N1282" i="3"/>
  <c r="N1283" i="3"/>
  <c r="N1284" i="3"/>
  <c r="N1285" i="3"/>
  <c r="N1286" i="3"/>
  <c r="N1287" i="3"/>
  <c r="N1288" i="3"/>
  <c r="N1289" i="3"/>
  <c r="N1290" i="3"/>
  <c r="N1291" i="3"/>
  <c r="N1292" i="3"/>
  <c r="N1293" i="3"/>
  <c r="N1294" i="3"/>
  <c r="N1295" i="3"/>
  <c r="N1296" i="3"/>
  <c r="N1297" i="3"/>
  <c r="N1298" i="3"/>
  <c r="N1299" i="3"/>
  <c r="N1300" i="3"/>
  <c r="N1301" i="3"/>
  <c r="N1302" i="3"/>
  <c r="N1303" i="3"/>
  <c r="N1304" i="3"/>
  <c r="N1305" i="3"/>
  <c r="N1306" i="3"/>
  <c r="N1307" i="3"/>
  <c r="N1308" i="3"/>
  <c r="N1309" i="3"/>
  <c r="N1310" i="3"/>
  <c r="N1311" i="3"/>
  <c r="N1312" i="3"/>
  <c r="N1313" i="3"/>
  <c r="N1314" i="3"/>
  <c r="N1315" i="3"/>
  <c r="N1316" i="3"/>
  <c r="N1317" i="3"/>
  <c r="N1318" i="3"/>
  <c r="N1319" i="3"/>
  <c r="N1320" i="3"/>
  <c r="N1321" i="3"/>
  <c r="N1322" i="3"/>
  <c r="N1323" i="3"/>
  <c r="N1324" i="3"/>
  <c r="N1325" i="3"/>
  <c r="N1326" i="3"/>
  <c r="N1327" i="3"/>
  <c r="N1328" i="3"/>
  <c r="N1329" i="3"/>
  <c r="N1330" i="3"/>
  <c r="N1331" i="3"/>
  <c r="N1332" i="3"/>
  <c r="N1333" i="3"/>
  <c r="N1334" i="3"/>
  <c r="N1335" i="3"/>
  <c r="N1336" i="3"/>
  <c r="N1337" i="3"/>
  <c r="N1338" i="3"/>
  <c r="N1339" i="3"/>
  <c r="N1340" i="3"/>
  <c r="N1341" i="3"/>
  <c r="N1342" i="3"/>
  <c r="N1343" i="3"/>
  <c r="N1344" i="3"/>
  <c r="N1345" i="3"/>
  <c r="N1346" i="3"/>
  <c r="N1347" i="3"/>
  <c r="N1348" i="3"/>
  <c r="N1349" i="3"/>
  <c r="N1350" i="3"/>
  <c r="N1351" i="3"/>
  <c r="N1352" i="3"/>
  <c r="N1353" i="3"/>
  <c r="N1354" i="3"/>
  <c r="N1355" i="3"/>
  <c r="N1356" i="3"/>
  <c r="N1357" i="3"/>
  <c r="N1358" i="3"/>
  <c r="N1359" i="3"/>
  <c r="N1360" i="3"/>
  <c r="N1361" i="3"/>
  <c r="N1362" i="3"/>
  <c r="N1363" i="3"/>
  <c r="N1364" i="3"/>
  <c r="N1365" i="3"/>
  <c r="N1366" i="3"/>
  <c r="N1367" i="3"/>
  <c r="N1368" i="3"/>
  <c r="N1369" i="3"/>
  <c r="N1370" i="3"/>
  <c r="N1371" i="3"/>
  <c r="N1372" i="3"/>
  <c r="N1373" i="3"/>
  <c r="N1374" i="3"/>
  <c r="N1375" i="3"/>
  <c r="N1376" i="3"/>
  <c r="N1377" i="3"/>
  <c r="N1378" i="3"/>
  <c r="N1379" i="3"/>
  <c r="N1380" i="3"/>
  <c r="N1381" i="3"/>
  <c r="N1382" i="3"/>
  <c r="N1383" i="3"/>
  <c r="N1384" i="3"/>
  <c r="N1385" i="3"/>
  <c r="N1386" i="3"/>
  <c r="N1387" i="3"/>
  <c r="N1388" i="3"/>
  <c r="N1389" i="3"/>
  <c r="N1390" i="3"/>
  <c r="N1391" i="3"/>
  <c r="N1392" i="3"/>
  <c r="N1393" i="3"/>
  <c r="N1394" i="3"/>
  <c r="N1395" i="3"/>
  <c r="N1396" i="3"/>
  <c r="N1397" i="3"/>
  <c r="N1398" i="3"/>
  <c r="N1399" i="3"/>
  <c r="N1400" i="3"/>
  <c r="N1401" i="3"/>
  <c r="N1402" i="3"/>
  <c r="N1403" i="3"/>
  <c r="N1404" i="3"/>
  <c r="N1405" i="3"/>
  <c r="N1406" i="3"/>
  <c r="N1407" i="3"/>
  <c r="N1408" i="3"/>
  <c r="N1409" i="3"/>
  <c r="N1410" i="3"/>
  <c r="N1411" i="3"/>
  <c r="N1412" i="3"/>
  <c r="N1413" i="3"/>
  <c r="N1414" i="3"/>
  <c r="N1415" i="3"/>
  <c r="N1416" i="3"/>
  <c r="N1417" i="3"/>
  <c r="N1418" i="3"/>
  <c r="N1419" i="3"/>
  <c r="N1420" i="3"/>
  <c r="N1421" i="3"/>
  <c r="N1422" i="3"/>
  <c r="N1423" i="3"/>
  <c r="N1424" i="3"/>
  <c r="N1425" i="3"/>
  <c r="N1426" i="3"/>
  <c r="N1427" i="3"/>
  <c r="N1428" i="3"/>
  <c r="N1429" i="3"/>
  <c r="N1430" i="3"/>
  <c r="N1431" i="3"/>
  <c r="N1432" i="3"/>
  <c r="N1433" i="3"/>
  <c r="N1434" i="3"/>
  <c r="N1435" i="3"/>
  <c r="N1436" i="3"/>
  <c r="N1437" i="3"/>
  <c r="N1438" i="3"/>
  <c r="N1439" i="3"/>
  <c r="N1440" i="3"/>
  <c r="N1441" i="3"/>
  <c r="N1442" i="3"/>
  <c r="N1443" i="3"/>
  <c r="N1444" i="3"/>
  <c r="N1445" i="3"/>
  <c r="N1446" i="3"/>
  <c r="N1447" i="3"/>
  <c r="N1448" i="3"/>
  <c r="N1449" i="3"/>
  <c r="N1450" i="3"/>
  <c r="N1451" i="3"/>
  <c r="N1452" i="3"/>
  <c r="N1453" i="3"/>
  <c r="N1454" i="3"/>
  <c r="N1455" i="3"/>
  <c r="N1456" i="3"/>
  <c r="N1457" i="3"/>
  <c r="N1458" i="3"/>
  <c r="N1459" i="3"/>
  <c r="N1460" i="3"/>
  <c r="N1461" i="3"/>
  <c r="N1462" i="3"/>
  <c r="N1463" i="3"/>
  <c r="N1464" i="3"/>
  <c r="N1465" i="3"/>
  <c r="N1466" i="3"/>
  <c r="N1467" i="3"/>
  <c r="N1468" i="3"/>
  <c r="N1469" i="3"/>
  <c r="N1470" i="3"/>
  <c r="N1471" i="3"/>
  <c r="N1472" i="3"/>
  <c r="N1473" i="3"/>
  <c r="N1474" i="3"/>
  <c r="N1475" i="3"/>
  <c r="N1476" i="3"/>
  <c r="N1477" i="3"/>
  <c r="N1478" i="3"/>
  <c r="N1479" i="3"/>
  <c r="N1480" i="3"/>
  <c r="N1481" i="3"/>
  <c r="N1482" i="3"/>
  <c r="N1483" i="3"/>
  <c r="N1484" i="3"/>
  <c r="N1485" i="3"/>
  <c r="N1486" i="3"/>
  <c r="N1487" i="3"/>
  <c r="N1488" i="3"/>
  <c r="N1489" i="3"/>
  <c r="N1490" i="3"/>
  <c r="N1491" i="3"/>
  <c r="N1492" i="3"/>
  <c r="N1493" i="3"/>
  <c r="N1494" i="3"/>
  <c r="N1495" i="3"/>
  <c r="N1496" i="3"/>
  <c r="N1497" i="3"/>
  <c r="N1498" i="3"/>
  <c r="N1499" i="3"/>
  <c r="N1500" i="3"/>
  <c r="N1501" i="3"/>
  <c r="N1502" i="3"/>
  <c r="N1503" i="3"/>
  <c r="N1504" i="3"/>
  <c r="N1505" i="3"/>
  <c r="N1506" i="3"/>
  <c r="N1507" i="3"/>
  <c r="N1508" i="3"/>
  <c r="N1509" i="3"/>
  <c r="N1510" i="3"/>
  <c r="N1511" i="3"/>
  <c r="N1512" i="3"/>
  <c r="N1513" i="3"/>
  <c r="N1514" i="3"/>
  <c r="N1515" i="3"/>
  <c r="N1516" i="3"/>
  <c r="N1517" i="3"/>
  <c r="N1518" i="3"/>
  <c r="N1519" i="3"/>
  <c r="N1520" i="3"/>
  <c r="N1521" i="3"/>
  <c r="N1522" i="3"/>
  <c r="N1523" i="3"/>
  <c r="N1524" i="3"/>
  <c r="N1525" i="3"/>
  <c r="N1526" i="3"/>
  <c r="N1527" i="3"/>
  <c r="N1528" i="3"/>
  <c r="N1529" i="3"/>
  <c r="N1530" i="3"/>
  <c r="N1531" i="3"/>
  <c r="N1532" i="3"/>
  <c r="N1533" i="3"/>
  <c r="N1534" i="3"/>
  <c r="N1535" i="3"/>
  <c r="N1536" i="3"/>
  <c r="N1537" i="3"/>
  <c r="N1538" i="3"/>
  <c r="N1539" i="3"/>
  <c r="N1540" i="3"/>
  <c r="N1541" i="3"/>
  <c r="N1542" i="3"/>
  <c r="N1543" i="3"/>
  <c r="N1544" i="3"/>
  <c r="N1545" i="3"/>
  <c r="N1546" i="3"/>
  <c r="N1547" i="3"/>
  <c r="N1548" i="3"/>
  <c r="N1549" i="3"/>
  <c r="N1550" i="3"/>
  <c r="N1551" i="3"/>
  <c r="N1552" i="3"/>
  <c r="N1553" i="3"/>
  <c r="N1554" i="3"/>
  <c r="N1555" i="3"/>
  <c r="N1556" i="3"/>
  <c r="N1557" i="3"/>
  <c r="N1558" i="3"/>
  <c r="N1559" i="3"/>
  <c r="N1560" i="3"/>
  <c r="N1561" i="3"/>
  <c r="N1562" i="3"/>
  <c r="N1563" i="3"/>
  <c r="N1564" i="3"/>
  <c r="N1565" i="3"/>
  <c r="N1566" i="3"/>
  <c r="N1567" i="3"/>
  <c r="N1568" i="3"/>
  <c r="N1569" i="3"/>
  <c r="N1570" i="3"/>
  <c r="N1571" i="3"/>
  <c r="N1572" i="3"/>
  <c r="N1573" i="3"/>
  <c r="N1574" i="3"/>
  <c r="N1575" i="3"/>
  <c r="N1576" i="3"/>
  <c r="N1577" i="3"/>
  <c r="N1578" i="3"/>
  <c r="N1579" i="3"/>
  <c r="N1580" i="3"/>
  <c r="N1581" i="3"/>
  <c r="N1582" i="3"/>
  <c r="N1583" i="3"/>
  <c r="N1584" i="3"/>
  <c r="N1585" i="3"/>
  <c r="N1586" i="3"/>
  <c r="N1587" i="3"/>
  <c r="N1588" i="3"/>
  <c r="N1589" i="3"/>
  <c r="N1590" i="3"/>
  <c r="N1591" i="3"/>
  <c r="N1592" i="3"/>
  <c r="N1593" i="3"/>
  <c r="N1594" i="3"/>
  <c r="N1595" i="3"/>
  <c r="N1596" i="3"/>
  <c r="N1597" i="3"/>
  <c r="N1598" i="3"/>
  <c r="N1599" i="3"/>
  <c r="N1600" i="3"/>
  <c r="N1601" i="3"/>
  <c r="N1602" i="3"/>
  <c r="N1603" i="3"/>
  <c r="N1604" i="3"/>
  <c r="N1605" i="3"/>
  <c r="N1606" i="3"/>
  <c r="N1607" i="3"/>
  <c r="N1608" i="3"/>
  <c r="N1609" i="3"/>
  <c r="N1610" i="3"/>
  <c r="N1611" i="3"/>
  <c r="N1612" i="3"/>
  <c r="N1613" i="3"/>
  <c r="N1614" i="3"/>
  <c r="N1615" i="3"/>
  <c r="N1616" i="3"/>
  <c r="N1617" i="3"/>
  <c r="N1618" i="3"/>
  <c r="N1619" i="3"/>
  <c r="N1620" i="3"/>
  <c r="N1621" i="3"/>
  <c r="N1622" i="3"/>
  <c r="N1623" i="3"/>
  <c r="N1624" i="3"/>
  <c r="N1625" i="3"/>
  <c r="N1626" i="3"/>
  <c r="N1627" i="3"/>
  <c r="N1628" i="3"/>
  <c r="N1629" i="3"/>
  <c r="N1630" i="3"/>
  <c r="N1631" i="3"/>
  <c r="N1632" i="3"/>
  <c r="N1633" i="3"/>
  <c r="N1634" i="3"/>
  <c r="N1635" i="3"/>
  <c r="N1636" i="3"/>
  <c r="N1637" i="3"/>
  <c r="N1638" i="3"/>
  <c r="N1639" i="3"/>
  <c r="N1640" i="3"/>
  <c r="N1641" i="3"/>
  <c r="N1642" i="3"/>
  <c r="N1643" i="3"/>
  <c r="N1644" i="3"/>
  <c r="N1645" i="3"/>
  <c r="N1646" i="3"/>
  <c r="N1647" i="3"/>
  <c r="N1648" i="3"/>
  <c r="N1649" i="3"/>
  <c r="N1650" i="3"/>
  <c r="N1651" i="3"/>
  <c r="N1652" i="3"/>
  <c r="N1653" i="3"/>
  <c r="N1654" i="3"/>
  <c r="N1655" i="3"/>
  <c r="N1656" i="3"/>
  <c r="N1657" i="3"/>
  <c r="N1658" i="3"/>
  <c r="N1659" i="3"/>
  <c r="N1660" i="3"/>
  <c r="N1661" i="3"/>
  <c r="N1662" i="3"/>
  <c r="N1663" i="3"/>
  <c r="N1664" i="3"/>
  <c r="N1665" i="3"/>
  <c r="N1666" i="3"/>
  <c r="N1667" i="3"/>
  <c r="N1668" i="3"/>
  <c r="N1669" i="3"/>
  <c r="N1670" i="3"/>
  <c r="N1671" i="3"/>
  <c r="N1672" i="3"/>
  <c r="N1673" i="3"/>
  <c r="N1674" i="3"/>
  <c r="N1675" i="3"/>
  <c r="N1676" i="3"/>
  <c r="N1677" i="3"/>
  <c r="N1678" i="3"/>
  <c r="N1679" i="3"/>
  <c r="N1680" i="3"/>
  <c r="N1681" i="3"/>
  <c r="N1682" i="3"/>
  <c r="N1683" i="3"/>
  <c r="N1684" i="3"/>
  <c r="N1685" i="3"/>
  <c r="N1686" i="3"/>
  <c r="N1687" i="3"/>
  <c r="N1688" i="3"/>
  <c r="N1689" i="3"/>
  <c r="N1690" i="3"/>
  <c r="N1691" i="3"/>
  <c r="N1692" i="3"/>
  <c r="N1693" i="3"/>
  <c r="N1694" i="3"/>
  <c r="N1695" i="3"/>
  <c r="N1696" i="3"/>
  <c r="N1697" i="3"/>
  <c r="N1698" i="3"/>
  <c r="N1699" i="3"/>
  <c r="N1700" i="3"/>
  <c r="N1701" i="3"/>
  <c r="N1702" i="3"/>
  <c r="N1703" i="3"/>
  <c r="N1704" i="3"/>
  <c r="N1705" i="3"/>
  <c r="N1706" i="3"/>
  <c r="N1707" i="3"/>
  <c r="N1708" i="3"/>
  <c r="N1709" i="3"/>
  <c r="N1710" i="3"/>
  <c r="N1711" i="3"/>
  <c r="N1712" i="3"/>
  <c r="N1713" i="3"/>
  <c r="N1714" i="3"/>
  <c r="N1715" i="3"/>
  <c r="N1716" i="3"/>
  <c r="N1717" i="3"/>
  <c r="N1718" i="3"/>
  <c r="N1719" i="3"/>
  <c r="N1720" i="3"/>
  <c r="N1721" i="3"/>
  <c r="N1722" i="3"/>
  <c r="N1723" i="3"/>
  <c r="N1724" i="3"/>
  <c r="N1725" i="3"/>
  <c r="N1726" i="3"/>
  <c r="N1727" i="3"/>
  <c r="N1728" i="3"/>
  <c r="N1729" i="3"/>
  <c r="N1730" i="3"/>
  <c r="N1731" i="3"/>
  <c r="N1732" i="3"/>
  <c r="N1733" i="3"/>
  <c r="N1734" i="3"/>
  <c r="N1735" i="3"/>
  <c r="N1736" i="3"/>
  <c r="N1737" i="3"/>
  <c r="N1738" i="3"/>
  <c r="N1739" i="3"/>
  <c r="N1740" i="3"/>
  <c r="N1741" i="3"/>
  <c r="N1742" i="3"/>
  <c r="N1743" i="3"/>
  <c r="N1744" i="3"/>
  <c r="N1745" i="3"/>
  <c r="N1746" i="3"/>
  <c r="N1747" i="3"/>
  <c r="N1748" i="3"/>
  <c r="N1749" i="3"/>
  <c r="N1750" i="3"/>
  <c r="N1751" i="3"/>
  <c r="N1752" i="3"/>
  <c r="N1753" i="3"/>
  <c r="N1754" i="3"/>
  <c r="N1755" i="3"/>
  <c r="N1756" i="3"/>
  <c r="N1757" i="3"/>
  <c r="N1758" i="3"/>
  <c r="N1759" i="3"/>
  <c r="N1760" i="3"/>
  <c r="N1761" i="3"/>
  <c r="N1762" i="3"/>
  <c r="N1763" i="3"/>
  <c r="N1764" i="3"/>
  <c r="N1765" i="3"/>
  <c r="N1766" i="3"/>
  <c r="N1767" i="3"/>
  <c r="N1768" i="3"/>
  <c r="N1769" i="3"/>
  <c r="N1770" i="3"/>
  <c r="N1771" i="3"/>
  <c r="N1772" i="3"/>
  <c r="N1773" i="3"/>
  <c r="N1774" i="3"/>
  <c r="N1775" i="3"/>
  <c r="N1776" i="3"/>
  <c r="N1777" i="3"/>
  <c r="N1778" i="3"/>
  <c r="N1779" i="3"/>
  <c r="N1780" i="3"/>
  <c r="N1781" i="3"/>
  <c r="N1782" i="3"/>
  <c r="N1783" i="3"/>
  <c r="N1784" i="3"/>
  <c r="N1785" i="3"/>
  <c r="N1786" i="3"/>
  <c r="N1787" i="3"/>
  <c r="N1788" i="3"/>
  <c r="N1789" i="3"/>
  <c r="N1790" i="3"/>
  <c r="N1791" i="3"/>
  <c r="N1792" i="3"/>
  <c r="N1793" i="3"/>
  <c r="N1794" i="3"/>
  <c r="N1795" i="3"/>
  <c r="N1796" i="3"/>
  <c r="N1797" i="3"/>
  <c r="N1798" i="3"/>
  <c r="N1799" i="3"/>
  <c r="N1800" i="3"/>
  <c r="N1801" i="3"/>
  <c r="N1802" i="3"/>
  <c r="N1803" i="3"/>
  <c r="N1804" i="3"/>
  <c r="N1805" i="3"/>
  <c r="N1806" i="3"/>
  <c r="N1807" i="3"/>
  <c r="N1808" i="3"/>
  <c r="N1809" i="3"/>
  <c r="N1810" i="3"/>
  <c r="N1811" i="3"/>
  <c r="N1812" i="3"/>
  <c r="N1813" i="3"/>
  <c r="N1814" i="3"/>
  <c r="N1815" i="3"/>
  <c r="N1816" i="3"/>
  <c r="N1817" i="3"/>
  <c r="N1818" i="3"/>
  <c r="N1819" i="3"/>
  <c r="N1820" i="3"/>
  <c r="N1821" i="3"/>
  <c r="N1822" i="3"/>
  <c r="N1823" i="3"/>
  <c r="N1824" i="3"/>
  <c r="N1825" i="3"/>
  <c r="N1826" i="3"/>
  <c r="N1827" i="3"/>
  <c r="N1828" i="3"/>
  <c r="N1829" i="3"/>
  <c r="N1830" i="3"/>
  <c r="N1831" i="3"/>
  <c r="N1832" i="3"/>
  <c r="N1833" i="3"/>
  <c r="N1834" i="3"/>
  <c r="N1835" i="3"/>
  <c r="N1836" i="3"/>
  <c r="N1837" i="3"/>
  <c r="N1838" i="3"/>
  <c r="N1839" i="3"/>
  <c r="N1840" i="3"/>
  <c r="N1841" i="3"/>
  <c r="N1842" i="3"/>
  <c r="N1843" i="3"/>
  <c r="N1844" i="3"/>
  <c r="N1845" i="3"/>
  <c r="N1846" i="3"/>
  <c r="N1847" i="3"/>
  <c r="N1848" i="3"/>
  <c r="N1849" i="3"/>
  <c r="N1850" i="3"/>
  <c r="N1851" i="3"/>
  <c r="N1852" i="3"/>
  <c r="N1853" i="3"/>
  <c r="N1854" i="3"/>
  <c r="N1855" i="3"/>
  <c r="N1856" i="3"/>
  <c r="N1857" i="3"/>
  <c r="N1858" i="3"/>
  <c r="N1859" i="3"/>
  <c r="N1860" i="3"/>
  <c r="N1861" i="3"/>
  <c r="N1862" i="3"/>
  <c r="N1863" i="3"/>
  <c r="N1864" i="3"/>
  <c r="N1865" i="3"/>
  <c r="N1866" i="3"/>
  <c r="N1867" i="3"/>
  <c r="N1868" i="3"/>
  <c r="N1869" i="3"/>
  <c r="N1870" i="3"/>
  <c r="N1871" i="3"/>
  <c r="N1872" i="3"/>
  <c r="N1873" i="3"/>
  <c r="N1874" i="3"/>
  <c r="N1875" i="3"/>
  <c r="N1876" i="3"/>
  <c r="N1877" i="3"/>
  <c r="N1878" i="3"/>
  <c r="N1879" i="3"/>
  <c r="N1880" i="3"/>
  <c r="N1881" i="3"/>
  <c r="N1882" i="3"/>
  <c r="N1883" i="3"/>
  <c r="N1884" i="3"/>
  <c r="N1885" i="3"/>
  <c r="N1886" i="3"/>
  <c r="N1887" i="3"/>
  <c r="N1888" i="3"/>
  <c r="N1889" i="3"/>
  <c r="N1890" i="3"/>
  <c r="N1891" i="3"/>
  <c r="N1892" i="3"/>
  <c r="N1893" i="3"/>
  <c r="N1894" i="3"/>
  <c r="N1895" i="3"/>
  <c r="N1896" i="3"/>
  <c r="N1897" i="3"/>
  <c r="N1898" i="3"/>
  <c r="N1899" i="3"/>
  <c r="N1900" i="3"/>
  <c r="N1901" i="3"/>
  <c r="N1902" i="3"/>
  <c r="N1903" i="3"/>
  <c r="N1904" i="3"/>
  <c r="N1905" i="3"/>
  <c r="N1906" i="3"/>
  <c r="N1907" i="3"/>
  <c r="N1908" i="3"/>
  <c r="N1909" i="3"/>
  <c r="N1910" i="3"/>
  <c r="N1911" i="3"/>
  <c r="N1912" i="3"/>
  <c r="N1913" i="3"/>
  <c r="N1914" i="3"/>
  <c r="N1915" i="3"/>
  <c r="N1916" i="3"/>
  <c r="N1917" i="3"/>
  <c r="N1918" i="3"/>
  <c r="N1919" i="3"/>
  <c r="N1920" i="3"/>
  <c r="N1921" i="3"/>
  <c r="N1922" i="3"/>
  <c r="N1923" i="3"/>
  <c r="N1924" i="3"/>
  <c r="N1925" i="3"/>
  <c r="N1926" i="3"/>
  <c r="N1927" i="3"/>
  <c r="N1928" i="3"/>
  <c r="N1929" i="3"/>
  <c r="N1930" i="3"/>
  <c r="N1931" i="3"/>
  <c r="N1932" i="3"/>
  <c r="N1933" i="3"/>
  <c r="N1934" i="3"/>
  <c r="N1935" i="3"/>
  <c r="N1936" i="3"/>
  <c r="N1937" i="3"/>
  <c r="N1938" i="3"/>
  <c r="N1939" i="3"/>
  <c r="N1940" i="3"/>
  <c r="N1941" i="3"/>
  <c r="N1942" i="3"/>
  <c r="N1943" i="3"/>
  <c r="N1944" i="3"/>
  <c r="N1945" i="3"/>
  <c r="N1946" i="3"/>
  <c r="N1947" i="3"/>
  <c r="N1948" i="3"/>
  <c r="N1949" i="3"/>
  <c r="N1950" i="3"/>
  <c r="N1951" i="3"/>
  <c r="N1952" i="3"/>
  <c r="N1953" i="3"/>
  <c r="N1954" i="3"/>
  <c r="N1955" i="3"/>
  <c r="N1956" i="3"/>
  <c r="N1957" i="3"/>
  <c r="N1958" i="3"/>
  <c r="N1959" i="3"/>
  <c r="N1960" i="3"/>
  <c r="N1961" i="3"/>
  <c r="N1962" i="3"/>
  <c r="N1963" i="3"/>
  <c r="N1964" i="3"/>
  <c r="N1965" i="3"/>
  <c r="N1966" i="3"/>
  <c r="N1967" i="3"/>
  <c r="N1968" i="3"/>
  <c r="N1969" i="3"/>
  <c r="N1970" i="3"/>
  <c r="N1971" i="3"/>
  <c r="N1972" i="3"/>
  <c r="N1973" i="3"/>
  <c r="N1974" i="3"/>
  <c r="N1975" i="3"/>
  <c r="N1976" i="3"/>
  <c r="N1977" i="3"/>
  <c r="N1978" i="3"/>
  <c r="N1979" i="3"/>
  <c r="N1980" i="3"/>
  <c r="N1981" i="3"/>
  <c r="N1982" i="3"/>
  <c r="N1983" i="3"/>
  <c r="N1984" i="3"/>
  <c r="N1985" i="3"/>
  <c r="N1986" i="3"/>
  <c r="N1987" i="3"/>
  <c r="N1988" i="3"/>
  <c r="N1989" i="3"/>
  <c r="N1990" i="3"/>
  <c r="N1991" i="3"/>
  <c r="N1992" i="3"/>
  <c r="N1993" i="3"/>
  <c r="N1994" i="3"/>
  <c r="N1995" i="3"/>
  <c r="N1996" i="3"/>
  <c r="N1997" i="3"/>
  <c r="N1998" i="3"/>
  <c r="N1999" i="3"/>
  <c r="N2000" i="3"/>
  <c r="N2001" i="3"/>
  <c r="N2002" i="3"/>
  <c r="N2003" i="3"/>
  <c r="N2004" i="3"/>
  <c r="N2005" i="3"/>
  <c r="N2006" i="3"/>
  <c r="N2007" i="3"/>
  <c r="N2008" i="3"/>
  <c r="N2009" i="3"/>
  <c r="N2010" i="3"/>
  <c r="N2011" i="3"/>
  <c r="N2012" i="3"/>
  <c r="N2013" i="3"/>
  <c r="N2014" i="3"/>
  <c r="N2015" i="3"/>
  <c r="N2016" i="3"/>
  <c r="N2017" i="3"/>
  <c r="N2018" i="3"/>
  <c r="N2019" i="3"/>
  <c r="N2020" i="3"/>
  <c r="N2021" i="3"/>
  <c r="N2022" i="3"/>
  <c r="N2023" i="3"/>
  <c r="N2024" i="3"/>
  <c r="N2025" i="3"/>
  <c r="N2026" i="3"/>
  <c r="N2027" i="3"/>
  <c r="N2028" i="3"/>
  <c r="N2029" i="3"/>
  <c r="N2030" i="3"/>
  <c r="N2031" i="3"/>
  <c r="N2032" i="3"/>
  <c r="N2033" i="3"/>
  <c r="N2034" i="3"/>
  <c r="N2035" i="3"/>
  <c r="N2036" i="3"/>
  <c r="N2037" i="3"/>
  <c r="N2038" i="3"/>
  <c r="N2039" i="3"/>
  <c r="N2040" i="3"/>
  <c r="N2041" i="3"/>
  <c r="N2042" i="3"/>
  <c r="N2043" i="3"/>
  <c r="N2044" i="3"/>
  <c r="N2045" i="3"/>
  <c r="N2046" i="3"/>
  <c r="N2047" i="3"/>
  <c r="N2048" i="3"/>
  <c r="N2049" i="3"/>
  <c r="N2050" i="3"/>
  <c r="N2051" i="3"/>
  <c r="N2052" i="3"/>
  <c r="N2053" i="3"/>
  <c r="N2054" i="3"/>
  <c r="N2055" i="3"/>
  <c r="N2056" i="3"/>
  <c r="N2057" i="3"/>
  <c r="N2058" i="3"/>
  <c r="N2059" i="3"/>
  <c r="N2060" i="3"/>
  <c r="N2061" i="3"/>
  <c r="N2062" i="3"/>
  <c r="N2063" i="3"/>
  <c r="N2064" i="3"/>
  <c r="N2065" i="3"/>
  <c r="N2066" i="3"/>
  <c r="N2067" i="3"/>
  <c r="N2068" i="3"/>
  <c r="N2069" i="3"/>
  <c r="N2070" i="3"/>
  <c r="N2071" i="3"/>
  <c r="N2072" i="3"/>
  <c r="N2073" i="3"/>
  <c r="N2074" i="3"/>
  <c r="N2075" i="3"/>
  <c r="N2076" i="3"/>
  <c r="N2077" i="3"/>
  <c r="N2078" i="3"/>
  <c r="N2079" i="3"/>
  <c r="N2080" i="3"/>
  <c r="N2081" i="3"/>
  <c r="N2082" i="3"/>
  <c r="N2083" i="3"/>
  <c r="N2084" i="3"/>
  <c r="N2085" i="3"/>
  <c r="N2086" i="3"/>
  <c r="N2087" i="3"/>
  <c r="N2088" i="3"/>
  <c r="N2089" i="3"/>
  <c r="N2090" i="3"/>
  <c r="N2091" i="3"/>
  <c r="N2092" i="3"/>
  <c r="N2093" i="3"/>
  <c r="N2094" i="3"/>
  <c r="N2095" i="3"/>
  <c r="N2096" i="3"/>
  <c r="N2097" i="3"/>
  <c r="N2098" i="3"/>
  <c r="N2099" i="3"/>
  <c r="N2100" i="3"/>
  <c r="N2101" i="3"/>
  <c r="N2102" i="3"/>
  <c r="N2103" i="3"/>
  <c r="N2104" i="3"/>
  <c r="N2105" i="3"/>
  <c r="N2106" i="3"/>
  <c r="N2107" i="3"/>
  <c r="N2108" i="3"/>
  <c r="N2109" i="3"/>
  <c r="N2110" i="3"/>
  <c r="N2111" i="3"/>
  <c r="N2112" i="3"/>
  <c r="N2113" i="3"/>
  <c r="N2114" i="3"/>
  <c r="N2115" i="3"/>
  <c r="N2116" i="3"/>
  <c r="N2117" i="3"/>
  <c r="N2118" i="3"/>
  <c r="N2119" i="3"/>
  <c r="N2120" i="3"/>
  <c r="N2121" i="3"/>
  <c r="N2122" i="3"/>
  <c r="N2123" i="3"/>
  <c r="N2124" i="3"/>
  <c r="N2125" i="3"/>
  <c r="N2126" i="3"/>
  <c r="N2127" i="3"/>
  <c r="N2128" i="3"/>
  <c r="N2129" i="3"/>
  <c r="N2130" i="3"/>
  <c r="N2131" i="3"/>
  <c r="N2132" i="3"/>
  <c r="N2133" i="3"/>
  <c r="N2134" i="3"/>
  <c r="N2135" i="3"/>
  <c r="N2136" i="3"/>
  <c r="N2137" i="3"/>
  <c r="N2138" i="3"/>
  <c r="N2139" i="3"/>
  <c r="N2140" i="3"/>
  <c r="N2141" i="3"/>
  <c r="N2142" i="3"/>
  <c r="N2143" i="3"/>
  <c r="N2144" i="3"/>
  <c r="N2145" i="3"/>
  <c r="N2146" i="3"/>
  <c r="N2147" i="3"/>
  <c r="N2148" i="3"/>
  <c r="N2149" i="3"/>
  <c r="N2150" i="3"/>
  <c r="N2151" i="3"/>
  <c r="N2152" i="3"/>
  <c r="N2153" i="3"/>
  <c r="N2154" i="3"/>
  <c r="N2155" i="3"/>
  <c r="N2156" i="3"/>
  <c r="N2157" i="3"/>
  <c r="N2158" i="3"/>
  <c r="N2159" i="3"/>
  <c r="N2160" i="3"/>
  <c r="N2161" i="3"/>
  <c r="N2162" i="3"/>
  <c r="N2163" i="3"/>
  <c r="N2164" i="3"/>
  <c r="N2165" i="3"/>
  <c r="N2166" i="3"/>
  <c r="N2167" i="3"/>
  <c r="N2168" i="3"/>
  <c r="N2169" i="3"/>
  <c r="N2170" i="3"/>
  <c r="N2171" i="3"/>
  <c r="N2172" i="3"/>
  <c r="N2173" i="3"/>
  <c r="N2174" i="3"/>
  <c r="N2175" i="3"/>
  <c r="N2176" i="3"/>
  <c r="N2177" i="3"/>
  <c r="N2178" i="3"/>
  <c r="N2179" i="3"/>
  <c r="N2180" i="3"/>
  <c r="N2181" i="3"/>
  <c r="N2182" i="3"/>
  <c r="N2183" i="3"/>
  <c r="N2184" i="3"/>
  <c r="N2185" i="3"/>
  <c r="N2186" i="3"/>
  <c r="N2187" i="3"/>
  <c r="N2188" i="3"/>
  <c r="N2189" i="3"/>
  <c r="N2190" i="3"/>
  <c r="N2191" i="3"/>
  <c r="N2192" i="3"/>
  <c r="N2193" i="3"/>
  <c r="N2194" i="3"/>
  <c r="N2195" i="3"/>
  <c r="N2196" i="3"/>
  <c r="N2197" i="3"/>
  <c r="N2198" i="3"/>
  <c r="N2199" i="3"/>
  <c r="N2200" i="3"/>
  <c r="N2201" i="3"/>
  <c r="N2202" i="3"/>
  <c r="N2203" i="3"/>
  <c r="N2204" i="3"/>
  <c r="N2205" i="3"/>
  <c r="N2206" i="3"/>
  <c r="N2207" i="3"/>
  <c r="N2208" i="3"/>
  <c r="N2209" i="3"/>
  <c r="N2210" i="3"/>
  <c r="N2211" i="3"/>
  <c r="N2212" i="3"/>
  <c r="N2213" i="3"/>
  <c r="N2214" i="3"/>
  <c r="N2215" i="3"/>
  <c r="N2216" i="3"/>
  <c r="N2217" i="3"/>
  <c r="N2218" i="3"/>
  <c r="N2219" i="3"/>
  <c r="N2220" i="3"/>
  <c r="N2221" i="3"/>
  <c r="N2222" i="3"/>
  <c r="N2223" i="3"/>
  <c r="N2224" i="3"/>
  <c r="N2225" i="3"/>
  <c r="N2226" i="3"/>
  <c r="N2227" i="3"/>
  <c r="N2228" i="3"/>
  <c r="N2229" i="3"/>
  <c r="N2230" i="3"/>
  <c r="N2231" i="3"/>
  <c r="N2232" i="3"/>
  <c r="N2233" i="3"/>
  <c r="N2234" i="3"/>
  <c r="N2235" i="3"/>
  <c r="N2236" i="3"/>
  <c r="N2237" i="3"/>
  <c r="N2238" i="3"/>
  <c r="N2239" i="3"/>
  <c r="N2240" i="3"/>
  <c r="N2241" i="3"/>
  <c r="N2242" i="3"/>
  <c r="N2243" i="3"/>
  <c r="N2244" i="3"/>
  <c r="N2245" i="3"/>
  <c r="N2246" i="3"/>
  <c r="N2247" i="3"/>
  <c r="N2248" i="3"/>
  <c r="N2249" i="3"/>
  <c r="N2250" i="3"/>
  <c r="N2251" i="3"/>
  <c r="N2252" i="3"/>
  <c r="N2253" i="3"/>
  <c r="N2254" i="3"/>
  <c r="N2255" i="3"/>
  <c r="N2256" i="3"/>
  <c r="N2257" i="3"/>
  <c r="N2258" i="3"/>
  <c r="N2259" i="3"/>
  <c r="N2260" i="3"/>
  <c r="N2261" i="3"/>
  <c r="N2262" i="3"/>
  <c r="N2263" i="3"/>
  <c r="N2264" i="3"/>
  <c r="N2265" i="3"/>
  <c r="N2266" i="3"/>
  <c r="N2267" i="3"/>
  <c r="N2268" i="3"/>
  <c r="N2269" i="3"/>
  <c r="N2270" i="3"/>
  <c r="N2271" i="3"/>
  <c r="N2272" i="3"/>
  <c r="N2273" i="3"/>
  <c r="N2274" i="3"/>
  <c r="N2275" i="3"/>
  <c r="N2276" i="3"/>
  <c r="N2277" i="3"/>
  <c r="N2278" i="3"/>
  <c r="N2279" i="3"/>
  <c r="N2280" i="3"/>
  <c r="N2281" i="3"/>
  <c r="N2282" i="3"/>
  <c r="N2283" i="3"/>
  <c r="N2284" i="3"/>
  <c r="N2285" i="3"/>
  <c r="N2286" i="3"/>
  <c r="N2287" i="3"/>
  <c r="N2288" i="3"/>
  <c r="N2289" i="3"/>
  <c r="N2290" i="3"/>
  <c r="N2291" i="3"/>
  <c r="N2292" i="3"/>
  <c r="N2293" i="3"/>
  <c r="N2294" i="3"/>
  <c r="N2295" i="3"/>
  <c r="N2296" i="3"/>
  <c r="N2297" i="3"/>
  <c r="N2298" i="3"/>
  <c r="N2299" i="3"/>
  <c r="N2300" i="3"/>
  <c r="N2301" i="3"/>
  <c r="N2302" i="3"/>
  <c r="N2303" i="3"/>
  <c r="N2304" i="3"/>
  <c r="N2305" i="3"/>
  <c r="N2306" i="3"/>
  <c r="N2307" i="3"/>
  <c r="N2308" i="3"/>
  <c r="N2309" i="3"/>
  <c r="N2310" i="3"/>
  <c r="N2311" i="3"/>
  <c r="N2312" i="3"/>
  <c r="N2313" i="3"/>
  <c r="N2314" i="3"/>
  <c r="N2315" i="3"/>
  <c r="N2316" i="3"/>
  <c r="N2317" i="3"/>
  <c r="N2318" i="3"/>
  <c r="N2319" i="3"/>
  <c r="N2320" i="3"/>
  <c r="N2321" i="3"/>
  <c r="N2322" i="3"/>
  <c r="N2323" i="3"/>
  <c r="N2324" i="3"/>
  <c r="N2325" i="3"/>
  <c r="N2326" i="3"/>
  <c r="N2327" i="3"/>
  <c r="N2328" i="3"/>
  <c r="N2329" i="3"/>
  <c r="N2330" i="3"/>
  <c r="N2331" i="3"/>
  <c r="N2332" i="3"/>
  <c r="N2333" i="3"/>
  <c r="N2334" i="3"/>
  <c r="N2335" i="3"/>
  <c r="N2336" i="3"/>
  <c r="N2337" i="3"/>
  <c r="N2338" i="3"/>
  <c r="N2339" i="3"/>
  <c r="N2340" i="3"/>
  <c r="N2341" i="3"/>
  <c r="N2342" i="3"/>
  <c r="N2343" i="3"/>
  <c r="N2344" i="3"/>
  <c r="N2345" i="3"/>
  <c r="N2346" i="3"/>
  <c r="N2347" i="3"/>
  <c r="N2348" i="3"/>
  <c r="N2349" i="3"/>
  <c r="N2350" i="3"/>
  <c r="N2351" i="3"/>
  <c r="N2352" i="3"/>
  <c r="N2353" i="3"/>
  <c r="N2354" i="3"/>
  <c r="N2355" i="3"/>
  <c r="N2356" i="3"/>
  <c r="N2357" i="3"/>
  <c r="N2358" i="3"/>
  <c r="N2359" i="3"/>
  <c r="N2360" i="3"/>
  <c r="N2361" i="3"/>
  <c r="N2362" i="3"/>
  <c r="N2363" i="3"/>
  <c r="N2364" i="3"/>
  <c r="N2365" i="3"/>
  <c r="N2366" i="3"/>
  <c r="N2367" i="3"/>
  <c r="N2368" i="3"/>
  <c r="N2369" i="3"/>
  <c r="N2370" i="3"/>
  <c r="N2371" i="3"/>
  <c r="N2372" i="3"/>
  <c r="N2373" i="3"/>
  <c r="N2374" i="3"/>
  <c r="N2375" i="3"/>
  <c r="N2376" i="3"/>
  <c r="N2377" i="3"/>
  <c r="N2378" i="3"/>
  <c r="N2379" i="3"/>
  <c r="N2380" i="3"/>
  <c r="N2381" i="3"/>
  <c r="N2382" i="3"/>
  <c r="N2383" i="3"/>
  <c r="N2384" i="3"/>
  <c r="N2385" i="3"/>
  <c r="N2386" i="3"/>
  <c r="N2387" i="3"/>
  <c r="N2388" i="3"/>
  <c r="N2389" i="3"/>
  <c r="N2390" i="3"/>
  <c r="N2391" i="3"/>
  <c r="N2392" i="3"/>
  <c r="N2393" i="3"/>
  <c r="N2394" i="3"/>
  <c r="N2395" i="3"/>
  <c r="N2396" i="3"/>
  <c r="N2397" i="3"/>
  <c r="N2398" i="3"/>
  <c r="N2399" i="3"/>
  <c r="N2400" i="3"/>
  <c r="N2401" i="3"/>
  <c r="N2402" i="3"/>
  <c r="N2403" i="3"/>
  <c r="N2404" i="3"/>
  <c r="N2405" i="3"/>
  <c r="N2406" i="3"/>
  <c r="N2407" i="3"/>
  <c r="N2408" i="3"/>
  <c r="N2409" i="3"/>
  <c r="N2410" i="3"/>
  <c r="N2411" i="3"/>
  <c r="N2412" i="3"/>
  <c r="N2413" i="3"/>
  <c r="N2414" i="3"/>
  <c r="N2415" i="3"/>
  <c r="N2416" i="3"/>
  <c r="N2417" i="3"/>
  <c r="N2418" i="3"/>
  <c r="N2419" i="3"/>
  <c r="N2420" i="3"/>
  <c r="N2421" i="3"/>
  <c r="N2422" i="3"/>
  <c r="N2423" i="3"/>
  <c r="N2424" i="3"/>
  <c r="N2425" i="3"/>
  <c r="N2426" i="3"/>
  <c r="N2427" i="3"/>
  <c r="N2428" i="3"/>
  <c r="N2429" i="3"/>
  <c r="N2430" i="3"/>
  <c r="N2431" i="3"/>
  <c r="N2432" i="3"/>
  <c r="N2433" i="3"/>
  <c r="N2434" i="3"/>
  <c r="N2435" i="3"/>
  <c r="N2436" i="3"/>
  <c r="N2437" i="3"/>
  <c r="N2438" i="3"/>
  <c r="N2439" i="3"/>
  <c r="N2440" i="3"/>
  <c r="N2441" i="3"/>
  <c r="N2442" i="3"/>
  <c r="N2443" i="3"/>
  <c r="N2444" i="3"/>
  <c r="N2445" i="3"/>
  <c r="N2446" i="3"/>
  <c r="N2447" i="3"/>
  <c r="N2448" i="3"/>
  <c r="N2449" i="3"/>
  <c r="N2450" i="3"/>
  <c r="N2451" i="3"/>
  <c r="N2452" i="3"/>
  <c r="N2453" i="3"/>
  <c r="N2454" i="3"/>
  <c r="N2455" i="3"/>
  <c r="N2456" i="3"/>
  <c r="N2457" i="3"/>
  <c r="N2458" i="3"/>
  <c r="N2459" i="3"/>
  <c r="N2460" i="3"/>
  <c r="N2461" i="3"/>
  <c r="N2462" i="3"/>
  <c r="N2463" i="3"/>
  <c r="N2464" i="3"/>
  <c r="N2465" i="3"/>
  <c r="N2466" i="3"/>
  <c r="N2467" i="3"/>
  <c r="N2468" i="3"/>
  <c r="N2469" i="3"/>
  <c r="N2470" i="3"/>
  <c r="N2471" i="3"/>
  <c r="N2472" i="3"/>
  <c r="N2473" i="3"/>
  <c r="N2474" i="3"/>
  <c r="N2475" i="3"/>
  <c r="N2476" i="3"/>
  <c r="N2477" i="3"/>
  <c r="N2478" i="3"/>
  <c r="N2479" i="3"/>
  <c r="N2480" i="3"/>
  <c r="N2481" i="3"/>
  <c r="N2482" i="3"/>
  <c r="N2483" i="3"/>
  <c r="N2484" i="3"/>
  <c r="N2485" i="3"/>
  <c r="N2486" i="3"/>
  <c r="N2487" i="3"/>
  <c r="N2488" i="3"/>
  <c r="N2489" i="3"/>
  <c r="N2490" i="3"/>
  <c r="N2491" i="3"/>
  <c r="N2492" i="3"/>
  <c r="N2493" i="3"/>
  <c r="N2494" i="3"/>
  <c r="N2495" i="3"/>
  <c r="N2496" i="3"/>
  <c r="N2497" i="3"/>
  <c r="N2498" i="3"/>
  <c r="N2499" i="3"/>
  <c r="N2500" i="3"/>
  <c r="N2501" i="3"/>
  <c r="N2502" i="3"/>
  <c r="N2503" i="3"/>
  <c r="N2504" i="3"/>
  <c r="N2505" i="3"/>
  <c r="N2506" i="3"/>
  <c r="N2507" i="3"/>
  <c r="N2508" i="3"/>
  <c r="N2509" i="3"/>
  <c r="N2510" i="3"/>
  <c r="N2511" i="3"/>
  <c r="N2512" i="3"/>
  <c r="N2513" i="3"/>
  <c r="N2514" i="3"/>
  <c r="N2515" i="3"/>
  <c r="N2516" i="3"/>
  <c r="N2517" i="3"/>
  <c r="N2518" i="3"/>
  <c r="N2519" i="3"/>
  <c r="N2520" i="3"/>
  <c r="N2521" i="3"/>
  <c r="N2522" i="3"/>
  <c r="N2523" i="3"/>
  <c r="N2524" i="3"/>
  <c r="N2525" i="3"/>
  <c r="N2526" i="3"/>
  <c r="N2527" i="3"/>
  <c r="N2528" i="3"/>
  <c r="N2529" i="3"/>
  <c r="N2530" i="3"/>
  <c r="N2531" i="3"/>
  <c r="N2532" i="3"/>
  <c r="N2533" i="3"/>
  <c r="N2534" i="3"/>
  <c r="N2535" i="3"/>
  <c r="N2536" i="3"/>
  <c r="N2537" i="3"/>
  <c r="N2538" i="3"/>
  <c r="N2539" i="3"/>
  <c r="N2540" i="3"/>
  <c r="N2541" i="3"/>
  <c r="N2542" i="3"/>
  <c r="N2543" i="3"/>
  <c r="N2544" i="3"/>
  <c r="N2545" i="3"/>
  <c r="N2546" i="3"/>
  <c r="N2547" i="3"/>
  <c r="N2548" i="3"/>
  <c r="N2549" i="3"/>
  <c r="N2550" i="3"/>
  <c r="N2551" i="3"/>
  <c r="N2552" i="3"/>
  <c r="N2553" i="3"/>
  <c r="N2554" i="3"/>
  <c r="N2555" i="3"/>
  <c r="N2556" i="3"/>
  <c r="N2557" i="3"/>
  <c r="N2558" i="3"/>
  <c r="N2559" i="3"/>
  <c r="N2560" i="3"/>
  <c r="N2561" i="3"/>
  <c r="N2562" i="3"/>
  <c r="N2563" i="3"/>
  <c r="N2564" i="3"/>
  <c r="N2565" i="3"/>
  <c r="N2566" i="3"/>
  <c r="N2567" i="3"/>
  <c r="N2568" i="3"/>
  <c r="N2569" i="3"/>
  <c r="N2570" i="3"/>
  <c r="N2571" i="3"/>
  <c r="N2572" i="3"/>
  <c r="N2573" i="3"/>
  <c r="N2574" i="3"/>
  <c r="N2575" i="3"/>
  <c r="N2576" i="3"/>
  <c r="N2577" i="3"/>
  <c r="N2578" i="3"/>
  <c r="N2579" i="3"/>
  <c r="N2580" i="3"/>
  <c r="N2581" i="3"/>
  <c r="N2582" i="3"/>
  <c r="N2583" i="3"/>
  <c r="N2584" i="3"/>
  <c r="N2585" i="3"/>
  <c r="N2586" i="3"/>
  <c r="N2587" i="3"/>
  <c r="N2588" i="3"/>
  <c r="N2589" i="3"/>
  <c r="N2590" i="3"/>
  <c r="N2591" i="3"/>
  <c r="N2592" i="3"/>
  <c r="N2593" i="3"/>
  <c r="N2594" i="3"/>
  <c r="N2595" i="3"/>
  <c r="N2596" i="3"/>
  <c r="N2597" i="3"/>
  <c r="N2598" i="3"/>
  <c r="N2599" i="3"/>
  <c r="N2600" i="3"/>
  <c r="N2601" i="3"/>
  <c r="N2602" i="3"/>
  <c r="N2603" i="3"/>
  <c r="N2604" i="3"/>
  <c r="N2605" i="3"/>
  <c r="N2606" i="3"/>
  <c r="N2607" i="3"/>
  <c r="N2608" i="3"/>
  <c r="N2609" i="3"/>
  <c r="N2610" i="3"/>
  <c r="N2611" i="3"/>
  <c r="N2612" i="3"/>
  <c r="N2613" i="3"/>
  <c r="N2614" i="3"/>
  <c r="N2615" i="3"/>
  <c r="N2616" i="3"/>
  <c r="N2617" i="3"/>
  <c r="N2618" i="3"/>
  <c r="N2619" i="3"/>
  <c r="N2620" i="3"/>
  <c r="N2621" i="3"/>
  <c r="N2622" i="3"/>
  <c r="N2623" i="3"/>
  <c r="N2624" i="3"/>
  <c r="N2625" i="3"/>
  <c r="N2626" i="3"/>
  <c r="N2627" i="3"/>
  <c r="N2628" i="3"/>
  <c r="N2629" i="3"/>
  <c r="N2630" i="3"/>
  <c r="N2631" i="3"/>
  <c r="N2632" i="3"/>
  <c r="N2633" i="3"/>
  <c r="N2634" i="3"/>
  <c r="N2635" i="3"/>
  <c r="N2636" i="3"/>
  <c r="N2637" i="3"/>
  <c r="N2638" i="3"/>
  <c r="N2639" i="3"/>
  <c r="N2640" i="3"/>
  <c r="N2641" i="3"/>
  <c r="N2642" i="3"/>
  <c r="N2643" i="3"/>
  <c r="N2644" i="3"/>
  <c r="N2645" i="3"/>
  <c r="N2646" i="3"/>
  <c r="N2647" i="3"/>
  <c r="N2648" i="3"/>
  <c r="N2649" i="3"/>
  <c r="N2650" i="3"/>
  <c r="N2651" i="3"/>
  <c r="N2652" i="3"/>
  <c r="N2653" i="3"/>
  <c r="N2654" i="3"/>
  <c r="N2655" i="3"/>
  <c r="N2656" i="3"/>
  <c r="N2657" i="3"/>
  <c r="N2658" i="3"/>
  <c r="N2659" i="3"/>
  <c r="N2660" i="3"/>
  <c r="N2661" i="3"/>
  <c r="N2662" i="3"/>
  <c r="N2663" i="3"/>
  <c r="N2664" i="3"/>
  <c r="N2665" i="3"/>
  <c r="N2666" i="3"/>
  <c r="N2667" i="3"/>
  <c r="N2668" i="3"/>
  <c r="N2669" i="3"/>
  <c r="N2670" i="3"/>
  <c r="N2671" i="3"/>
  <c r="N2672" i="3"/>
  <c r="N2673" i="3"/>
  <c r="N2674" i="3"/>
  <c r="N2675" i="3"/>
  <c r="N2676" i="3"/>
  <c r="N2677" i="3"/>
  <c r="N2678" i="3"/>
  <c r="N2679" i="3"/>
  <c r="N2680" i="3"/>
  <c r="N2681" i="3"/>
  <c r="N2682" i="3"/>
  <c r="N2683" i="3"/>
  <c r="N2684" i="3"/>
  <c r="N2685" i="3"/>
  <c r="N2686" i="3"/>
  <c r="N2687" i="3"/>
  <c r="N2688" i="3"/>
  <c r="N2689" i="3"/>
  <c r="N2690" i="3"/>
  <c r="N2691" i="3"/>
  <c r="N2692" i="3"/>
  <c r="N2693" i="3"/>
  <c r="N2694" i="3"/>
  <c r="N2695" i="3"/>
  <c r="N2696" i="3"/>
  <c r="N2697" i="3"/>
  <c r="N2698" i="3"/>
  <c r="N2699" i="3"/>
  <c r="N2700" i="3"/>
  <c r="N2701" i="3"/>
  <c r="N2702" i="3"/>
  <c r="N2703" i="3"/>
  <c r="N2704" i="3"/>
  <c r="N2705" i="3"/>
  <c r="N2706" i="3"/>
  <c r="N2707" i="3"/>
  <c r="N2708" i="3"/>
  <c r="N2709" i="3"/>
  <c r="N2710" i="3"/>
  <c r="N2711" i="3"/>
  <c r="N2712" i="3"/>
  <c r="N2713" i="3"/>
  <c r="N2714" i="3"/>
  <c r="N2715" i="3"/>
  <c r="N2716" i="3"/>
  <c r="N2717" i="3"/>
  <c r="N2718" i="3"/>
  <c r="N2719" i="3"/>
  <c r="N2720" i="3"/>
  <c r="N2721" i="3"/>
  <c r="N2722" i="3"/>
  <c r="N2723" i="3"/>
  <c r="N2724" i="3"/>
  <c r="N2725" i="3"/>
  <c r="N2726" i="3"/>
  <c r="N2727" i="3"/>
  <c r="N2728" i="3"/>
  <c r="N2729" i="3"/>
  <c r="N2730" i="3"/>
  <c r="N2731" i="3"/>
  <c r="N2732" i="3"/>
  <c r="N2733" i="3"/>
  <c r="N2734" i="3"/>
  <c r="N2735" i="3"/>
  <c r="N2736" i="3"/>
  <c r="N2737" i="3"/>
  <c r="N2738" i="3"/>
  <c r="N2739" i="3"/>
  <c r="N2740" i="3"/>
  <c r="N2741" i="3"/>
  <c r="N2742" i="3"/>
  <c r="N2743" i="3"/>
  <c r="N2744" i="3"/>
  <c r="N2745" i="3"/>
  <c r="N2746" i="3"/>
  <c r="N2747" i="3"/>
  <c r="N2748" i="3"/>
  <c r="N2749" i="3"/>
  <c r="N2750" i="3"/>
  <c r="N2751" i="3"/>
  <c r="N2752" i="3"/>
  <c r="N2753" i="3"/>
  <c r="N2754" i="3"/>
  <c r="N2755" i="3"/>
  <c r="N2756" i="3"/>
  <c r="N2757" i="3"/>
  <c r="N2758" i="3"/>
  <c r="N2759" i="3"/>
  <c r="N2760" i="3"/>
  <c r="N2761" i="3"/>
  <c r="N2762" i="3"/>
  <c r="N2763" i="3"/>
  <c r="N2764" i="3"/>
  <c r="N2765" i="3"/>
  <c r="N2766" i="3"/>
  <c r="N2767" i="3"/>
  <c r="N2768" i="3"/>
  <c r="N2769" i="3"/>
  <c r="N2770" i="3"/>
  <c r="N2771" i="3"/>
  <c r="N2772" i="3"/>
  <c r="N2773" i="3"/>
  <c r="N2774" i="3"/>
  <c r="N2775" i="3"/>
  <c r="N2776" i="3"/>
  <c r="N2777" i="3"/>
  <c r="N2778" i="3"/>
  <c r="N2779" i="3"/>
  <c r="N2780" i="3"/>
  <c r="N2781" i="3"/>
  <c r="N2782" i="3"/>
  <c r="N2783" i="3"/>
  <c r="N2784" i="3"/>
  <c r="N2785" i="3"/>
  <c r="N2786" i="3"/>
  <c r="N2787" i="3"/>
  <c r="N2788" i="3"/>
  <c r="N2789" i="3"/>
  <c r="N2790" i="3"/>
  <c r="N2791" i="3"/>
  <c r="N2792" i="3"/>
  <c r="N2793" i="3"/>
  <c r="N2794" i="3"/>
  <c r="N2795" i="3"/>
  <c r="N2796" i="3"/>
  <c r="N2797" i="3"/>
  <c r="N2798" i="3"/>
  <c r="N2799" i="3"/>
  <c r="N2800" i="3"/>
  <c r="N2801" i="3"/>
  <c r="N2802" i="3"/>
  <c r="N2803" i="3"/>
  <c r="N2804" i="3"/>
  <c r="N2805" i="3"/>
  <c r="N2806" i="3"/>
  <c r="N2807" i="3"/>
  <c r="N2808" i="3"/>
  <c r="N2809" i="3"/>
  <c r="N2810" i="3"/>
  <c r="N2811" i="3"/>
  <c r="N2812" i="3"/>
  <c r="N2813" i="3"/>
  <c r="N2814" i="3"/>
  <c r="N2815" i="3"/>
  <c r="N2816" i="3"/>
  <c r="N2817" i="3"/>
  <c r="N2818" i="3"/>
  <c r="N2819" i="3"/>
  <c r="N2820" i="3"/>
  <c r="N2821" i="3"/>
  <c r="N2822" i="3"/>
  <c r="N2823" i="3"/>
  <c r="N2824" i="3"/>
  <c r="N2825" i="3"/>
  <c r="N2826" i="3"/>
  <c r="N2827" i="3"/>
  <c r="N2828" i="3"/>
  <c r="N2829" i="3"/>
  <c r="N2830" i="3"/>
  <c r="N2831" i="3"/>
  <c r="N2832" i="3"/>
  <c r="N2833" i="3"/>
  <c r="N2834" i="3"/>
  <c r="N2835" i="3"/>
  <c r="N2836" i="3"/>
  <c r="N2837" i="3"/>
  <c r="N2838" i="3"/>
  <c r="N2839" i="3"/>
  <c r="N2840" i="3"/>
  <c r="N2841" i="3"/>
  <c r="N2842" i="3"/>
  <c r="N2843" i="3"/>
  <c r="N2844" i="3"/>
  <c r="N2845" i="3"/>
  <c r="N2846" i="3"/>
  <c r="N2847" i="3"/>
  <c r="N2848" i="3"/>
  <c r="N2849" i="3"/>
  <c r="N2850" i="3"/>
  <c r="N2851" i="3"/>
  <c r="N2852" i="3"/>
  <c r="N2853" i="3"/>
  <c r="N2854" i="3"/>
  <c r="N2855" i="3"/>
  <c r="N2856" i="3"/>
  <c r="N2857" i="3"/>
  <c r="N2858" i="3"/>
  <c r="N2859" i="3"/>
  <c r="N2860" i="3"/>
  <c r="N2861" i="3"/>
  <c r="N2862" i="3"/>
  <c r="N2863" i="3"/>
  <c r="N2864" i="3"/>
  <c r="N2865" i="3"/>
  <c r="N2866" i="3"/>
  <c r="N2867" i="3"/>
  <c r="N2868" i="3"/>
  <c r="N2869" i="3"/>
  <c r="N2870" i="3"/>
  <c r="N2871" i="3"/>
  <c r="N2872" i="3"/>
  <c r="N2873" i="3"/>
  <c r="N2874" i="3"/>
  <c r="N2875" i="3"/>
  <c r="N2876" i="3"/>
  <c r="N2877" i="3"/>
  <c r="N2878" i="3"/>
  <c r="N2879" i="3"/>
  <c r="N2880" i="3"/>
  <c r="N2881" i="3"/>
  <c r="N2882" i="3"/>
  <c r="N2883" i="3"/>
  <c r="N2884" i="3"/>
  <c r="N2885" i="3"/>
  <c r="N2886" i="3"/>
  <c r="N2887" i="3"/>
  <c r="N2888" i="3"/>
  <c r="N2889" i="3"/>
  <c r="N2890" i="3"/>
  <c r="N2891" i="3"/>
  <c r="N2892" i="3"/>
  <c r="N2893" i="3"/>
  <c r="N2894" i="3"/>
  <c r="N2895" i="3"/>
  <c r="N2896" i="3"/>
  <c r="N2897" i="3"/>
  <c r="N2898" i="3"/>
  <c r="N2899" i="3"/>
  <c r="N2900" i="3"/>
  <c r="N2901" i="3"/>
  <c r="N2902" i="3"/>
  <c r="N2903" i="3"/>
  <c r="N2904" i="3"/>
  <c r="N2905" i="3"/>
  <c r="N2906" i="3"/>
  <c r="N2907" i="3"/>
  <c r="N2908" i="3"/>
  <c r="N2909" i="3"/>
  <c r="I26" i="16" l="1"/>
  <c r="I22" i="16"/>
  <c r="I18" i="16"/>
  <c r="I14" i="16"/>
  <c r="I10" i="16"/>
  <c r="I6" i="16"/>
  <c r="I25" i="16"/>
  <c r="I21" i="16"/>
  <c r="I17" i="16"/>
  <c r="I13" i="16"/>
  <c r="I9" i="16"/>
  <c r="I5" i="16"/>
  <c r="H7" i="7"/>
  <c r="D14" i="18" l="1"/>
  <c r="D13" i="18"/>
  <c r="J7" i="7"/>
  <c r="J8" i="7"/>
  <c r="J9" i="7"/>
  <c r="J10" i="7"/>
  <c r="J11" i="7"/>
  <c r="J12" i="7"/>
  <c r="J13" i="7"/>
  <c r="K7" i="7"/>
  <c r="K8" i="7"/>
  <c r="K9" i="7"/>
  <c r="K10" i="7"/>
  <c r="K11" i="7"/>
  <c r="K12" i="7"/>
  <c r="K13" i="7"/>
  <c r="B3" i="12"/>
  <c r="B3" i="11"/>
  <c r="B7" i="11" s="1"/>
  <c r="B2" i="9"/>
  <c r="B2" i="7"/>
  <c r="B6" i="11" l="1"/>
  <c r="B9" i="11" s="1"/>
  <c r="I119" i="4"/>
  <c r="H119" i="4"/>
  <c r="B7" i="12"/>
  <c r="B6" i="12"/>
  <c r="E13" i="9"/>
  <c r="E7" i="9"/>
  <c r="F7" i="9" s="1"/>
  <c r="I13" i="9"/>
  <c r="H13" i="9"/>
  <c r="I12" i="9"/>
  <c r="H12" i="9"/>
  <c r="I11" i="9"/>
  <c r="H11" i="9"/>
  <c r="I10" i="9"/>
  <c r="H10" i="9"/>
  <c r="I9" i="9"/>
  <c r="H9" i="9"/>
  <c r="I8" i="9"/>
  <c r="H8" i="9"/>
  <c r="I7" i="9"/>
  <c r="H7" i="9"/>
  <c r="E11" i="9" l="1"/>
  <c r="B8" i="12"/>
  <c r="B10" i="12" s="1"/>
  <c r="D8" i="9"/>
  <c r="E12" i="9"/>
  <c r="E10" i="9"/>
  <c r="E8" i="9"/>
  <c r="D7" i="9"/>
  <c r="E9" i="7"/>
  <c r="D11" i="9"/>
  <c r="D8" i="7"/>
  <c r="E13" i="7"/>
  <c r="D12" i="7"/>
  <c r="E11" i="7"/>
  <c r="E7" i="7"/>
  <c r="D10" i="7"/>
  <c r="D13" i="9"/>
  <c r="F13" i="9" s="1"/>
  <c r="D9" i="9"/>
  <c r="E12" i="7"/>
  <c r="E10" i="7"/>
  <c r="E8" i="7"/>
  <c r="D13" i="7"/>
  <c r="D11" i="7"/>
  <c r="D9" i="7"/>
  <c r="D7" i="7"/>
  <c r="D12" i="9"/>
  <c r="D10" i="9"/>
  <c r="E9" i="9"/>
  <c r="F9" i="9" l="1"/>
  <c r="G8" i="7"/>
  <c r="G12" i="7"/>
  <c r="F12" i="9"/>
  <c r="F11" i="9"/>
  <c r="F8" i="9"/>
  <c r="G10" i="7"/>
  <c r="F10" i="9"/>
  <c r="G11" i="7"/>
  <c r="G13" i="7"/>
  <c r="G9" i="7"/>
  <c r="F11" i="7"/>
  <c r="F8" i="7"/>
  <c r="F13" i="7"/>
  <c r="F9" i="7"/>
  <c r="F12" i="7"/>
  <c r="F10" i="7"/>
  <c r="I9" i="7" l="1"/>
  <c r="I13" i="7"/>
  <c r="I11" i="7"/>
  <c r="I12" i="7"/>
  <c r="I10" i="7"/>
  <c r="I8" i="7"/>
  <c r="H8" i="7"/>
  <c r="H11" i="7"/>
  <c r="H9" i="7"/>
  <c r="H10" i="7"/>
  <c r="H12" i="7"/>
  <c r="H13" i="7"/>
</calcChain>
</file>

<file path=xl/connections.xml><?xml version="1.0" encoding="utf-8"?>
<connections xmlns="http://schemas.openxmlformats.org/spreadsheetml/2006/main">
  <connection id="1" odcFile="C:\Users\Vaibhav.GENUSRND\AppData\Local\Microsoft\Windows\INetCache\IE\3X7FS5KT\owssvr.iqy" keepAlive="1" name="owssvr" type="5" refreshedVersion="4" minRefreshableVersion="3" saveData="1">
    <dbPr connection="Provider=Microsoft.Office.List.OLEDB.2.0;Data Source=&quot;&quot;;ApplicationName=Excel;Version=12.0.0.0" command="&lt;LIST&gt;&lt;VIEWGUID&gt;{656E7735-28DF-4FB0-8689-34673D72413F}&lt;/VIEWGUID&gt;&lt;LISTNAME&gt;{39446BAD-A56D-43B1-BAE2-AD64389778F8}&lt;/LISTNAME&gt;&lt;LISTWEB&gt;http://192.168.100.9:39524/LOGS/_vti_bin&lt;/LISTWEB&gt;&lt;LISTSUBWEB&gt;&lt;/LISTSUBWEB&gt;&lt;ROOTFOLDER&gt;/LOGS/Lists/Timesheet&lt;/ROOTFOLDER&gt;&lt;/LIST&gt;" commandType="5"/>
  </connection>
  <connection id="2" odcFile="C:\Users\Vaibhav.GENUSRND\AppData\Local\Microsoft\Windows\INetCache\IE\3X7FS5KT\owssvr (1).iqy" keepAlive="1" name="owssvr (1)" type="5" refreshedVersion="4" minRefreshableVersion="3" saveData="1">
    <dbPr connection="Provider=Microsoft.Office.List.OLEDB.2.0;Data Source=&quot;&quot;;ApplicationName=Excel;Version=12.0.0.0" command="&lt;LIST&gt;&lt;VIEWGUID&gt;{3FF6C71A-044B-43BA-9C87-2A7DC935E190}&lt;/VIEWGUID&gt;&lt;LISTNAME&gt;{06D00BDB-519E-48F3-AF78-6243CD0C9EF8}&lt;/LISTNAME&gt;&lt;LISTWEB&gt;http://192.168.100.9:39524/LOGS/_vti_bin&lt;/LISTWEB&gt;&lt;LISTSUBWEB&gt;&lt;/LISTSUBWEB&gt;&lt;ROOTFOLDER&gt;/LOGS/Lists/Schedules by Milestone&lt;/ROOTFOLDER&gt;&lt;/LIST&gt;" commandType="5"/>
  </connection>
  <connection id="3" odcFile="C:\Users\Vaibhav.GENUSRND\AppData\Local\Microsoft\Windows\INetCache\IE\M584K9RJ\owssvr (2).iqy" keepAlive="1" name="owssvr (2)" type="5" refreshedVersion="4" minRefreshableVersion="3" saveData="1">
    <dbPr connection="Provider=Microsoft.Office.List.OLEDB.2.0;Data Source=&quot;&quot;;ApplicationName=Excel;Version=12.0.0.0" command="&lt;LIST&gt;&lt;VIEWGUID&gt;{D7A632A1-C183-471C-9C91-6C00E5C46823}&lt;/VIEWGUID&gt;&lt;LISTNAME&gt;{6BDB4E9C-8BDF-47C3-9B1B-804BC1550149}&lt;/LISTNAME&gt;&lt;LISTWEB&gt;http://192.168.100.9:39524/LOGS/_vti_bin&lt;/LISTWEB&gt;&lt;LISTSUBWEB&gt;&lt;/LISTSUBWEB&gt;&lt;ROOTFOLDER&gt;/LOGS/Lists/ProjectCode&lt;/ROOTFOLDER&gt;&lt;/LIST&gt;" commandType="5"/>
  </connection>
  <connection id="4" odcFile="C:\Users\Vaibhav.GENUSRND\AppData\Local\Microsoft\Windows\INetCache\IE\M584K9RJ\owssvr (2).iqy" keepAlive="1" name="owssvr (2)1" type="5" refreshedVersion="4" minRefreshableVersion="3" saveData="1">
    <dbPr connection="Provider=Microsoft.Office.List.OLEDB.2.0;Data Source=&quot;&quot;;ApplicationName=Excel;Version=12.0.0.0" command="&lt;LIST&gt;&lt;VIEWGUID&gt;{D7A632A1-C183-471C-9C91-6C00E5C46823}&lt;/VIEWGUID&gt;&lt;LISTNAME&gt;{6BDB4E9C-8BDF-47C3-9B1B-804BC1550149}&lt;/LISTNAME&gt;&lt;LISTWEB&gt;http://192.168.100.9:39524/LOGS/_vti_bin&lt;/LISTWEB&gt;&lt;LISTSUBWEB&gt;&lt;/LISTSUBWEB&gt;&lt;ROOTFOLDER&gt;/LOGS/Lists/ProjectCode&lt;/ROOTFOLDER&gt;&lt;/LIST&gt;" commandType="5"/>
  </connection>
  <connection id="5" odcFile="C:\Users\Vaibhav.GENUSRND\AppData\Local\Microsoft\Windows\INetCache\IE\M584K9RJ\owssvr (2).iqy" keepAlive="1" name="owssvr (2)2" type="5" refreshedVersion="4" minRefreshableVersion="3" saveData="1">
    <dbPr connection="Provider=Microsoft.Office.List.OLEDB.2.0;Data Source=&quot;&quot;;ApplicationName=Excel;Version=12.0.0.0" command="&lt;LIST&gt;&lt;VIEWGUID&gt;{D7A632A1-C183-471C-9C91-6C00E5C46823}&lt;/VIEWGUID&gt;&lt;LISTNAME&gt;{6BDB4E9C-8BDF-47C3-9B1B-804BC1550149}&lt;/LISTNAME&gt;&lt;LISTWEB&gt;http://192.168.100.9:39524/LOGS/_vti_bin&lt;/LISTWEB&gt;&lt;LISTSUBWEB&gt;&lt;/LISTSUBWEB&gt;&lt;ROOTFOLDER&gt;/LOGS/Lists/ProjectCode&lt;/ROOTFOLDER&gt;&lt;/LIST&gt;" commandType="5"/>
  </connection>
  <connection id="6" odcFile="C:\Users\Vaibhav.GENUSRND\AppData\Local\Microsoft\Windows\INetCache\IE\M584K9RJ\owssvr (2).iqy" keepAlive="1" name="owssvr (2)3" type="5" refreshedVersion="4" minRefreshableVersion="3" saveData="1">
    <dbPr connection="Provider=Microsoft.Office.List.OLEDB.2.0;Data Source=&quot;&quot;;ApplicationName=Excel;Version=12.0.0.0" command="&lt;LIST&gt;&lt;VIEWGUID&gt;{D7A632A1-C183-471C-9C91-6C00E5C46823}&lt;/VIEWGUID&gt;&lt;LISTNAME&gt;{6BDB4E9C-8BDF-47C3-9B1B-804BC1550149}&lt;/LISTNAME&gt;&lt;LISTWEB&gt;http://192.168.100.9:39524/LOGS/_vti_bin&lt;/LISTWEB&gt;&lt;LISTSUBWEB&gt;&lt;/LISTSUBWEB&gt;&lt;ROOTFOLDER&gt;/LOGS/Lists/ProjectCode&lt;/ROOTFOLDER&gt;&lt;/LIST&gt;" commandType="5"/>
  </connection>
  <connection id="7" odcFile="C:\Users\Vaibhav.GENUSRND\AppData\Local\Microsoft\Windows\INetCache\IE\M584K9RJ\owssvr (3).iqy" keepAlive="1" name="owssvr (3)" type="5" refreshedVersion="4" minRefreshableVersion="3" saveData="1">
    <dbPr connection="Provider=Microsoft.Office.List.OLEDB.2.0;Data Source=&quot;&quot;;ApplicationName=Excel;Version=12.0.0.0" command="&lt;LIST&gt;&lt;VIEWGUID&gt;{D7A632A1-C183-471C-9C91-6C00E5C46823}&lt;/VIEWGUID&gt;&lt;LISTNAME&gt;{6BDB4E9C-8BDF-47C3-9B1B-804BC1550149}&lt;/LISTNAME&gt;&lt;LISTWEB&gt;http://192.168.100.9:39524/LOGS/_vti_bin&lt;/LISTWEB&gt;&lt;LISTSUBWEB&gt;&lt;/LISTSUBWEB&gt;&lt;ROOTFOLDER&gt;/LOGS/Lists/ProjectCode&lt;/ROOTFOLDER&gt;&lt;/LIST&gt;" commandType="5"/>
  </connection>
  <connection id="8" odcFile="C:\Users\Vaibhav.GENUSRND\AppData\Local\Microsoft\Windows\INetCache\IE\M584K9RJ\owssvr (4).iqy" keepAlive="1" name="owssvr (4)" type="5" refreshedVersion="4" minRefreshableVersion="3" saveData="1">
    <dbPr connection="Provider=Microsoft.Office.List.OLEDB.2.0;Data Source=&quot;&quot;;ApplicationName=Excel;Version=12.0.0.0" command="&lt;LIST&gt;&lt;VIEWGUID&gt;{C9FDBB6D-12DF-4B9D-A297-102A73A8F883}&lt;/VIEWGUID&gt;&lt;LISTNAME&gt;{86D45B16-FCE8-4087-8AC4-301EF7E7468B}&lt;/LISTNAME&gt;&lt;LISTWEB&gt;http://192.168.100.9:39524/LOGS/_vti_bin&lt;/LISTWEB&gt;&lt;LISTSUBWEB&gt;&lt;/LISTSUBWEB&gt;&lt;ROOTFOLDER&gt;/LOGS/Lists/Review and Testing Defect Log&lt;/ROOTFOLDER&gt;&lt;/LIST&gt;" commandType="5"/>
  </connection>
  <connection id="9" odcFile="C:\Users\Vaibhav.GENUSRND\AppData\Local\Microsoft\Windows\INetCache\IE\B42TY3OS\owssvr.iqy" keepAlive="1" name="owssvr1" type="5" refreshedVersion="4" minRefreshableVersion="3" saveData="1">
    <dbPr connection="Provider=Microsoft.Office.List.OLEDB.2.0;Data Source=&quot;&quot;;ApplicationName=Excel;Version=12.0.0.0" command="&lt;LIST&gt;&lt;VIEWGUID&gt;{2F557EC7-1D76-4E51-8975-389253A4143B}&lt;/VIEWGUID&gt;&lt;LISTNAME&gt;{013D2BED-5CEE-4051-8A23-0DB9D338A1D8}&lt;/LISTNAME&gt;&lt;LISTWEB&gt;http://192.168.100.9:39524/LOGS/_vti_bin&lt;/LISTWEB&gt;&lt;LISTSUBWEB&gt;&lt;/LISTSUBWEB&gt;&lt;ROOTFOLDER&gt;/LOGS/Lists/Audit NonConformance Log&lt;/ROOTFOLDER&gt;&lt;/LIST&gt;" commandType="5"/>
  </connection>
</connections>
</file>

<file path=xl/sharedStrings.xml><?xml version="1.0" encoding="utf-8"?>
<sst xmlns="http://schemas.openxmlformats.org/spreadsheetml/2006/main" count="31495" uniqueCount="4596">
  <si>
    <t>Title</t>
  </si>
  <si>
    <t>Project Description</t>
  </si>
  <si>
    <t>Path</t>
  </si>
  <si>
    <t>Item Type</t>
  </si>
  <si>
    <t>Dummy1</t>
  </si>
  <si>
    <t>LOGS/Lists/ProjectCode</t>
  </si>
  <si>
    <t>Item</t>
  </si>
  <si>
    <t>Dummy2</t>
  </si>
  <si>
    <t>Project Code</t>
  </si>
  <si>
    <t>Person's Name</t>
  </si>
  <si>
    <t>Project Phase</t>
  </si>
  <si>
    <t>Task Description</t>
  </si>
  <si>
    <t>Start Date and Time</t>
  </si>
  <si>
    <t>End Date and Time</t>
  </si>
  <si>
    <t>Planned Date of Completion</t>
  </si>
  <si>
    <t>Actual Date of Completion</t>
  </si>
  <si>
    <t>Planned Efforts</t>
  </si>
  <si>
    <t>Project Start</t>
  </si>
  <si>
    <t>LOGS/Lists/Schedules by Milestone</t>
  </si>
  <si>
    <t>Requirements Development</t>
  </si>
  <si>
    <t>Planning</t>
  </si>
  <si>
    <t>Defect Found using</t>
  </si>
  <si>
    <t>Tester/Reviewer</t>
  </si>
  <si>
    <t>Detection Date</t>
  </si>
  <si>
    <t>Artefact / Work Product &amp; Version Number</t>
  </si>
  <si>
    <t>Defect Classification</t>
  </si>
  <si>
    <t>Description of Defect</t>
  </si>
  <si>
    <t>Status</t>
  </si>
  <si>
    <t>Assigned to</t>
  </si>
  <si>
    <t>Summary of Resolution Steps</t>
  </si>
  <si>
    <t>Closure version number</t>
  </si>
  <si>
    <t>Closure Date</t>
  </si>
  <si>
    <t>Design and Implementation</t>
  </si>
  <si>
    <t>Integration</t>
  </si>
  <si>
    <t>Validation</t>
  </si>
  <si>
    <t>Closure and Release</t>
  </si>
  <si>
    <t>Jalaj Mathur</t>
  </si>
  <si>
    <t>test description</t>
  </si>
  <si>
    <t>LOGS/Lists/Timesheet</t>
  </si>
  <si>
    <t>Rajkumar Jain</t>
  </si>
  <si>
    <t>test des</t>
  </si>
  <si>
    <t>Raghvendra Thakur</t>
  </si>
  <si>
    <t>Shweta Aggarwal</t>
  </si>
  <si>
    <t>Sundeep Jain</t>
  </si>
  <si>
    <t>test close</t>
  </si>
  <si>
    <t>test</t>
  </si>
  <si>
    <t>Phase</t>
  </si>
  <si>
    <t>Concat</t>
  </si>
  <si>
    <t>Planned No of days</t>
  </si>
  <si>
    <t>Actual No Of days</t>
  </si>
  <si>
    <t>USL</t>
  </si>
  <si>
    <t>LSL</t>
  </si>
  <si>
    <t>Actual efforts</t>
  </si>
  <si>
    <t>PersonHrs</t>
  </si>
  <si>
    <t>Project Code/ Process name</t>
  </si>
  <si>
    <t>Auditor</t>
  </si>
  <si>
    <t>Auditee</t>
  </si>
  <si>
    <t>Audit Date</t>
  </si>
  <si>
    <t>Classification</t>
  </si>
  <si>
    <t>Area</t>
  </si>
  <si>
    <t>Description of NC/Observation</t>
  </si>
  <si>
    <t>Description of Resolution</t>
  </si>
  <si>
    <t>Path2</t>
  </si>
  <si>
    <t>Total Number of Functional defects detected in the product</t>
  </si>
  <si>
    <t>Module Testing</t>
  </si>
  <si>
    <t>PCB no 9876 v 1234</t>
  </si>
  <si>
    <t>Functional</t>
  </si>
  <si>
    <t>Test des</t>
  </si>
  <si>
    <t>Active</t>
  </si>
  <si>
    <t>LOGS/Lists/Review and Testing Defect Log</t>
  </si>
  <si>
    <t>Review</t>
  </si>
  <si>
    <t>Non-functional</t>
  </si>
  <si>
    <t>Test Des</t>
  </si>
  <si>
    <t>Total Effort Expended in the prroject</t>
  </si>
  <si>
    <t>Product Defect Density</t>
  </si>
  <si>
    <t>Major NC</t>
  </si>
  <si>
    <t>LOGS/Lists/Audit NonConformance Log</t>
  </si>
  <si>
    <t>Plan Documents</t>
  </si>
  <si>
    <t>Pawan Kumar</t>
  </si>
  <si>
    <t>Minor NC</t>
  </si>
  <si>
    <t>Design Documents</t>
  </si>
  <si>
    <t>Manindera Singh</t>
  </si>
  <si>
    <t>Total Number of Major NCs in the project</t>
  </si>
  <si>
    <t>Total Number of Minor NCs in the project</t>
  </si>
  <si>
    <t>Project's Process Defect Density</t>
  </si>
  <si>
    <t>Functional Specifications</t>
  </si>
  <si>
    <t>Firmware V2.4</t>
  </si>
  <si>
    <t>Integration Testing</t>
  </si>
  <si>
    <t>xyz v 123</t>
  </si>
  <si>
    <t>task</t>
  </si>
  <si>
    <t>Total Planned Efforts</t>
  </si>
  <si>
    <t>Total Actual Efforts</t>
  </si>
  <si>
    <t>Effort Variance</t>
  </si>
  <si>
    <t>Project Start Date</t>
  </si>
  <si>
    <t>Planned End Date</t>
  </si>
  <si>
    <t>Actual End Date</t>
  </si>
  <si>
    <t>Planned Duration</t>
  </si>
  <si>
    <t>Actual Duration</t>
  </si>
  <si>
    <t>Schedule Variance</t>
  </si>
  <si>
    <t>Dummy1Project Start</t>
  </si>
  <si>
    <t>Total Effort Expended in the project</t>
  </si>
  <si>
    <t>Genus Innovation Limited</t>
  </si>
  <si>
    <t>ABCD</t>
  </si>
  <si>
    <t>QMS</t>
  </si>
  <si>
    <t>for QMS</t>
  </si>
  <si>
    <t>PEG</t>
  </si>
  <si>
    <t>PEG function</t>
  </si>
  <si>
    <t>Training</t>
  </si>
  <si>
    <t>GGS015</t>
  </si>
  <si>
    <t>Solar Charger 12V/20A</t>
  </si>
  <si>
    <t>GSI034</t>
  </si>
  <si>
    <t>5KVA/72V STATIC UPS</t>
  </si>
  <si>
    <t>SOLHYD</t>
  </si>
  <si>
    <t>1400 VA SOLAR HYBRID SURJA</t>
  </si>
  <si>
    <t>GGS020</t>
  </si>
  <si>
    <t xml:space="preserve">800VA PCU with MPPT Charge Controller </t>
  </si>
  <si>
    <t/>
  </si>
  <si>
    <t>Participated in Kick-off meeting as validation manager.</t>
  </si>
  <si>
    <t>Bharat Kakra</t>
  </si>
  <si>
    <t>kick of meeting</t>
  </si>
  <si>
    <t>Participated in Kick-off meeting as Firmware Team member and Configuration administrator.</t>
  </si>
  <si>
    <t>requirement development</t>
  </si>
  <si>
    <t>Participated in Discussion of Customer need and preparation of functional specifications for the same.</t>
  </si>
  <si>
    <t>Elaborate the functional specifications against customer requirments</t>
  </si>
  <si>
    <t>Chandrashekhar Sharma</t>
  </si>
  <si>
    <t>Kick off meating</t>
  </si>
  <si>
    <t>kick of meeting.</t>
  </si>
  <si>
    <t>Kick off meeting with all stakeholders.</t>
  </si>
  <si>
    <t>Participated in Kick Off meeting as a configuration administrator.</t>
  </si>
  <si>
    <t>Creation of Project Library along with all necessary folder in it.</t>
  </si>
  <si>
    <t>Function specification review by project manager</t>
  </si>
  <si>
    <t>Prepared the Preliminary Plan .</t>
  </si>
  <si>
    <t>make revised functional specification</t>
  </si>
  <si>
    <t>Review of Functional Specification</t>
  </si>
  <si>
    <t>Review with project manager</t>
  </si>
  <si>
    <t>kick off meeting</t>
  </si>
  <si>
    <t>Competitor analyis</t>
  </si>
  <si>
    <t>functional specification development</t>
  </si>
  <si>
    <t>team meeting for need development</t>
  </si>
  <si>
    <t>Prepared Functional Specification</t>
  </si>
  <si>
    <t>peer review of process with jalaj sir</t>
  </si>
  <si>
    <t>review of all document before audit</t>
  </si>
  <si>
    <t>Re-Review of RD Phase</t>
  </si>
  <si>
    <t>Sobhag Prajapat</t>
  </si>
  <si>
    <t>Deepesh Jain</t>
  </si>
  <si>
    <t>Resolved audit NC</t>
  </si>
  <si>
    <t>Audit</t>
  </si>
  <si>
    <t>Audit with auditor</t>
  </si>
  <si>
    <t>Prepared RTT and resolve Audit NC</t>
  </si>
  <si>
    <t>Abhishek Pareek</t>
  </si>
  <si>
    <t>Analysis about mechanical design like Weight,Dimension.Take reference with our existing product 5KVA-48V SUPS</t>
  </si>
  <si>
    <t>Functional Review with Rahul Upadhyay</t>
  </si>
  <si>
    <t>Resolved all defect of Functional Specification.</t>
  </si>
  <si>
    <t>Add BOM cost in functional specification</t>
  </si>
  <si>
    <t>Review with project manager of revised functional specifications</t>
  </si>
  <si>
    <t>Prepared Preliminary Plan</t>
  </si>
  <si>
    <t>Prepared metrics report of RD phase</t>
  </si>
  <si>
    <t>Milestone review of RD Phase with senior management.</t>
  </si>
  <si>
    <t>RD Audit</t>
  </si>
  <si>
    <t>upload mails of planning phase</t>
  </si>
  <si>
    <t>Creation of project library with all necessary folders.</t>
  </si>
  <si>
    <t>Studied final functional specifications and calculated final complexity estimations from Firmware point of view.</t>
  </si>
  <si>
    <t>Participated in Kick Off meeting as a configuration administrator</t>
  </si>
  <si>
    <t>Resolve the audit NCs.</t>
  </si>
  <si>
    <t>Resolve all the audit NCs</t>
  </si>
  <si>
    <t>Final Effort estimation of firmware by using Wide band Delphi method.</t>
  </si>
  <si>
    <t>Sonal Gupta</t>
  </si>
  <si>
    <t>effort estimation using wide band delphi technique for firmware side.</t>
  </si>
  <si>
    <t>Resolve Audit Ncs</t>
  </si>
  <si>
    <t>ON JOB TRAINING</t>
  </si>
  <si>
    <t xml:space="preserve">Kick Off Meeting </t>
  </si>
  <si>
    <t>Naveen Rajpurohit</t>
  </si>
  <si>
    <t>Meeting for 800VA 24VDC Solar PCU (Hardware )</t>
  </si>
  <si>
    <t>Prepared Planning</t>
  </si>
  <si>
    <t>prepared complexity estimation</t>
  </si>
  <si>
    <t>Complexity and effort estimation for hardware.</t>
  </si>
  <si>
    <t>Rakesh Pandey</t>
  </si>
  <si>
    <t>Estimate effort by WBD</t>
  </si>
  <si>
    <t>prepared effort estimation. by WBD</t>
  </si>
  <si>
    <t>mechanical effort estimation by WBD. Perform Moderator role.</t>
  </si>
  <si>
    <t>Hardware estimation</t>
  </si>
  <si>
    <t>Mechanical Effort Estimation</t>
  </si>
  <si>
    <t>RD audit</t>
  </si>
  <si>
    <t>Preparing plan</t>
  </si>
  <si>
    <t>Prepare requirement development</t>
  </si>
  <si>
    <t>Requirement development</t>
  </si>
  <si>
    <t>Functional Specification Development</t>
  </si>
  <si>
    <t>Review with senior managment</t>
  </si>
  <si>
    <t>Preparing MPP Plan</t>
  </si>
  <si>
    <t>Develop RD</t>
  </si>
  <si>
    <t>Project planning</t>
  </si>
  <si>
    <t>Kick off meeting  Discussed Task: 1:- Initial team formation 2:- Assign CA responsibility to MR. Rajkumar Jain   3:- Project Repository Creation discussed with CA  4:- Effort and Schedule for RD 5:- Project Criticallity Discussion</t>
  </si>
  <si>
    <t>Kick off Meeting  Discussed about customer needs Effort and Schedule for RD Project Criticallity Discussion</t>
  </si>
  <si>
    <t>Creation of Project configuration Library in SharePoint.</t>
  </si>
  <si>
    <t xml:space="preserve">Review of Function specification </t>
  </si>
  <si>
    <t xml:space="preserve">Kick off meeting </t>
  </si>
  <si>
    <t>Resolve Audit NC</t>
  </si>
  <si>
    <t>Analyse mechanical requirements with reference of Existing product 5KVA/48V. Final Display parameters</t>
  </si>
  <si>
    <t>Review of Functional Specification by Project manager</t>
  </si>
  <si>
    <t>Review of Functional specification by project manager</t>
  </si>
  <si>
    <t>Functional specification review with functional head, upload the new version,mail to auditor, mail to senior management for approval.</t>
  </si>
  <si>
    <t>Prepared plan</t>
  </si>
  <si>
    <t>Attend Kick off meeting as validation manager</t>
  </si>
  <si>
    <t>Prepared planning</t>
  </si>
  <si>
    <t>effort estimation by wide band delphi method for firmware, Participate as moderator and estimation team member.</t>
  </si>
  <si>
    <t>Organize kick off meeting. Discussion :  1: Decide Roles and Responsibility  for develop customer needs.  2: Decide Rajkumar Jain is CA and responsible for repository creation. 3: Estimate audit plan and intimate to auditor,Auditor For RD : Shewta Aggarwal . 4: Identify to Mr. Pawan Kumar as subject matter expert for Review of Functional Specification 5: Stakeholder committed for development of FS</t>
  </si>
  <si>
    <t>Metrics report</t>
  </si>
  <si>
    <t>Effort estimation of hardware by WBD. perform moderator role.</t>
  </si>
  <si>
    <t>preparing planning</t>
  </si>
  <si>
    <t>meeting for tailoring approval by PEG</t>
  </si>
  <si>
    <t>Meeting (between Project Manager &amp; PEG Head) for discussion on tailoring proposals and approval.</t>
  </si>
  <si>
    <t>Peer review of project planning</t>
  </si>
  <si>
    <t>GGS015_FUNSPC.xlsx</t>
  </si>
  <si>
    <t>Closed</t>
  </si>
  <si>
    <t>Resolved all functional defects</t>
  </si>
  <si>
    <t>0.2</t>
  </si>
  <si>
    <t>MOM 1.0</t>
  </si>
  <si>
    <t>Team member MOM update</t>
  </si>
  <si>
    <t>2.0</t>
  </si>
  <si>
    <t>RD Phase</t>
  </si>
  <si>
    <t>All mails uploaded</t>
  </si>
  <si>
    <t>GSI034_FUNSPC.xlsx</t>
  </si>
  <si>
    <t>3.0</t>
  </si>
  <si>
    <t>1</t>
  </si>
  <si>
    <t>GGS015_PRJPLN</t>
  </si>
  <si>
    <t>Firmware and mechanical tools are not mentioned</t>
  </si>
  <si>
    <t>1: Requirements not completed 2: Requirements not uniquely identified. 3: Requirement not written in clear, concise, unambiguous language. 5: Requirements not fairly consistent level of detail.   6: Requirements not appropriate to implement</t>
  </si>
  <si>
    <t>Team Meeting MOM not found in which design team/functional heads discuss on Customer needs and make functional specifications.</t>
  </si>
  <si>
    <t>All corresponding mails like custmer need mail, project manager appoint mail and customer approval mail not found as configuration item.</t>
  </si>
  <si>
    <t>Need ID 5 should be more clear, frequency define as output or Mains. Graphical Indication and LCD display parameter conflict with each other.</t>
  </si>
  <si>
    <t>write need more specific</t>
  </si>
  <si>
    <t>Need Elaboration at need id 21.01,13 Clerical Mistake at 26.04,25.06,26.01,29 Serial number not correct</t>
  </si>
  <si>
    <t>Correct clerical mistake, specific and more elaboration of needs</t>
  </si>
  <si>
    <t>No defect found</t>
  </si>
  <si>
    <t>ID</t>
  </si>
  <si>
    <t>Procedures (QMS)</t>
  </si>
  <si>
    <t>Reference added.</t>
  </si>
  <si>
    <t>Name updated.</t>
  </si>
  <si>
    <t>Updated the reference to point to Project Planning template instead of the log.</t>
  </si>
  <si>
    <t>Reference updated.</t>
  </si>
  <si>
    <t>Quotes added.</t>
  </si>
  <si>
    <t>Technical manager role updated to Functional Head/s, Design Team/s.</t>
  </si>
  <si>
    <t>Not applicable.</t>
  </si>
  <si>
    <t>Required reference added.</t>
  </si>
  <si>
    <t>Not deemed applicable.</t>
  </si>
  <si>
    <t>Templates (QMS)</t>
  </si>
  <si>
    <t>Checklists (QMS)</t>
  </si>
  <si>
    <t>Saved at first page.</t>
  </si>
  <si>
    <t>Not deemed required.</t>
  </si>
  <si>
    <t>template DARRSC, ESTFNL, ESTFRW, ESTHDW, ESTMCH does not open at first page</t>
  </si>
  <si>
    <t>Saved at first line.</t>
  </si>
  <si>
    <t>MSTL_CMLIST, CHKL_ADTTRN, CHKL_AUDITT are not opening at first page</t>
  </si>
  <si>
    <t>saved at first line</t>
  </si>
  <si>
    <t>Tools (QMS)</t>
  </si>
  <si>
    <t>TOOL_ADTRPT is not opening at first page</t>
  </si>
  <si>
    <t>saved at first line.</t>
  </si>
  <si>
    <t>Observation</t>
  </si>
  <si>
    <t>Others</t>
  </si>
  <si>
    <t>in revision history sheet, message of updating/change details should be specific inspite of mixing two in one.</t>
  </si>
  <si>
    <t>Guidelines (QMS)</t>
  </si>
  <si>
    <t>Mention Audit Plan section</t>
  </si>
  <si>
    <t>There are two sections in Point No. 10 first is Project Level and second is Org level, Training audit, PEG audit and QMS audit come in Org level, and there already mention prepare plan and conduct audits.</t>
  </si>
  <si>
    <t>Updated range for IP requirements.</t>
  </si>
  <si>
    <t>IP complexity separated for X and Y</t>
  </si>
  <si>
    <t>Medium and Low complexity updated in table.</t>
  </si>
  <si>
    <t>As no data available currently, so already written expert judgement and project performance experience for complexity decisions.</t>
  </si>
  <si>
    <t>please make specific comments while doing commit at svn. e.g. minor editorial changes can't be checked without details of changes.</t>
  </si>
  <si>
    <t>Communication Archival</t>
  </si>
  <si>
    <t>evidence of customer requirement should preferably be from sr. mgmt. or customer representative side.</t>
  </si>
  <si>
    <t>Team Meetings</t>
  </si>
  <si>
    <t>Logs</t>
  </si>
  <si>
    <t>Change task Description of time sheet</t>
  </si>
  <si>
    <t>Change meeting name</t>
  </si>
  <si>
    <t>no review findings with Jalaj are logged</t>
  </si>
  <si>
    <t>consider previous meeting action item</t>
  </si>
  <si>
    <t>RTT</t>
  </si>
  <si>
    <t>BOM updated in RTT</t>
  </si>
  <si>
    <t>issues and action item log is not filled for even a single case.</t>
  </si>
  <si>
    <t>Defect description should be specific</t>
  </si>
  <si>
    <t>Reviews</t>
  </si>
  <si>
    <t>review of MOM is not a functional defect.</t>
  </si>
  <si>
    <t>Defect  category change</t>
  </si>
  <si>
    <t>Defects logs during review of RD phase is audit finding.</t>
  </si>
  <si>
    <t>cost parameter is not considered in FS.</t>
  </si>
  <si>
    <t>Change FS</t>
  </si>
  <si>
    <t>MOM made for RD is not required.</t>
  </si>
  <si>
    <t>confirmation on project manager appointment is not available.</t>
  </si>
  <si>
    <t>Got the verbal confirmation from senior managment</t>
  </si>
  <si>
    <t>Upload new checklist.</t>
  </si>
  <si>
    <t>Related requirement ID is not updated.</t>
  </si>
  <si>
    <t>Update requirement ID in RTT</t>
  </si>
  <si>
    <t>RTT review log is not available.</t>
  </si>
  <si>
    <t>in new uploaded version resolve.</t>
  </si>
  <si>
    <t>schedule by milestone is filled twice for RD phase.</t>
  </si>
  <si>
    <t>Remove from schedule by milestone.</t>
  </si>
  <si>
    <t>time sheet for kick off meeting of one member is not available in logs.</t>
  </si>
  <si>
    <t>Now available in logs.</t>
  </si>
  <si>
    <t>no version history is maintained for FS.</t>
  </si>
  <si>
    <t>team meeting did not happen.</t>
  </si>
  <si>
    <t>In next team meeting will take care.</t>
  </si>
  <si>
    <t>PEG Plans and Activities</t>
  </si>
  <si>
    <t>Approval of PEG plan is not discussed in later meeting held on 8 Aug, 2015.</t>
  </si>
  <si>
    <t>MOM format should be maintained throughout</t>
  </si>
  <si>
    <t>PEG plan is not having template number.</t>
  </si>
  <si>
    <t>goal 3.1 should be measurable.</t>
  </si>
  <si>
    <t>MOM is not circulated.</t>
  </si>
  <si>
    <t>Training plan is not updated.</t>
  </si>
  <si>
    <t>PEG plan is not as per TMPL_PEGPLN.</t>
  </si>
  <si>
    <t>make single entry for each process improvement proposal.</t>
  </si>
  <si>
    <t>Metrics Report</t>
  </si>
  <si>
    <t>metrics report not found at defined location.</t>
  </si>
  <si>
    <t>Metrics report was uploaded but it was in draft mode so no visible to auditor by her login id.</t>
  </si>
  <si>
    <t>Project name not updated</t>
  </si>
  <si>
    <t>Update in metrics report</t>
  </si>
  <si>
    <t>Now clearly mention that in metrics report.</t>
  </si>
  <si>
    <t>Resolved</t>
  </si>
  <si>
    <t>date at last is not available.</t>
  </si>
  <si>
    <t>Date now mention.</t>
  </si>
  <si>
    <t>Project planning (ver 46) Tasks: Point 6-- Reference of template of MOM is not provided.</t>
  </si>
  <si>
    <t>Project planning (ver 46) Tasks: point 7-- Name of configuration management procedure is configuration management and release procedure.</t>
  </si>
  <si>
    <t>Project planning (ver 46) Tasks: point 13 -- Reference of "Tailoring Proposal Log" is not provided.</t>
  </si>
  <si>
    <t>Project planning (ver 46) Tasks: Point 17 -- Team formation guideline reference is not provided.</t>
  </si>
  <si>
    <t>Project planning (ver 46) Tasks; Point 20 -- Reference of Risk matrix is not provided.</t>
  </si>
  <si>
    <t>Project planning (ver 46) Tasks: Point 21.1-- name of Quality Assurance Procedure differs from Project and Support Groups Quality Assurance Procedure.</t>
  </si>
  <si>
    <t>Project planning (ver 46) Tasks: Point 21.5 -- Typographical mistake in reference of Measure and Analysis Procedure".  PRCD_MESURE instead of PRCD_MEASUR</t>
  </si>
  <si>
    <t>Project planning (ver 46) Tasks Point 21.7 -- Name of Configuration Management Procedure is Configuration Management and Release Procedure.</t>
  </si>
  <si>
    <t>Project Planning (ver 46) Tasks Point 28 -- use " " for Plan Review Checklist.</t>
  </si>
  <si>
    <t>Procedure for Risk Management (ver 46) roles: Technical manager word not to be used.</t>
  </si>
  <si>
    <t>Risk Management (ver 46) Point 16 -- Reference of Risk Matrix is not provided.</t>
  </si>
  <si>
    <t>ORGFCS (ver 46) Tasks point 7 -- reference of Process Improvement plan is not given.</t>
  </si>
  <si>
    <t>Back up procedure (ver 47) Point 1: Typographical mistake in "backup and restoration planning."</t>
  </si>
  <si>
    <t>Configuration (ver 47) Tasks Point 20. use " " for release note</t>
  </si>
  <si>
    <t>Configuration (ver 47) at several places-- Reference of release note is not provided.</t>
  </si>
  <si>
    <t>Configuration management and release procedure. (ver 47) Backup process name of "Backup and restoration procedure" mismatches with actual "Backup procedure"</t>
  </si>
  <si>
    <t>Measurement and analysis procedure (ver 47) point 6  input "validation and testing defect log" is "review and testing defect log".</t>
  </si>
  <si>
    <t>Project and support groups quality assurance plan (ver 47) Task point 5 reference of quality assurance plan is not provided.</t>
  </si>
  <si>
    <t>projects and support groups quality assurance procedure (ver 47) tasks point 9 name differ "internal audit checklist" with "project audit checklist"</t>
  </si>
  <si>
    <t>Procedure of scheduling and conducting training (ver 47) Tasks point 10 name of "annual training plan' differs from "training annual plan'</t>
  </si>
  <si>
    <t>Procedure of scheduling and conducting training (ver 47) Tasks Point 25 reference of training data analysis tool does not match with the actual one (training database)</t>
  </si>
  <si>
    <t>Design procedure (ver 47) tasks point 6 name mismatch of "implementation and integration procedure" is "design implementation and module integration procedure"</t>
  </si>
  <si>
    <t>Design procedure (ver 47) Tasks point 9 reference of “Checklist for Design Review” (CHKL_DESIGN) is not available.</t>
  </si>
  <si>
    <t>Design procedure (ver 47) tasks point 10 name differs in "peer review and defects log" from actual "review and testing defect log"</t>
  </si>
  <si>
    <t>Design implementation and module integration procedure (ver 47) tasks point 15 name differ of "validation and testing log" from "review and testing defect log"</t>
  </si>
  <si>
    <t>Design implementation and module integration procedure (ver 47) Tasks point 32 reference of library function specifications is not provided.</t>
  </si>
  <si>
    <t>requirements development and management procedure (ver 47) tasks point 2.1 "issues log" is "issue log"</t>
  </si>
  <si>
    <t>Requirements development and management procedure (ver 47)Tasks point 4 reference of functional specifications is not provided at several places.</t>
  </si>
  <si>
    <t>TMPL_FRWDSN (ver 47) 2.1.3  reference of interface control and integration design document is not provided at several places.</t>
  </si>
  <si>
    <t>below checklists are not opening at first line, CODRVW MCHRVW audit checklist plan review checklist TMPL_DARPLT</t>
  </si>
  <si>
    <t>TMPL_FWTCAS no project code and others are available to identify details.</t>
  </si>
  <si>
    <t>procedure template for procedures "genus power infrastructures limited' exists from 2nd pg onwards</t>
  </si>
  <si>
    <t>GDLN_TEAMNG roles and responsibilities point 10 in 3rd bullet point - review and assist the PM in preparing audit and project plan should be audit plan only.</t>
  </si>
  <si>
    <t>GDLN_TEAMNG Roles and responsibilities point 10 training audit PEG audit QMS audit should also be included</t>
  </si>
  <si>
    <t>GDLN_ESTMAT wideband Delphi method two hours time limit should be changed</t>
  </si>
  <si>
    <t>Mention "The cycle repeats until either resultant variance &lt;= 20% or pre-defined 3 rounds have been completed."</t>
  </si>
  <si>
    <t>GDLN_ESTMAT Mechanical IP requirements high complexity- X should be greater than 5, Y should be greater than 2 Medium complexity- X should be greater than 2 and less than and equal to 4, Y should be greater than 0 and less than and equal to 2 Low complexity-X should be less than and equal to 2, Y =0</t>
  </si>
  <si>
    <t>GDLN_ESTMAT Mechanical IP dust and water complexity should be separate in order to perform better estimate of the task.</t>
  </si>
  <si>
    <t>GDLN_ESTMAT Hardware and PCB components medium and low complexities are ambiguous.</t>
  </si>
  <si>
    <t>GDLN_ESTMAT Hardware and PCB EMI/EMC define criteria of more and less complexity in terms of data.</t>
  </si>
  <si>
    <t>somewhere guidelines within the document are hyperlinked. somewhere not. please make it in one way. (e.g. PRCD_AUDITT)</t>
  </si>
  <si>
    <t>in Kick-off meeting MOM time critical should be in terms of time.</t>
  </si>
  <si>
    <t>time sheet 12 Aug 2015 16.05-17.00 task description presents if repository is created by project manger. should be more clear.</t>
  </si>
  <si>
    <t>MOM 13.08.2015 name of meeting is not appropriate.</t>
  </si>
  <si>
    <t xml:space="preserve"> review logged and resolve all defect. also closed</t>
  </si>
  <si>
    <t>in MOM 13.08.2015 action item from 12.08.2015 MOM (project repository creation) was not considered.</t>
  </si>
  <si>
    <t>RTT is not updated RTT location should be in requirements folder. RTT is not updated for BOM cost factor.</t>
  </si>
  <si>
    <t>Description of MOM should be more specific. no discussion on stakeholder acceptance.</t>
  </si>
  <si>
    <t>Kick off meeting Actual discussion of time critical should be written. (preferably in terms of time)</t>
  </si>
  <si>
    <t>Discussed on the time of kick of meeting on time critical now mention in MOM</t>
  </si>
  <si>
    <t>in preliminary plan person hour font should be normal.</t>
  </si>
  <si>
    <t>kick off meeting stakeholders commitment is not available.</t>
  </si>
  <si>
    <t>At the time of Kick off meeting all the stakeholders was committed on this date now also available in MOM.</t>
  </si>
  <si>
    <t>kick off meeting Spelling of Closure is not correct. also check grammatical mistakes in all.</t>
  </si>
  <si>
    <t>Requirement review checklist is not available. blank checklist is there.</t>
  </si>
  <si>
    <t>in requirement review checklist  blank observation( No selection &amp; no comments) conflicts with the issues filled in issue log. still blank checklist is there on sharepoint</t>
  </si>
  <si>
    <t>meeting on 20th July, 2015 (MOM) Consolidate suggestions received from process practitioners- not discussed.</t>
  </si>
  <si>
    <t>MOM for 21st august, 2015 point 1 decision item should contain from where to start for next process improvement proposals consideration.</t>
  </si>
  <si>
    <t>QMS release note QMS release notes don't match with TMPL_QMSREL.</t>
  </si>
  <si>
    <t>Resource plan roles and responsibilities MBR release recipients should be identified.</t>
  </si>
  <si>
    <t>PEGPLN Configuration &amp; data management plan QMS x.x doesn't match with actual QMSx_x</t>
  </si>
  <si>
    <t>organization Back up plan doesn't involve about PEG back up. also back up is not taken yet.</t>
  </si>
  <si>
    <t>process improvement proposal validation Jalaj mathur point 14 is not considered.</t>
  </si>
  <si>
    <t>2.3 corrective action for schedule variance. language should be more clear.</t>
  </si>
  <si>
    <t>time sheet of auditee is not available. effort variance is not updated</t>
  </si>
  <si>
    <t>update time</t>
  </si>
  <si>
    <t>Prepare Functional Specification.</t>
  </si>
  <si>
    <t>Review of FUNSPC</t>
  </si>
  <si>
    <t>Preparing MPP plan and update project planning</t>
  </si>
  <si>
    <t>resolving review findings and upload project related mails</t>
  </si>
  <si>
    <t>Review Of Functional Spec By Pawan Sir</t>
  </si>
  <si>
    <t>Review of project related documents and prepare RTT.</t>
  </si>
  <si>
    <t>hardware complexity  estimation</t>
  </si>
  <si>
    <t>Do the planning of resource plan etc</t>
  </si>
  <si>
    <t>Reviewed issue resolve</t>
  </si>
  <si>
    <t>Review of document before audit</t>
  </si>
  <si>
    <t>audit for RD</t>
  </si>
  <si>
    <t>ON JOB TRAINING FOR RD AUDIT OF GGS020 PROJECT</t>
  </si>
  <si>
    <t>Audit of RD by Shweta Aggarwal</t>
  </si>
  <si>
    <t>Resolve Audit Findings</t>
  </si>
  <si>
    <t>Audit of the Project Plan of the Project GGS015</t>
  </si>
  <si>
    <t>Did the risk matrix and other work in planing</t>
  </si>
  <si>
    <t>Audit of planning phase by Manindera singh</t>
  </si>
  <si>
    <t>Did the planing work</t>
  </si>
  <si>
    <t>Audit for Planning Phase</t>
  </si>
  <si>
    <t>Audit For Planning Phase</t>
  </si>
  <si>
    <t>Audit of Planning Phase by Maninder Singh</t>
  </si>
  <si>
    <t>Project planning peer review by Raghvendra thakur</t>
  </si>
  <si>
    <t>wide band delphi process on hardware Complexity Estimation   for GSI034(5kVA/72V)</t>
  </si>
  <si>
    <t>DAR Plan</t>
  </si>
  <si>
    <t>update review plan add software tools for mechanical and firmware</t>
  </si>
  <si>
    <t>GGS020_FUNSPC</t>
  </si>
  <si>
    <t>3</t>
  </si>
  <si>
    <t xml:space="preserve"> 640W @0.8 Power Factor (leading or lagging) should be mentioned in FUNSPC. Reverse PV should be mentioned in FUNSPC.</t>
  </si>
  <si>
    <t xml:space="preserve"> 640W @0.8 Power Factor (leading or lagging) added. Reverse PV is added in FUNSPC.</t>
  </si>
  <si>
    <t>evidence of customer requirements is not attached here in sharepoint.</t>
  </si>
  <si>
    <t>Customer requirements mail upload in Requirements folder</t>
  </si>
  <si>
    <t>Configuration Management</t>
  </si>
  <si>
    <t>Requirement review checklist should be in requirement folder.</t>
  </si>
  <si>
    <t>checklist re-uploaded in requirement folder</t>
  </si>
  <si>
    <t>project details should not written in heading itself.</t>
  </si>
  <si>
    <t>Heading details change in requirement review checklist</t>
  </si>
  <si>
    <t>Description changed by Naveen</t>
  </si>
  <si>
    <t>Actual date of completion for project start is not available.</t>
  </si>
  <si>
    <t>Date of completion filled</t>
  </si>
  <si>
    <t>description of task should be specific.</t>
  </si>
  <si>
    <t>project completion date should be discussed in kick off meeting.</t>
  </si>
  <si>
    <t>Risk Matrix</t>
  </si>
  <si>
    <t>Risk Identification Date Year are wrongly entered</t>
  </si>
  <si>
    <t>Project Plan Actual Finish Date is not available in MPP</t>
  </si>
  <si>
    <t>DAR</t>
  </si>
  <si>
    <t>Resource Selection DAR Plan Contains no Project code in the Project Code Field</t>
  </si>
  <si>
    <t>Resource DAR Plan contains no Problem Statement in Problem Statement Field</t>
  </si>
  <si>
    <t>The Naming of the  MPP Schedule File should be appropriate as GGS015_MPP or some thing more elaborated</t>
  </si>
  <si>
    <t>Appropriate number of Team Meetings are not found.</t>
  </si>
  <si>
    <t>26/8/2015 Naveen description of time sheet is not appropriate.</t>
  </si>
  <si>
    <t>Schedule Deviation in Escalation for Senior Management is given +- 20% &amp; For Customer it is 30% while in Measurement &amp; Analysis plan it is given +-10% It is not in conformance with each other</t>
  </si>
  <si>
    <t>In Project Plan GGS015_PRJPLN  Point No. 2 - Project Lifecycle Project Life Cycle &amp; Rationale Not mentioned</t>
  </si>
  <si>
    <t>In GGS015_RSKMTX Template  Risk Contingency Action Plan Sheet In Who Column the "Project Manager" word should be there instead of using name.</t>
  </si>
  <si>
    <t>After review checklist GGS015_PLNREV Plan has been changed but has not been reviewed again</t>
  </si>
  <si>
    <t>Comments Should be more elaborated while making changes in documents in share-point For e.g. While making revisions in Projects Schedule MPP comments does not describes the actual changes in the MPP</t>
  </si>
  <si>
    <t>In GGS015_RSKMTX in the Risk ID 2 The description of RISK is wrongly stated that PCB designer if not available then mechanical work will stop</t>
  </si>
  <si>
    <t>Complexity estimation for Firmware</t>
  </si>
  <si>
    <t>Participated in firmware estimations. (Wide Band Delphi)</t>
  </si>
  <si>
    <t>Effort Estimation</t>
  </si>
  <si>
    <t>Planning Phase Metrics Report Prepration</t>
  </si>
  <si>
    <t>Metrics Report Preparation of RD Phase</t>
  </si>
  <si>
    <t>Team meeting with hardware, firmware designer</t>
  </si>
  <si>
    <t>wide band delphi process as a moderator in firmware effort estimation</t>
  </si>
  <si>
    <t>participated in wide band delphi process for hardware.</t>
  </si>
  <si>
    <t>wide band delphi process as a moderator</t>
  </si>
  <si>
    <t>Team Meeting</t>
  </si>
  <si>
    <t>Team meeting for decide the effort of design and implementation.</t>
  </si>
  <si>
    <t>Team meeting for effort estimation.</t>
  </si>
  <si>
    <t>Team meeting.</t>
  </si>
  <si>
    <t>PVCON</t>
  </si>
  <si>
    <t>Munesh Tripathi</t>
  </si>
  <si>
    <t>Meeting</t>
  </si>
  <si>
    <t>Team meeting</t>
  </si>
  <si>
    <t>As a moderator in mechanical effort estimation</t>
  </si>
  <si>
    <t>Prepare effort estimation.</t>
  </si>
  <si>
    <t>Wide band delphi process</t>
  </si>
  <si>
    <t>Tailoring proposals meeting with PEG head.</t>
  </si>
  <si>
    <t>Prepare Plan doc</t>
  </si>
  <si>
    <t>Complexity estimation for final functional specifications</t>
  </si>
  <si>
    <t xml:space="preserve"> make planning of effort, resource alloction</t>
  </si>
  <si>
    <t>DAR analysis and other work in project planning</t>
  </si>
  <si>
    <t>Participate wide band dellphi process for Hardware.</t>
  </si>
  <si>
    <t>task assignment and discussion for effort estimation for firmware portion in GGS020</t>
  </si>
  <si>
    <t>Update MPP of Planning Phase</t>
  </si>
  <si>
    <t>Update planning of MPP of D&amp;I</t>
  </si>
  <si>
    <t>Discuss on tailoring proposals</t>
  </si>
  <si>
    <t>Prepare Risk Matrix</t>
  </si>
  <si>
    <t>As number of improvement logs were less, so we did not discuss in this meeting and this was first meeting of PEG so there were other agenda to discuss.</t>
  </si>
  <si>
    <t>As we already taken the approval of PEG plan before this meeting, so we did not discuss about that. In future we will take care for the same.</t>
  </si>
  <si>
    <t>OK. We will take care for the same.</t>
  </si>
  <si>
    <t>OK.</t>
  </si>
  <si>
    <t>We will take care for the same in next release.</t>
  </si>
  <si>
    <t>Now onward we will take care for the same.</t>
  </si>
  <si>
    <t>Change  Date of Risk Identifiction</t>
  </si>
  <si>
    <t>Update Finish Date</t>
  </si>
  <si>
    <t>Add project code</t>
  </si>
  <si>
    <t>Add problem Statement</t>
  </si>
  <si>
    <t>update project type and Life cycle</t>
  </si>
  <si>
    <t>It will take care in future</t>
  </si>
  <si>
    <t>Change ID 2 Statement</t>
  </si>
  <si>
    <t>It will take care in Next Phases.</t>
  </si>
  <si>
    <t>Approvals</t>
  </si>
  <si>
    <t>Mention comment on that log " Resolve the defects clarification is not deemed required at this point."</t>
  </si>
  <si>
    <t>update escalation plan</t>
  </si>
  <si>
    <t>Audit activities related</t>
  </si>
  <si>
    <t>complexity estimation for functional specification from firmware side</t>
  </si>
  <si>
    <t>Wide band Delphi for final hardware estimation</t>
  </si>
  <si>
    <t>Review of Project Plan Doc.</t>
  </si>
  <si>
    <t>Review with rahul and resolve all ncs</t>
  </si>
  <si>
    <t>Effort Estimation by Wide Band Delphi Method</t>
  </si>
  <si>
    <t>concept design</t>
  </si>
  <si>
    <t>Update MPP Plan</t>
  </si>
  <si>
    <t>concept design.</t>
  </si>
  <si>
    <t>Provide hardware input to mechanical designer during conceptual designing of mechanical.</t>
  </si>
  <si>
    <t>hardware design</t>
  </si>
  <si>
    <t>effort estimation</t>
  </si>
  <si>
    <t>wide band delphi meeting</t>
  </si>
  <si>
    <t>review of design concept.</t>
  </si>
  <si>
    <t>concept design review</t>
  </si>
  <si>
    <t>wide band delphi meeting for effort estimation</t>
  </si>
  <si>
    <t>Hardware Design</t>
  </si>
  <si>
    <t>Preparing Plan</t>
  </si>
  <si>
    <t>Apply DAR in project critical rpoblem</t>
  </si>
  <si>
    <t>update plan doc.</t>
  </si>
  <si>
    <t>Apply DAR in project problem</t>
  </si>
  <si>
    <t>Review with senior management.</t>
  </si>
  <si>
    <t>Hardware designing.</t>
  </si>
  <si>
    <t>Preparation of Firmware Design documents.</t>
  </si>
  <si>
    <t>Hardware designing</t>
  </si>
  <si>
    <t>Review of Plan by Raghvendra Thakur</t>
  </si>
  <si>
    <t>development of 3D modeling.</t>
  </si>
  <si>
    <t>Team Meating</t>
  </si>
  <si>
    <t>team meeting</t>
  </si>
  <si>
    <t>Firmware Design review.</t>
  </si>
  <si>
    <t>Firmware Design Review</t>
  </si>
  <si>
    <t>Peer review of design document of firmware</t>
  </si>
  <si>
    <t>Hardware complexity estimation</t>
  </si>
  <si>
    <t>Wile band Delphi  on hardware complexity</t>
  </si>
  <si>
    <t>Complexity Estimation for Hardware Selection GGS020</t>
  </si>
  <si>
    <t>final Effort estimation using wide band delphi method</t>
  </si>
  <si>
    <t>Team Meeting for Status and Review. Mechanical designing work complete, hardware designing on going, also firmware designing on going</t>
  </si>
  <si>
    <t>GSI034_PRJPLN</t>
  </si>
  <si>
    <t>Font selection not proper in scope and vision statement</t>
  </si>
  <si>
    <t>font selection now same.</t>
  </si>
  <si>
    <t>5</t>
  </si>
  <si>
    <t>Planned date 25-09-2015 now mentioned.</t>
  </si>
  <si>
    <t>Project Type and Rationale not defined</t>
  </si>
  <si>
    <t>Serial number not proper</t>
  </si>
  <si>
    <t>Serial number now proper</t>
  </si>
  <si>
    <t>Review Plan not proper, Reviewer Not planed in Resource Plan</t>
  </si>
  <si>
    <t>Now resolve the the wrong name in wrong column.All reviewer now clearly mentioned</t>
  </si>
  <si>
    <t>GGS020_PRJPLN.docx</t>
  </si>
  <si>
    <t>MPP not updated</t>
  </si>
  <si>
    <t>GGS015_FRWDSN (ver 0.1)</t>
  </si>
  <si>
    <t>1. Description is not proper and no ES switch consideration in flow and not in external dependencies in ES module</t>
  </si>
  <si>
    <t>1. In fault/error module flow of over PV is not proper and not consider mains fault in flow.</t>
  </si>
  <si>
    <t>Planed end date not mentioned</t>
  </si>
  <si>
    <t>Project type is major Rationale: project type is major so we need typical project life cycle.</t>
  </si>
  <si>
    <t xml:space="preserve"> Training Statement should be more clear.</t>
  </si>
  <si>
    <t>1.Firmware design template and referenced documents and diagrams are not uploaded. 2.Some spellings are not correct. 3.Name for application data flow diagram is not appropriate</t>
  </si>
  <si>
    <t>1. Flow of data  from ES mode to Start up mode in data flow diagram is missing.</t>
  </si>
  <si>
    <t>1. Thermistor should be consider as external interface in fault module.</t>
  </si>
  <si>
    <t>1.Modifications required in charging module(flow diagram,internal dependencies and external dependencies)</t>
  </si>
  <si>
    <t>Tailoring proposal's language now clear</t>
  </si>
  <si>
    <t>tailoring discussions are not matching in MOM and tailoring proposals given in PRJPLN.</t>
  </si>
  <si>
    <t>Clerical mistake next time will take care.</t>
  </si>
  <si>
    <t>spelling of mould in budget requirements of PRJPLN should be correct.</t>
  </si>
  <si>
    <t>Sub category of source in point 6 now equipment instead of resources.</t>
  </si>
  <si>
    <t>performance for point 4,5,6, in rskmtx is not available.</t>
  </si>
  <si>
    <t>all stakeholders should be present in team meetings</t>
  </si>
  <si>
    <t>schedule by milestone log is not updated for all phases.</t>
  </si>
  <si>
    <t>project plan review with senior management is not done using checklist, instead review is with peer using checklist.</t>
  </si>
  <si>
    <t>project plan review is not defined with peer.</t>
  </si>
  <si>
    <t>Harish Paliwal (External Auditor)</t>
  </si>
  <si>
    <t>Will be done through Team Meetings at a  interval of 15 Days</t>
  </si>
  <si>
    <t>Planned Dates once filled are changed</t>
  </si>
  <si>
    <t>Will be taken care in future</t>
  </si>
  <si>
    <t>Training Plan is not Updated</t>
  </si>
  <si>
    <t>Plan is updated</t>
  </si>
  <si>
    <t>Planned V/S Actual Dates should be separate in Excel sheet</t>
  </si>
  <si>
    <t>Senior Management Review should be more frequent</t>
  </si>
  <si>
    <t>Checklist is not completely filled for Project RD Phase in GGS015</t>
  </si>
  <si>
    <t>Will be taken in Future Audits</t>
  </si>
  <si>
    <t>Checklist updated in Planning Phase of the Project Planning Audit for GGS015 is not in the updated or current version as in the QMS1.1.</t>
  </si>
  <si>
    <t>Will be taken care in future audits</t>
  </si>
  <si>
    <t>Baseline checklist is modified without any approval from PEG</t>
  </si>
  <si>
    <t>PRJPLN 2. Project lifecycle Answer of project type and rationale is should not have same formatting.</t>
  </si>
  <si>
    <t>in tailoring proposals language of point a &amp; b should be more clear.</t>
  </si>
  <si>
    <t>RSKMTX subcategory of source in point 6 should be appropriate.</t>
  </si>
  <si>
    <t>Now at point 4,5,&amp; 6 performance is delivery.</t>
  </si>
  <si>
    <t>Risk contingency action plan point 5 when Completion of D&amp;I phase is not appropriate.</t>
  </si>
  <si>
    <t>Now it is project life cycle completion, instead of D&amp;I.</t>
  </si>
  <si>
    <t>escalation technical &gt;2 days for both functional and project manger is conflicting</t>
  </si>
  <si>
    <t>Monitoring of Planned Audits efforts &amp; other parameters are not done.</t>
  </si>
  <si>
    <t>Roles &amp; Responsibility  should be as when required instead of full time</t>
  </si>
  <si>
    <t>NCs &amp; Descriptions of the task should be more clear</t>
  </si>
  <si>
    <t>Will take care in future &amp; will take approval from the PEG.</t>
  </si>
  <si>
    <t>Audit/QA</t>
  </si>
  <si>
    <t>IT INFRA.</t>
  </si>
  <si>
    <t>IT Infrastructure.</t>
  </si>
  <si>
    <t>Review and defect log for peer review of firmware design.</t>
  </si>
  <si>
    <t>Resolution of defects found in peer review of design.</t>
  </si>
  <si>
    <t>Prepared Firmware test cases.</t>
  </si>
  <si>
    <t>Resolution of Review defects of Firmware design.</t>
  </si>
  <si>
    <t>Check and close all review and defect logs of peer review of firmware design</t>
  </si>
  <si>
    <t>Participated in Team meeting</t>
  </si>
  <si>
    <t>Status and Review meeting</t>
  </si>
  <si>
    <t>Team meeting with all stakeholders.</t>
  </si>
  <si>
    <t>planning audit</t>
  </si>
  <si>
    <t>Participated in Team meeting.</t>
  </si>
  <si>
    <t>Attended Status Review Team Meeting</t>
  </si>
  <si>
    <t>Attended Team Meeting</t>
  </si>
  <si>
    <t>Planning audit with auditor.</t>
  </si>
  <si>
    <t>Close NCs</t>
  </si>
  <si>
    <t>team meeting 14.09.2015</t>
  </si>
  <si>
    <t>MPP update  and resolve defect</t>
  </si>
  <si>
    <t>audit for planning phase</t>
  </si>
  <si>
    <t>Resolve NC</t>
  </si>
  <si>
    <t>Testing modules</t>
  </si>
  <si>
    <t>Review and defect log of peer review of firmware design</t>
  </si>
  <si>
    <t>Team Meeting :
1. Improve Communication within Project team
2. Accelerate the Project activities</t>
  </si>
  <si>
    <t>Source code writing for: 1. Peripheral Initialization. 2. ADC Calculation. 3. PWM Soft Start.</t>
  </si>
  <si>
    <t>Source code writing: 1. Switches testing. 2. PV ON/OFF 3. Mains ON/OFF.</t>
  </si>
  <si>
    <t>Project Audit By Auditor</t>
  </si>
  <si>
    <t>Source code writing for: 1. Battery charging Profile.</t>
  </si>
  <si>
    <t>Source Code Writing for: Display Module.</t>
  </si>
  <si>
    <t>Change Statement</t>
  </si>
  <si>
    <t>update MPP</t>
  </si>
  <si>
    <t>GGS015_FRWDSN (ver 0.3)</t>
  </si>
  <si>
    <t>1. Flow of data from ES mode to Start up mode added in state diagram.</t>
  </si>
  <si>
    <t>GGS015_FRWDSN (ver 0.2)</t>
  </si>
  <si>
    <t>1. Thermistor input added in external interface in fault module.</t>
  </si>
  <si>
    <t>1. Charger module revised for the same.</t>
  </si>
  <si>
    <t>1. Corrected for the same and Energy saver switch added in external interface in energy saver module.</t>
  </si>
  <si>
    <t>1. Flow for Over PV fault corrected and mains fault added in Fault module.</t>
  </si>
  <si>
    <t>1. Uploaded at referenced pat. 2. Spellings corrected for the same. 3. Name modified as state diagram in place of system control diagram.</t>
  </si>
  <si>
    <t>As previous discussion no need to review of RTT because it is just copy and paste activity.</t>
  </si>
  <si>
    <t>take PEG approval for 3rd point of tailoring.</t>
  </si>
  <si>
    <t>Now tailoring mail archived in planning.</t>
  </si>
  <si>
    <t>In next team meetings will take care.</t>
  </si>
  <si>
    <t xml:space="preserve"> Now for all phases Updated</t>
  </si>
  <si>
    <t>Communicate to all the stakeholders</t>
  </si>
  <si>
    <t>Verbally we discussed on this issue during audit. In next project  will do the necessary action related to review checklist with senior management.</t>
  </si>
  <si>
    <t>Next time will take care.</t>
  </si>
  <si>
    <t>compressed validation efforts in schedule are not with due approval of PEG w.r.t the calculated one.</t>
  </si>
  <si>
    <t>Now update validation effort in schedule as per final effort estimation.</t>
  </si>
  <si>
    <t>Now access details ,release plan is appropriate.</t>
  </si>
  <si>
    <t>Now consider in plan user support document and share point.Location is server and periodicity of backup is once a week.</t>
  </si>
  <si>
    <t>if back up plan for project is same as organization back up plan, then it should not be rewritten in PRJPLN.</t>
  </si>
  <si>
    <t>Now change in SME.</t>
  </si>
  <si>
    <t>Complexity is low so only peer review will be happen, no need of expert review. Now filled appropriately.</t>
  </si>
  <si>
    <t>Now consider rakesh pandey in in roles and responsibility matrix.</t>
  </si>
  <si>
    <t>Now consider</t>
  </si>
  <si>
    <t>time sheet is not available for Team meeting held on 01.09.2015</t>
  </si>
  <si>
    <t>team meeting did not happen at frequency of a week.</t>
  </si>
  <si>
    <t>Audit Activities</t>
  </si>
  <si>
    <t>NC no. 75 from RD phase is still not closed.</t>
  </si>
  <si>
    <t>Resolved with proper reason.</t>
  </si>
  <si>
    <t>Corrected for the same.</t>
  </si>
  <si>
    <t>Backup Plans</t>
  </si>
  <si>
    <t>Off-site Backup on USB HDD is not done as per schedule</t>
  </si>
  <si>
    <t>As Back UP media i.e. USB HDD was not available initially. SO Date of First time back up is not as per schedule. We will take care for the same in next back ups.</t>
  </si>
  <si>
    <t>PEG workproducts Backup is not considered in the Plan</t>
  </si>
  <si>
    <t>Sharepoint Backup is taken but the location is not mentioned in the Backup Plan</t>
  </si>
  <si>
    <t>No Findings</t>
  </si>
  <si>
    <t>no finding for QMS 1.2</t>
  </si>
  <si>
    <t>approval to move forward for next phase is not available.</t>
  </si>
  <si>
    <t>appropriate team meetings did not happen.</t>
  </si>
  <si>
    <t>all relevant stakeholder should be present in team meetings.</t>
  </si>
  <si>
    <t>approved project plan is not mailed to stake holders.</t>
  </si>
  <si>
    <t>circulate mail</t>
  </si>
  <si>
    <t>schedule by milestone log is not updated.</t>
  </si>
  <si>
    <t>update schedule milestone</t>
  </si>
  <si>
    <t>review of project plan should be with sr. management as per PRCD_PRJPLN.</t>
  </si>
  <si>
    <t>will take care in future project</t>
  </si>
  <si>
    <t>change statement</t>
  </si>
  <si>
    <t>resource sheet in schedule, does not contain actual names of people for release management.</t>
  </si>
  <si>
    <t>change release media</t>
  </si>
  <si>
    <t>plan review checklist is not available in server</t>
  </si>
  <si>
    <t>upload in server</t>
  </si>
  <si>
    <t>defect log is closed without resolved.</t>
  </si>
  <si>
    <t>follow right procedure</t>
  </si>
  <si>
    <t>tailoring proposals 3rd point is not in MOM, not approved even. provide approval for 3rd point take PEG approval for 3rd point</t>
  </si>
  <si>
    <t>tailoring approval was not archived. update this archival for 3rd point archive updated approval mail from PEG</t>
  </si>
  <si>
    <t>Update the time, now it is &gt;7 days.</t>
  </si>
  <si>
    <t>no evidence of review with senior management of project plan was found. no issue should be logged</t>
  </si>
  <si>
    <t>In next phase for strong evidence will take mail from senior management. In this phase for evidence can consider,as  project planing approved by senior management in share point by his own login id, which is clearly visible in share point so can consider as a evidence.</t>
  </si>
  <si>
    <t>communication of approved project plan is not available for all relevant stakeholders. no archival is available.</t>
  </si>
  <si>
    <t>skill matrix and roles &amp; responsibilities should match uniformly.</t>
  </si>
  <si>
    <t>list of configurable items, access details and release plan is inappropriate. still not updated</t>
  </si>
  <si>
    <t>on site back up plan is not considered for below two parameters. User Support Documents SharePoint remove share point from project scope.</t>
  </si>
  <si>
    <t>Review plan Design Document of Firmware frequency of review does not match with what auditee told at the time of audit.</t>
  </si>
  <si>
    <t>SME review plan design document of firmware 1. Candidate for Independent Subject matter Expert Review?  2. Reviewer (considerations for reviewer selection) are not filled appropriately.</t>
  </si>
  <si>
    <t>Roles and responsibility matrix Rakesh pandey (PCB designer) is mismatching with schedule.</t>
  </si>
  <si>
    <t>in MPP schedule release part of project is not considered. still not.</t>
  </si>
  <si>
    <t>in MPP schedule for Mr. Vaibhav Garg and Mr. Jalaj Mathur roles are conflicting.</t>
  </si>
  <si>
    <t>Except one member all members are filled time sheet.  Will take care next time.</t>
  </si>
  <si>
    <t>team meeting on 01.09.2015 3. point no decision/action item/issue is available.</t>
  </si>
  <si>
    <t>For this project there is no need of any new instruments or any kind of new software. Decision/action item column is blank but this thing is directly map in project planing, in section no.6.  Also next time will take care.</t>
  </si>
  <si>
    <t>Team meeting happened but not frequency of a week.Next time will take care.</t>
  </si>
  <si>
    <t>Backup &amp; Restoration Plan is approved in the sharepoint but there is no another proof like on mail etc.</t>
  </si>
  <si>
    <t>Rights of the PEG user in the sharepoint is defined read only. It should be design.</t>
  </si>
  <si>
    <t>The SVN &amp; R&amp;D-Data backup location for onsite backup is not appropriate as Source Location of Data cannot be the Backup Location</t>
  </si>
  <si>
    <t>Restoration Testing of Data is not performed even one time at the starting of the process for first time &amp; the time taken for the Backup on the Hard disk quarterly is too infrequent.</t>
  </si>
  <si>
    <t>will take care in future</t>
  </si>
  <si>
    <t>MPP baselined plan dates does not match with planned end date in PRJPLN. send updated mpp schedule in excel</t>
  </si>
  <si>
    <t>update MPP and excel export of MPP is shared</t>
  </si>
  <si>
    <t>skill matrix auditor responsibility to be changed from manindera to shweta</t>
  </si>
  <si>
    <t>change team member</t>
  </si>
  <si>
    <t>in ESTMCH no complexity efforts should be 0 instead of 10</t>
  </si>
  <si>
    <t>Risk contingency action plan 7th point action plan wordings is not appropriate.</t>
  </si>
  <si>
    <t>back up plan, if same with organization plan, then no need to put separate in PRJPLN, instead a line can be put like project back up plan is in line with organization back up plan.</t>
  </si>
  <si>
    <t>list of CI mode of release for change requests is not appropriate</t>
  </si>
  <si>
    <t>GSM052</t>
  </si>
  <si>
    <t>75KVA 360V 3P-3P INVERTER</t>
  </si>
  <si>
    <t>GGE055</t>
  </si>
  <si>
    <t>HUPS 1500VA 12V PROTON-Q</t>
  </si>
  <si>
    <t>Rahul Upadhyay</t>
  </si>
  <si>
    <t>Block diagram and concept design</t>
  </si>
  <si>
    <t>Team meeting for test plan.</t>
  </si>
  <si>
    <t>Team meeting for concept design requirement assure complete design by 21/09/15</t>
  </si>
  <si>
    <t>Metrics Report Prepration</t>
  </si>
  <si>
    <t>Review as peer, of hardware design document.</t>
  </si>
  <si>
    <t>Prepared concept design.</t>
  </si>
  <si>
    <t>review concept design with sandeep sir.</t>
  </si>
  <si>
    <t>5KVA/48V chassis concept design review...OK</t>
  </si>
  <si>
    <t>Auxiliary power supply design doc prepared</t>
  </si>
  <si>
    <t>Hardware design done.discuss on further work.</t>
  </si>
  <si>
    <t>preparation for firmware design document(state diagram)</t>
  </si>
  <si>
    <t>Team meeting for Design and Implementation phase</t>
  </si>
  <si>
    <t>Team meeting for concept design.</t>
  </si>
  <si>
    <t>Status Review Meeting</t>
  </si>
  <si>
    <t>Design Document Preparation of Firmware</t>
  </si>
  <si>
    <t>make 3d model.</t>
  </si>
  <si>
    <t>Designing of flow chart for firmware portion</t>
  </si>
  <si>
    <t>Schematic prepration</t>
  </si>
  <si>
    <t>3d design completed.</t>
  </si>
  <si>
    <t>Prepare BOM</t>
  </si>
  <si>
    <t>preparation of flow chart</t>
  </si>
  <si>
    <t>Firmware Design Doc. Prepration</t>
  </si>
  <si>
    <t>PCB Designing Complete</t>
  </si>
  <si>
    <t>Hardware Design Protyping</t>
  </si>
  <si>
    <t>Hardware Design Prototype Complete</t>
  </si>
  <si>
    <t>Prepared test case.</t>
  </si>
  <si>
    <t>Integration design document and test cases</t>
  </si>
  <si>
    <t>Prepared integration design documents and design cases.</t>
  </si>
  <si>
    <t>Preparation of integration design documents and test cases.</t>
  </si>
  <si>
    <t>Resolution of Firmware testing defects.</t>
  </si>
  <si>
    <t>Hardware Module designing.</t>
  </si>
  <si>
    <t>prepare final flow chart for firmware</t>
  </si>
  <si>
    <t>Firmware testing with version 01.</t>
  </si>
  <si>
    <t>PCB Designing</t>
  </si>
  <si>
    <t>Schematic design</t>
  </si>
  <si>
    <t>Prepare Mechanical design test cases</t>
  </si>
  <si>
    <t>Prepared mechanical design test cases.</t>
  </si>
  <si>
    <t>Prepare firmware Design Doc</t>
  </si>
  <si>
    <t>Firmware Design Doc Complete</t>
  </si>
  <si>
    <t>Testing of Sample of Chassis (Mechanical parts).</t>
  </si>
  <si>
    <t>define validation test cases</t>
  </si>
  <si>
    <t>Review and update the project document</t>
  </si>
  <si>
    <t>finalize all flow chart and complete template for firmware</t>
  </si>
  <si>
    <t>Peer review for firmware design</t>
  </si>
  <si>
    <t>Peer review of Firmware Design Documents.</t>
  </si>
  <si>
    <t>Testing of bare Power PCB and Display PCB.</t>
  </si>
  <si>
    <t>Prepare validation test cases</t>
  </si>
  <si>
    <t>Prepare Validation Test cases</t>
  </si>
  <si>
    <t>validation Test cases complete</t>
  </si>
  <si>
    <t>Design document prepared for H bridge</t>
  </si>
  <si>
    <t>Design Document prepared for Solar charger</t>
  </si>
  <si>
    <t>Mounting the competent int new bared PCB</t>
  </si>
  <si>
    <t>Assembling power PCB</t>
  </si>
  <si>
    <t>Verification and assembing of new bare PCB</t>
  </si>
  <si>
    <t>team Meeting</t>
  </si>
  <si>
    <t>Resolve all defects in firmware design template.</t>
  </si>
  <si>
    <t>Review of Test Cases</t>
  </si>
  <si>
    <t>Programmed hex file into MCU.</t>
  </si>
  <si>
    <t>Audit by Auditor</t>
  </si>
  <si>
    <t>Audit By Auditor</t>
  </si>
  <si>
    <t>Support in integration of product as a hardware designer</t>
  </si>
  <si>
    <t>support in integration</t>
  </si>
  <si>
    <t>Mechanical design testing</t>
  </si>
  <si>
    <t>Integration of product in mechanical chassis.</t>
  </si>
  <si>
    <t>Tested all points of integrated product.</t>
  </si>
  <si>
    <t>Support in mechanical integration.</t>
  </si>
  <si>
    <t>Product Testing complete</t>
  </si>
  <si>
    <t>Product Testing</t>
  </si>
  <si>
    <t>Review of Hardware Design Documents.</t>
  </si>
  <si>
    <t>Hardware design document reviewed by Pawan Sir ,Present as author.</t>
  </si>
  <si>
    <t>Parameter calibration during integrated product testing.</t>
  </si>
  <si>
    <t>Prepare Hardware Test case for GGS020</t>
  </si>
  <si>
    <t>Prepare Hardware Test Case for H Bridge</t>
  </si>
  <si>
    <t>Prepare Hardware test cases for Driver and other section.</t>
  </si>
  <si>
    <t>validation of product. No Defect Found</t>
  </si>
  <si>
    <t>Validation of product, testing of charging profile from solar.</t>
  </si>
  <si>
    <t>Validation of GGS015. testing the mains charging profile</t>
  </si>
  <si>
    <t>Validation of Energy saver mode and indication</t>
  </si>
  <si>
    <t>validation of GGS015. Fault found. Blinking interval is not same, some time it fast.</t>
  </si>
  <si>
    <t>Prepare Metrics report</t>
  </si>
  <si>
    <t>Review the all document</t>
  </si>
  <si>
    <t>Review the integration Doc</t>
  </si>
  <si>
    <t>Validation Defect Resolved</t>
  </si>
  <si>
    <t>All defect resolved and validation completed.</t>
  </si>
  <si>
    <t>Resolved the validation defects.</t>
  </si>
  <si>
    <t>Audit of Planning Phase</t>
  </si>
  <si>
    <t>Source code writing</t>
  </si>
  <si>
    <t>Prepare  Schematic for Auxiliary Power Supply.</t>
  </si>
  <si>
    <t>Prepare Schematic circuit for Mosfet driver</t>
  </si>
  <si>
    <t>Prepare schematic circuit for H bridge and solar charger</t>
  </si>
  <si>
    <t>Prepare schematic for control card</t>
  </si>
  <si>
    <t>Audit of planning phase</t>
  </si>
  <si>
    <t>Prepare prototype for Mosfet driver and tested .</t>
  </si>
  <si>
    <t>Kick-off meeting and technical discussion on Customer requirement.</t>
  </si>
  <si>
    <t>Kick-off meeting,Discussion about project Details and technical discussion for Functional Specification.</t>
  </si>
  <si>
    <t>Discussion on Customer requirement, Project completion date, date of RD.</t>
  </si>
  <si>
    <t>Source code Writing for: Energy Saver Module.</t>
  </si>
  <si>
    <t>Participated in team meeting, which include discussion: 1. Source code writing completion including module testing. 2. RTT Updation. 3. Data back up of all artefacts.</t>
  </si>
  <si>
    <t>Team Metting  Validation test case preparation  will be start on the bassis of hardware test case and updated RTT.</t>
  </si>
  <si>
    <t>Team Metting: Completed Module =3 and all hardware modules and schematic data and reference data will be given to rakesh panday before 25 sep.</t>
  </si>
  <si>
    <t>Participated in team meeting: 1. Discussion related to Back up of all artefacts.</t>
  </si>
  <si>
    <t>Status Review Meeting . Hardware Design Done and Prototype testing is done. Firmware Design Done and implementation running Mechanical Design Done , Test cases not prepared. committed for 19/9/2015. PCB Designing start.</t>
  </si>
  <si>
    <t>Review of hardware design document was done by Raghvendra sir.</t>
  </si>
  <si>
    <t>Team meeting.  All designer described his progress. Hardware designer complete his hardware design document. Firmware designer assure complete his design by 21/9/2015 Mechanical designer assure complete his design by 21/9/2015</t>
  </si>
  <si>
    <t>Team Meeting. committed for firmware design doc for 21/9/2015</t>
  </si>
  <si>
    <t>Source code writing for: Fault/Protection module.</t>
  </si>
  <si>
    <t>PCB designing</t>
  </si>
  <si>
    <t>Team meeting on design and module implementation related activity</t>
  </si>
  <si>
    <t xml:space="preserve"> make Schematic</t>
  </si>
  <si>
    <t>Firmware Module Testing with Hardware Prototype</t>
  </si>
  <si>
    <t>Firmware Module Testing with Hardware Prototype  no defect found today</t>
  </si>
  <si>
    <t>completed 2D drawing.</t>
  </si>
  <si>
    <t>Source Code Writing: Redesigned Battery charging profile using Different PWM frequency.</t>
  </si>
  <si>
    <t>Source code writing: PWM trip at PV low check modified and energy saver function modified.</t>
  </si>
  <si>
    <t>Participated in team meeting. Discussion related to completion of design.</t>
  </si>
  <si>
    <t>To check PCB and components, checked value of component as per BOM and checked polarity of components where needed.  Remarks: Alok kumar has no computer allotted till date, so used differnet computer.</t>
  </si>
  <si>
    <t xml:space="preserve"> Check SMPS voltage at different points.  Remarks: Alok kumar has no computer allotted till date, so used differnet computer.</t>
  </si>
  <si>
    <t>Audit of Design &amp; Implementation Phase</t>
  </si>
  <si>
    <t>team meeting.Discussion Point Interface and control and integration design document completion task assign to hardware designer validation doc. completion task assign to validation member audit will perform on Monday discuss with auditor</t>
  </si>
  <si>
    <t>team meeting for further work on design and integration</t>
  </si>
  <si>
    <t>Testing PCB and components Test Voltage at different points of SMPS.</t>
  </si>
  <si>
    <t>Test voltage and pulses at different points of driver card and control card</t>
  </si>
  <si>
    <t>source code writing. Module name-Sine wave generation</t>
  </si>
  <si>
    <t>Validation of indication and Alarm. Defect found : Indication of Energy saver mode conflict with other mode: Gravity Voltage of Battery in +0.1V high.</t>
  </si>
  <si>
    <t>Prototype of Auxiliary power supply is made on PCB G0449P0797_1.1 that was already available. and it was tested against the Hardware test cases. it is found OK</t>
  </si>
  <si>
    <t>1. Participated in kick-off meeting as a Configuration administrator. 2. Creation of project configuration library.</t>
  </si>
  <si>
    <t>Attend kick off meeting and discuss project</t>
  </si>
  <si>
    <t>Attend Kick off meeting and discuss project.</t>
  </si>
  <si>
    <t>GGS020_HWDSN2</t>
  </si>
  <si>
    <t>Review as peer, no any defects found.</t>
  </si>
  <si>
    <t>GGS015_00</t>
  </si>
  <si>
    <t>GGS015_01</t>
  </si>
  <si>
    <t>Power Switch and Energy Saver switch delay should be less.</t>
  </si>
  <si>
    <t>Switches delay set to approx 1 sec.</t>
  </si>
  <si>
    <t>Over temperature fault occurs at 96 degree instead of 80 degree.</t>
  </si>
  <si>
    <t>Over temperature set at 80 +- 5 degree.</t>
  </si>
  <si>
    <t>GGS020_FRWDSN (v0.1)</t>
  </si>
  <si>
    <t>Document Header Section and Table of content is not updated.</t>
  </si>
  <si>
    <t>update headers and table of contents.</t>
  </si>
  <si>
    <t>GGS020_FRWDSN (v0.2)</t>
  </si>
  <si>
    <t>Display module is not included in design.</t>
  </si>
  <si>
    <t>Included display module and all its dependencies</t>
  </si>
  <si>
    <t>Module 3.8: User selective switches are not considered.</t>
  </si>
  <si>
    <t>Consider power switch and also user selectable INV/UPS switch in change over module.</t>
  </si>
  <si>
    <t>1.0</t>
  </si>
  <si>
    <t>Product Validation</t>
  </si>
  <si>
    <t>Timing corrected.</t>
  </si>
  <si>
    <t>Charging Current fluctuating when maintain gravity</t>
  </si>
  <si>
    <t>Fluctuations removed.</t>
  </si>
  <si>
    <t>the indication of energy saver mode is conflict with other charging stage.</t>
  </si>
  <si>
    <t>Energy saver mode corrected so that i does not conflict with others.</t>
  </si>
  <si>
    <t>The gravity voltage is +0.1V high</t>
  </si>
  <si>
    <t>Gravity voltage calibrated.</t>
  </si>
  <si>
    <t>GGS015_TSTCAS</t>
  </si>
  <si>
    <t>Battery charging profile related: 1. Boost voltage goes above 15.0 V. 2. During Gravity Voltage fluctuates uto 1.0 V.</t>
  </si>
  <si>
    <t>1. Boost voltage maintained at 14.7 V +- 0.2 V 2. Gravity voltage stabled with +- 0.2 V</t>
  </si>
  <si>
    <t>1. Supply color should be red. 2. Related to human, environment, and property. 3. Points No. 3.1.11, MOV should be added.</t>
  </si>
  <si>
    <t>1.Supply color indicated by red. 2.Safety points related to human ,environment and property added. 3.MOV added in 3.1.11.</t>
  </si>
  <si>
    <t>The Blinking of the LED's time interval not same. some it fast.</t>
  </si>
  <si>
    <t>Configuration and data management plan updated. QMS x.x changed to QMSx_x in repository structure.</t>
  </si>
  <si>
    <t>List of CIs including PEG MOM and their corresponding location updated in Process Improvement plan.</t>
  </si>
  <si>
    <t>Location for on site data back up of SVN and R and D data has been mentioned in revised plan.</t>
  </si>
  <si>
    <t>As PEG work products are in Processes repository in SVN. So Back up of Processes has been mentioned in revised plan.</t>
  </si>
  <si>
    <t>Location for on site back up of Sharepoint has been defined revised plan.</t>
  </si>
  <si>
    <t>Restoration records will be maintained as separate excel file. Frequency has been revised to monthly from quarterly.</t>
  </si>
  <si>
    <t>Checklist for the Review of Firmware Design Document, Hardware Design Document, Mechanical Design Document are not available in the sharepoint</t>
  </si>
  <si>
    <t>take care will next time.</t>
  </si>
  <si>
    <t>Take care will next time</t>
  </si>
  <si>
    <t>Updated RTT is not available in Sharepoint</t>
  </si>
  <si>
    <t>Update RTT in share point</t>
  </si>
  <si>
    <t>date mistake resolved</t>
  </si>
  <si>
    <t>time sheet filled by sobhag</t>
  </si>
  <si>
    <t>Data in MINMET format is copied two times for team meeting held on 14/9/2015 creating ambiguity.</t>
  </si>
  <si>
    <t>time sheet filled</t>
  </si>
  <si>
    <t>Time Sheet for the Status Review Meeting on 18/9/2015 Is wrongly filled by Mrs. Shweta Agarwal. Time is wrongly filled to be 13:25 instead of 12:25.</t>
  </si>
  <si>
    <t>time sheet corrected</t>
  </si>
  <si>
    <t>RD Phase Data is not available in Planning Phase Metrics Report.</t>
  </si>
  <si>
    <t>Test Plan is not updated in the Project Plan</t>
  </si>
  <si>
    <t>test plan update</t>
  </si>
  <si>
    <t>approval of plan is not yet done.</t>
  </si>
  <si>
    <t>As verbal approval was taken already and Now same plan has been approved by Sr. mgmt through Email.</t>
  </si>
  <si>
    <t>release not format and actual release note doesn't match content wise.</t>
  </si>
  <si>
    <t>As all the contents of Release note template have been considered in actual release note, but still there is ambiguity, so we will take care in next release.</t>
  </si>
  <si>
    <t>discussion about project risks, project planning/monitoring should be done in PEG team meeting.</t>
  </si>
  <si>
    <t>training for QMS 1.2 should have been there.</t>
  </si>
  <si>
    <t>Training Plans</t>
  </si>
  <si>
    <t>training analysis/metrics report to PEG head is not sent for analysis.</t>
  </si>
  <si>
    <t>Renaming done</t>
  </si>
  <si>
    <t>annual training plan shortens by one month.</t>
  </si>
  <si>
    <t>Extended by one month</t>
  </si>
  <si>
    <t>Training period should be for a year June-15 to May-16.</t>
  </si>
  <si>
    <t>Period extended till May 16</t>
  </si>
  <si>
    <t>Back up for Data saved at local path is not defined.</t>
  </si>
  <si>
    <t>Backup data to be saved in Drop-box (now mentioned)</t>
  </si>
  <si>
    <t>training material review evidence is not available.</t>
  </si>
  <si>
    <t>Plan revised as per TMPL_PEGPLN (Template version 1) in latest Released QMS version.</t>
  </si>
  <si>
    <t>Training plan updated.</t>
  </si>
  <si>
    <t>PEGPLN 9.1 PEG MOM location is not updated.</t>
  </si>
  <si>
    <t>As Back up plan is already mentioned in Process Improvement Plan which is already in lined with Org. Level Back up plan.</t>
  </si>
  <si>
    <t>Formats of the Hardware &amp; Mechanical Test cases are not as per the template in the QMS</t>
  </si>
  <si>
    <t>Review &amp; Testing Defect Log were not filled for the Design Document Review of Hardware , Mechanical &amp; Interface Control &amp; Integration Design Document.</t>
  </si>
  <si>
    <t>Review checklist &amp; Review Defects Logs are not available for the Interface Design Document</t>
  </si>
  <si>
    <t>Team Meeting on 9/9/2015  Date of Next Meeting Taken is 7/9/2015 which is wrong</t>
  </si>
  <si>
    <t>Team Meeting held on 9/9/2015  Time Sheet of Sobhag Prajapat is not filled</t>
  </si>
  <si>
    <t>Time Sheet for the Status Review Meeting on 18/9/2015 Is not filled by Mr. Rakesh Pandey.</t>
  </si>
  <si>
    <t>Monthly Training analysis Report sent to PEG</t>
  </si>
  <si>
    <t>Quality plan 8.1 audit       3.  PEG auditor should be renamed to PPQA auditor Also timeline for audit should be as per PPQA plan.</t>
  </si>
  <si>
    <t>GGS028</t>
  </si>
  <si>
    <t>2.5 KVA 48V PCU (SURJA)</t>
  </si>
  <si>
    <t>GGE058</t>
  </si>
  <si>
    <t>Battery AC Charger 12V/10A</t>
  </si>
  <si>
    <t>GDB003</t>
  </si>
  <si>
    <t>1500VA 24V LCD</t>
  </si>
  <si>
    <t>GGE063</t>
  </si>
  <si>
    <t>Battery Equalizer 48V DC</t>
  </si>
  <si>
    <t>GGE064</t>
  </si>
  <si>
    <t>2.5 KVA 48V</t>
  </si>
  <si>
    <t>Kick of meeting.</t>
  </si>
  <si>
    <t>Search on websites of competitors same rating product for functional specification.</t>
  </si>
  <si>
    <t>Team meeting for Team selection and technical discussion regarding functional specification.</t>
  </si>
  <si>
    <t>Design Team Selection, Technical Descusion regarding FUNSPC.</t>
  </si>
  <si>
    <t>Competitor's product of same rating  analysis via internet. For functional specifications.</t>
  </si>
  <si>
    <t>Tarun Gupta</t>
  </si>
  <si>
    <t>Prepared Functional specification.</t>
  </si>
  <si>
    <t>Discuss about function specification and Firmware and Mechanical Functional Head for representative member.</t>
  </si>
  <si>
    <t>prepared functunal specification.</t>
  </si>
  <si>
    <t>Prepared functional specification.</t>
  </si>
  <si>
    <t>Prepare Functional specification.</t>
  </si>
  <si>
    <t>Prepare functional specification.</t>
  </si>
  <si>
    <t>Review of Functional specification.</t>
  </si>
  <si>
    <t>Resolve defect log of Functional specification.</t>
  </si>
  <si>
    <t>Resolved review of FUNSPC.</t>
  </si>
  <si>
    <t>Audit of RD Phase of the Project</t>
  </si>
  <si>
    <t>Audit for RD Phase.</t>
  </si>
  <si>
    <t>Resolve Audit NC.</t>
  </si>
  <si>
    <t>Review of FUNSPC.</t>
  </si>
  <si>
    <t>Given mechanical output for FS.</t>
  </si>
  <si>
    <t>As a hardware design engineer analysis the competitors product and our reference product, on the basis of these make functional specifications. For firmware taken feedback from from Rahul Upadahyay and for mechanical taken feedback from Bharat Kakara</t>
  </si>
  <si>
    <t>Given feedback as firmware designer for functional specifications.After discussion with hardware designer.</t>
  </si>
  <si>
    <t>Expert review of functional specifications.</t>
  </si>
  <si>
    <t>for decide effort estimation complete date.</t>
  </si>
  <si>
    <t>Team meeting for complete Effort Estimation Date.</t>
  </si>
  <si>
    <t>Issue resolved review</t>
  </si>
  <si>
    <t>Re-Review of FUNSPC.</t>
  </si>
  <si>
    <t>Expert review after senior management review.</t>
  </si>
  <si>
    <t>Resolve the findings in review of functional specifications</t>
  </si>
  <si>
    <t>Audit of functional specifications</t>
  </si>
  <si>
    <t>Review of FUNSPC after modification.</t>
  </si>
  <si>
    <t>Prepare Plan Document.Scope and Vision,Project life cycle,Work Environment.</t>
  </si>
  <si>
    <t>Change Functional specification as per received change request.</t>
  </si>
  <si>
    <t>Review of Functional specification after change and resolve Review log.</t>
  </si>
  <si>
    <t>Plan for Project life cycle,tailoring proposals,work environment,budget requirement,training plan.</t>
  </si>
  <si>
    <t>Prepared risk matrix and mitigation pla.</t>
  </si>
  <si>
    <t>Prepare Complexity Rating for Effort Estimation and Prepare Risk Matrix.</t>
  </si>
  <si>
    <t>Participated in Wideband delphi for Effort Estimation.</t>
  </si>
  <si>
    <t>Wide band delphi process for hardware effort estimation.</t>
  </si>
  <si>
    <t>Wide Band Delphi participation</t>
  </si>
  <si>
    <t>Participated in Wide Band Delphi</t>
  </si>
  <si>
    <t>Wide band delphi process for hardware estimation.</t>
  </si>
  <si>
    <t>Umesh Likhitkar</t>
  </si>
  <si>
    <t>widband delphi process for Hardware estimation.</t>
  </si>
  <si>
    <t>create effort estimation.</t>
  </si>
  <si>
    <t>Wide Band Delphi Process for mechanical design</t>
  </si>
  <si>
    <t>Review of functional specification as project manager</t>
  </si>
  <si>
    <t>Complexity Estimation of FS</t>
  </si>
  <si>
    <t>Effort Estimation of FS</t>
  </si>
  <si>
    <t>Prepared effort estimation.</t>
  </si>
  <si>
    <t>Prepare Effort Estimation and participate in Wideband Delphi.</t>
  </si>
  <si>
    <t>Help for Prepare Effort Estimation and participate in Wideband Delphi.</t>
  </si>
  <si>
    <t>Prepare Risk matrix.</t>
  </si>
  <si>
    <t>Prepare Risk Mitigation Action Plan and Contingency Action Plan.</t>
  </si>
  <si>
    <t>Discussion on Risk, mitigation and contingency.</t>
  </si>
  <si>
    <t>Discuss about Risk,Mitigation and contingency action plan.</t>
  </si>
  <si>
    <t>Prepare Plan document Resource,schedule,QualityPlan.</t>
  </si>
  <si>
    <t>Prepare Test and Validation plan,Escalation plan,Role and responsibility plan</t>
  </si>
  <si>
    <t>Review the planning.</t>
  </si>
  <si>
    <t>Team meeting. Discuss about the Risks, mitigation and contingency plan.</t>
  </si>
  <si>
    <t>Team meeting with all the designer</t>
  </si>
  <si>
    <t>As a firmware designer participate in team meeting and discussed on risk and designing</t>
  </si>
  <si>
    <t>As a mechanical designer in team meeting discussed on all the risk and designing</t>
  </si>
  <si>
    <t>discuss on risk.</t>
  </si>
  <si>
    <t>Review of planning document.</t>
  </si>
  <si>
    <t>Project planning Review</t>
  </si>
  <si>
    <t>Participated in team meeting.</t>
  </si>
  <si>
    <t>Resolved review findings.</t>
  </si>
  <si>
    <t>Re- Review and closed review finding</t>
  </si>
  <si>
    <t>Re- Review with reviwer</t>
  </si>
  <si>
    <t>Team meeting for discuss on mechanical design.</t>
  </si>
  <si>
    <t>team meeting discussed about PCB</t>
  </si>
  <si>
    <t>Discuss about risk,Mitigation plan and contingency plan.</t>
  </si>
  <si>
    <t>As a auditee for planning phase,participated in audit activity.</t>
  </si>
  <si>
    <t>Update RTT</t>
  </si>
  <si>
    <t>Team meeting for hardware design and test cases</t>
  </si>
  <si>
    <t>make concept design.</t>
  </si>
  <si>
    <t>prepared design document.</t>
  </si>
  <si>
    <t>review of design document.</t>
  </si>
  <si>
    <t>Complexity estimation and effort estimation</t>
  </si>
  <si>
    <t>Team meeting with all stakeholders</t>
  </si>
  <si>
    <t>PREPARED TEST CASE</t>
  </si>
  <si>
    <t>REVIEW TEST CASE.</t>
  </si>
  <si>
    <t>As a auditee participated in re audit</t>
  </si>
  <si>
    <t>Resolve Audit Non conformance Log.</t>
  </si>
  <si>
    <t>As a project manager, due to maximum number of Ncs re-review the planning</t>
  </si>
  <si>
    <t>Discuss on Risk.</t>
  </si>
  <si>
    <t>Discuss about risk.</t>
  </si>
  <si>
    <t>review design document.</t>
  </si>
  <si>
    <t>review test cases.</t>
  </si>
  <si>
    <t>Metric report prepration</t>
  </si>
  <si>
    <t>Prepare MPP.</t>
  </si>
  <si>
    <t>Prepare Schedule Plan in MPP.</t>
  </si>
  <si>
    <t>team meeting project schedule discussion.</t>
  </si>
  <si>
    <t>Preparing design document</t>
  </si>
  <si>
    <t>Preparing design doc</t>
  </si>
  <si>
    <t>preparing design doc</t>
  </si>
  <si>
    <t>design document prepration</t>
  </si>
  <si>
    <t>Prepare Hardware Test cases</t>
  </si>
  <si>
    <t>Team Meeting.Discuss about Project status and planned schedule.</t>
  </si>
  <si>
    <t>Milestone Review for planning Phase</t>
  </si>
  <si>
    <t>prepare schematic diagram</t>
  </si>
  <si>
    <t>Design the PCB</t>
  </si>
  <si>
    <t>Design rest part of PCB</t>
  </si>
  <si>
    <t>Hardware block diagram and concept design</t>
  </si>
  <si>
    <t>Hardware design and concept diagram</t>
  </si>
  <si>
    <t>Hardware conceptual and block diagram</t>
  </si>
  <si>
    <t>Alok Kumar Singh</t>
  </si>
  <si>
    <t>Prototype testing of reference model</t>
  </si>
  <si>
    <t>prototype testing of ref. PCB/ system</t>
  </si>
  <si>
    <t>Prototype testing of ref. PCB</t>
  </si>
  <si>
    <t>Power transformer design.</t>
  </si>
  <si>
    <t>Peer review of hardware test cases</t>
  </si>
  <si>
    <t>Hardware test cases review present as an author</t>
  </si>
  <si>
    <t>As a peer review the design document</t>
  </si>
  <si>
    <t>As a hardware designer participated in the peer review of hardware design documents with peer</t>
  </si>
  <si>
    <t>Review of Hardware Test Cases.</t>
  </si>
  <si>
    <t>Firmware design document prepration</t>
  </si>
  <si>
    <t>Design Document prepared</t>
  </si>
  <si>
    <t>Review of design doc by rajkumar</t>
  </si>
  <si>
    <t>frimware test case prepration</t>
  </si>
  <si>
    <t>test case review by rajkumar</t>
  </si>
  <si>
    <t>Review of Firmware Design Document.</t>
  </si>
  <si>
    <t>Review of Firmware Test cases.</t>
  </si>
  <si>
    <t>Review of Hardware Design Documents and Schematic.</t>
  </si>
  <si>
    <t>Hard ware Module Test case preparation and testing</t>
  </si>
  <si>
    <t>Hardware test case preparation and module testing</t>
  </si>
  <si>
    <t>With reviewer participated in review of hardware design document and schematic</t>
  </si>
  <si>
    <t>Resolved the defect of hardware design document</t>
  </si>
  <si>
    <t>MOM : testing of module integration assigned by Project Manager</t>
  </si>
  <si>
    <t>As an author in Peer review of Hardware Test cases</t>
  </si>
  <si>
    <t>firmware code writing and testing</t>
  </si>
  <si>
    <t>Hardware testing with firmware designer.</t>
  </si>
  <si>
    <t>Review BOM</t>
  </si>
  <si>
    <t>with reviewer participated in bom review.</t>
  </si>
  <si>
    <t>Prepared BOM</t>
  </si>
  <si>
    <t>RTT prepartion</t>
  </si>
  <si>
    <t>2D/3D mechanical design</t>
  </si>
  <si>
    <t>With mechanical designer check mechanical design</t>
  </si>
  <si>
    <t>Prepare integration test cases</t>
  </si>
  <si>
    <t>Module Integration preparation</t>
  </si>
  <si>
    <t>resolve validation defect</t>
  </si>
  <si>
    <t>Syoji Ram Sharma</t>
  </si>
  <si>
    <t>BOM Check.</t>
  </si>
  <si>
    <t>Preparation of product support documents.</t>
  </si>
  <si>
    <t>Wiring diagram check and defects closure.</t>
  </si>
  <si>
    <t>Checked user manual.</t>
  </si>
  <si>
    <t>Checked mechanical parameters.</t>
  </si>
  <si>
    <t>tested charging profile of system.</t>
  </si>
  <si>
    <t>Team Meeting for project Status,Risk, Long lead Item.</t>
  </si>
  <si>
    <t>Team Meetnig</t>
  </si>
  <si>
    <t>Team meeting for validation phase</t>
  </si>
  <si>
    <t>Team Meeting in Validation Phase</t>
  </si>
  <si>
    <t>Firmware Code review.</t>
  </si>
  <si>
    <t>With firmware designer and testing engineer as a hardware designer test the modules</t>
  </si>
  <si>
    <t>Testing of power transformer</t>
  </si>
  <si>
    <t>Test the system as per integration test format</t>
  </si>
  <si>
    <t>Pawan Sharma</t>
  </si>
  <si>
    <t>Power pcb,control cardand Driver card prepared for integartion</t>
  </si>
  <si>
    <t>Driver card and control card components mounting</t>
  </si>
  <si>
    <t>Metrics report preparation</t>
  </si>
  <si>
    <t>Audit of Integration Phase</t>
  </si>
  <si>
    <t>As a auditee participated in audit</t>
  </si>
  <si>
    <t>prepared design document and concept design.</t>
  </si>
  <si>
    <t>With CA audit release note</t>
  </si>
  <si>
    <t>Reviewed Release Note.</t>
  </si>
  <si>
    <t>discussed project learning and other things</t>
  </si>
  <si>
    <t>Closure report updated.</t>
  </si>
  <si>
    <t>Prepare Design Document</t>
  </si>
  <si>
    <t>Prepare Design Doc</t>
  </si>
  <si>
    <t>Prepare conceptual Hardware design .</t>
  </si>
  <si>
    <t>Prepare Hardware design Document.</t>
  </si>
  <si>
    <t>Prepare release note</t>
  </si>
  <si>
    <t>Project learning</t>
  </si>
  <si>
    <t>Kick-Off Meeting</t>
  </si>
  <si>
    <t>Kickoff Meeting</t>
  </si>
  <si>
    <t>With firmware designer share the technical specifications of competitor and make functional specifications on the basis of data.</t>
  </si>
  <si>
    <t>Prepared functional specifications with hardware and firmware designers</t>
  </si>
  <si>
    <t>Prepared functional specifications with mechanical and firmware designer</t>
  </si>
  <si>
    <t>Functional specifications prepared with mechanical and hardware designer</t>
  </si>
  <si>
    <t>As a reviewer review the functional specifications.</t>
  </si>
  <si>
    <t>Review of functional specification by Project manager.</t>
  </si>
  <si>
    <t>Re-review and close the review finding of functional specifications.</t>
  </si>
  <si>
    <t>Functional specifications review with senior managment.</t>
  </si>
  <si>
    <t>Prepare RTT table with Hardware Designer.</t>
  </si>
  <si>
    <t>RTT preparation with firmware and hardware designer</t>
  </si>
  <si>
    <t>Shyam Krishan Soni</t>
  </si>
  <si>
    <t>Audit done for RD phase of GGS028.</t>
  </si>
  <si>
    <t>With auditor as a project manager performed audit activity.</t>
  </si>
  <si>
    <t>Resolve the NCs of audit</t>
  </si>
  <si>
    <t>Closure of NCs.</t>
  </si>
  <si>
    <t>Prepared matrics report.</t>
  </si>
  <si>
    <t>Audit the closure report</t>
  </si>
  <si>
    <t>Closure Audit of GGS020.</t>
  </si>
  <si>
    <t>Closure Audit of GGS015.</t>
  </si>
  <si>
    <t>Find complexity against the functional specifications</t>
  </si>
  <si>
    <t>firmware effort estimation with rajkumar using wide band delphi method</t>
  </si>
  <si>
    <t>Participated in Wide Band delphi</t>
  </si>
  <si>
    <t>Shashank kumar</t>
  </si>
  <si>
    <t>participated in hardware design Wideband delphy process.</t>
  </si>
  <si>
    <t>Find the complexity against the needs.</t>
  </si>
  <si>
    <t>With sundeep jain did the wide band delphi process for effort estimation.</t>
  </si>
  <si>
    <t>Did the wide band delphi process with bharat for mechanical effort estimation.</t>
  </si>
  <si>
    <t>Participated in Firmware Complexity Estimation.</t>
  </si>
  <si>
    <t>Prepare project schedule.</t>
  </si>
  <si>
    <t>Hardware Module Design</t>
  </si>
  <si>
    <t>Planning on budget, schedule</t>
  </si>
  <si>
    <t>Review of conceptual design.</t>
  </si>
  <si>
    <t>Review of defect log of conceptual design.</t>
  </si>
  <si>
    <t>prepared Functional specifications on the basis of change request.</t>
  </si>
  <si>
    <t>Prepared functional specification after change request</t>
  </si>
  <si>
    <t>Team Meeting for project Status,Change request and discuss about Needs .</t>
  </si>
  <si>
    <t>Team Meeting for project Status,Change request and discuss about Needs.</t>
  </si>
  <si>
    <t>Review of Revised Functional Specification in Design and Implementation Stage.</t>
  </si>
  <si>
    <t>Closer Review of re-review of re-functional specification.</t>
  </si>
  <si>
    <t>Effort Estimation of firmware with Rajkumar Jain using wide bend delphi</t>
  </si>
  <si>
    <t>Complexity determination and effort estimation after change in functional specification</t>
  </si>
  <si>
    <t>As a hardware designer by wide band delphi process estimate the effort of low ,medium and high complexity</t>
  </si>
  <si>
    <t>Participated in wide band delphi process for effort estimation</t>
  </si>
  <si>
    <t>Complexity estimation of mechanical against the FS.</t>
  </si>
  <si>
    <t>Participation in Firmware Complexity Estimation (Using Wide Band Delphi Technique)</t>
  </si>
  <si>
    <t>Review of Revised Functional Specification.</t>
  </si>
  <si>
    <t>Resolve the defect log of Function specifications.</t>
  </si>
  <si>
    <t>Participated in wide band delphi</t>
  </si>
  <si>
    <t>Prepared Effort Estimation and wideband delphi.</t>
  </si>
  <si>
    <t>Team Meeting for project Status,Change request and discuss about Needs</t>
  </si>
  <si>
    <t>For wideband delphi.</t>
  </si>
  <si>
    <t xml:space="preserve"> Prepared introduction, Work on  design document of Hardware Modules section 3 (3.1.1 to 3.1.9)</t>
  </si>
  <si>
    <t>Effort estimation of requirements using wide bend Delphi method with rajkumar jain,</t>
  </si>
  <si>
    <t>work on solar charger discretion, logic Flow to safety Consideration in Hardware Design Document</t>
  </si>
  <si>
    <t>PREPARED DIGITAL SIGNAL PROCESSOR SECTION IN HARD WARE DESIGN</t>
  </si>
  <si>
    <t>Participated in Firmware Effort Estimation (Wide Band Delphi Technique)</t>
  </si>
  <si>
    <t>Prepare Design Document and firmware</t>
  </si>
  <si>
    <t>Prepare Design Document  of Firmware</t>
  </si>
  <si>
    <t>Firmware Design Doc Prepration</t>
  </si>
  <si>
    <t>Team meeting with all stakeholdres</t>
  </si>
  <si>
    <t>Project plan</t>
  </si>
  <si>
    <t>Plan work</t>
  </si>
  <si>
    <t>Update the schedule and plan waork</t>
  </si>
  <si>
    <t>Risk plan</t>
  </si>
  <si>
    <t>Prepare Hardware design Document.Prepare SCR Driver PCB and Mother PCB Module.</t>
  </si>
  <si>
    <t>Project plan review.</t>
  </si>
  <si>
    <t>As a author review the planning.</t>
  </si>
  <si>
    <t>Firmware Design Complete and Reviewed by Rajkumr</t>
  </si>
  <si>
    <t>Team meeting ,discuss about risk and schedule.</t>
  </si>
  <si>
    <t>Team meeting for discussion about schedule and risk .</t>
  </si>
  <si>
    <t>Prepare Hardware design doc. of LCD Driver and Control PCB module.</t>
  </si>
  <si>
    <t>Prepare Hardware design doc. of IGBT Driver and Protection circuit module.</t>
  </si>
  <si>
    <t>Prepare Hardware design doc. of Output and DC Current sensor  module.</t>
  </si>
  <si>
    <t>Prepare Hardware design doc. of H-Bridge and Power Transformer module.</t>
  </si>
  <si>
    <t>Prepare Hardware design doc. of Changeover and Mannual Bypass module.</t>
  </si>
  <si>
    <t>DAR applied for technology selection for solar charge controller</t>
  </si>
  <si>
    <t>Review of Hardware Design documents.</t>
  </si>
  <si>
    <t>make 3d model</t>
  </si>
  <si>
    <t>make 3d design</t>
  </si>
  <si>
    <t>make 3d module.</t>
  </si>
  <si>
    <t>make 3d module</t>
  </si>
  <si>
    <t>make 2d drawing.</t>
  </si>
  <si>
    <t>make 2d drawing</t>
  </si>
  <si>
    <t>2d drawing completed.</t>
  </si>
  <si>
    <t>Firmware Design  Document Prepration</t>
  </si>
  <si>
    <t>Firmware Document review by rajkumar</t>
  </si>
  <si>
    <t>Resolve Testing and defect log for Hardware Design.</t>
  </si>
  <si>
    <t>Assembled DC-DC PCB.</t>
  </si>
  <si>
    <t>Assembled Fuse and Transformer PCB.</t>
  </si>
  <si>
    <t>Assembled Mother PCB and SCR Driver PCB.</t>
  </si>
  <si>
    <t>Assembled Control PCB and LCD driver PCB.</t>
  </si>
  <si>
    <t>Reviewed Firmware Design Document.</t>
  </si>
  <si>
    <t>Team meeting for discussion about schedule and risk</t>
  </si>
  <si>
    <t>work on Logic Flow of Power Section Module (H-Bridge), Critical Design Consideration, Development and Safety Consideration</t>
  </si>
  <si>
    <t>components selection of Power section (H-bridge )</t>
  </si>
  <si>
    <t>Resolve Testing Defect LOG.</t>
  </si>
  <si>
    <t xml:space="preserve"> Prepare Test cases for firmware.</t>
  </si>
  <si>
    <t>Resolve Functional Defects</t>
  </si>
  <si>
    <t>review drawing with sandeep sir.</t>
  </si>
  <si>
    <t>Review chassis drawing.</t>
  </si>
  <si>
    <t>Participated in team meeting</t>
  </si>
  <si>
    <t>Review of Firmware test cases.</t>
  </si>
  <si>
    <t>Audit of Planning phase done.</t>
  </si>
  <si>
    <t>Close NC of Planning Phase.</t>
  </si>
  <si>
    <t>Audit the planning phase</t>
  </si>
  <si>
    <t>Resolve the NCs</t>
  </si>
  <si>
    <t>work on solar section module,sensing module, current sensing module and  in design Documents</t>
  </si>
  <si>
    <t>Schematic Design of Solar PWM  charger section</t>
  </si>
  <si>
    <t>Firmware Test cases review by rajkumar</t>
  </si>
  <si>
    <t>Prepare Hardware designTest Case</t>
  </si>
  <si>
    <t>Prepare Hardware Test Case</t>
  </si>
  <si>
    <t>Prepared the metrics report</t>
  </si>
  <si>
    <t>Peer review of GGS028_HDWDNS</t>
  </si>
  <si>
    <t>Team Meeting .Discuss about project status and Risk.</t>
  </si>
  <si>
    <t>Kick off meeting</t>
  </si>
  <si>
    <t>as a author  in peer review of GGS028_HDWDNS</t>
  </si>
  <si>
    <t>Schematic Review of GGS028</t>
  </si>
  <si>
    <t>Participated in Team meeting and Creation of Project Library</t>
  </si>
  <si>
    <t>Review of Hardware Test Case V.0.2.</t>
  </si>
  <si>
    <t>Kick off meeting.</t>
  </si>
  <si>
    <t>Review of Hardware design test case.</t>
  </si>
  <si>
    <t>Resolve Review and testing defect log.</t>
  </si>
  <si>
    <t>Team Meeting .Discuss about project status</t>
  </si>
  <si>
    <t>Start component placing for pcb designing</t>
  </si>
  <si>
    <t>Power transformer testing</t>
  </si>
  <si>
    <t>Prepare design document</t>
  </si>
  <si>
    <t>Milestone review with senior mangment</t>
  </si>
  <si>
    <t>Review of mechanical test cases</t>
  </si>
  <si>
    <t>Review design document.</t>
  </si>
  <si>
    <t>Make 3D and 2D design</t>
  </si>
  <si>
    <t>Prepared mechanical test case.</t>
  </si>
  <si>
    <t>as a designer review test case with SME.</t>
  </si>
  <si>
    <t>As a designer 2d drawing with SME.</t>
  </si>
  <si>
    <t>As a reviewer review the mechanical test case</t>
  </si>
  <si>
    <t>As a reviewer review the 2D design.</t>
  </si>
  <si>
    <t>Review of Design document and schematic.</t>
  </si>
  <si>
    <t>In absence of hardware designer, review the design document with reviewer.</t>
  </si>
  <si>
    <t>In absence of hardware designer resolved all the finding in SME</t>
  </si>
  <si>
    <t>Complete the PCB designing .</t>
  </si>
  <si>
    <t>integrate to the chassis.(assemble PCBs on PCB Card mounting plate)</t>
  </si>
  <si>
    <t>Prepared hardware  test case in the absence of hardware designer</t>
  </si>
  <si>
    <t>Interface the different module.</t>
  </si>
  <si>
    <t>Prepared integration steps</t>
  </si>
  <si>
    <t>Prepared functional specification and given out as hardware designer</t>
  </si>
  <si>
    <t>Prepared functional specifications</t>
  </si>
  <si>
    <t>As a reviewer review the functional specification.</t>
  </si>
  <si>
    <t>prepared functional specification.</t>
  </si>
  <si>
    <t>Team meeting with design team,validation engineer,PPQA member</t>
  </si>
  <si>
    <t>functional Specification review by Project Manager</t>
  </si>
  <si>
    <t>Review the PCB layout</t>
  </si>
  <si>
    <t>As a PCB designer review the PCB layout with reviewer</t>
  </si>
  <si>
    <t>Team meeting for testing schedule.</t>
  </si>
  <si>
    <t>Integrate to the Chassis(Assemble I/P AC MCCB,O/P AC MCCB,HRC Fuse Base at MCCB Mounting box).</t>
  </si>
  <si>
    <t>Integrate to the Chassis(Wire wound Resistance, Transformer,AC Capacitors at Bottom Plate).</t>
  </si>
  <si>
    <t>Integrate to the Chassis(AC Fan mount at back plate,Harness wiring, Power wiring completed).</t>
  </si>
  <si>
    <t>Identify related requirements and fill RTT</t>
  </si>
  <si>
    <t>Kick Off meeting</t>
  </si>
  <si>
    <t>Module testing.</t>
  </si>
  <si>
    <t>Functional Specification review with senior mangment</t>
  </si>
  <si>
    <t>Prepared the metrics Report</t>
  </si>
  <si>
    <t>Prepare Document GSM052_INTDSN and GSM052_INTCAS.</t>
  </si>
  <si>
    <t>Prepare Document  GSM052_INTCAS.</t>
  </si>
  <si>
    <t>Prepare Document GSM052_INTCAS.</t>
  </si>
  <si>
    <t>Prepare Document GSM052_INTCAS</t>
  </si>
  <si>
    <t>Prepare document GSM052_INTCAS</t>
  </si>
  <si>
    <t>Team meeting discuss about Project status,Integration test case.</t>
  </si>
  <si>
    <t>Prepare document of Integration test case.</t>
  </si>
  <si>
    <t>Identify related requirements and fill RTT.</t>
  </si>
  <si>
    <t xml:space="preserve"> Audit for  Integration Phase.</t>
  </si>
  <si>
    <t>Read Datasheets Of IGBT Modules make-Semikron and Infineon</t>
  </si>
  <si>
    <t>As Project manager organize kick-off meeting to share project information and customer requirements to stackholders</t>
  </si>
  <si>
    <t>Prepare Mechanical design test Case</t>
  </si>
  <si>
    <t>Testing of Enclosure.</t>
  </si>
  <si>
    <t>Review of Test Case</t>
  </si>
  <si>
    <t>some test cases generate w.r.t. function specification</t>
  </si>
  <si>
    <t>Participated in Kick Off Meeting</t>
  </si>
  <si>
    <t>Functional Specifications preparation</t>
  </si>
  <si>
    <t>Participated in Kick-Off meeting as Firmware Developer and Configuration administrator.</t>
  </si>
  <si>
    <t>Functional specifications preparation.</t>
  </si>
  <si>
    <t>Review of Firmware concept design.</t>
  </si>
  <si>
    <t>Revise functional specification</t>
  </si>
  <si>
    <t>team meeting on issues resolving which observed in review.</t>
  </si>
  <si>
    <t>Review of integration design doc and test case</t>
  </si>
  <si>
    <t>Team meeting for discuss about audit finding</t>
  </si>
  <si>
    <t>validation test cases fill in GSM052_SYSCAS</t>
  </si>
  <si>
    <t>Change in functional specification as per change request</t>
  </si>
  <si>
    <t>Teem Meeting for Status Review</t>
  </si>
  <si>
    <t>Participated in team meeting for status review</t>
  </si>
  <si>
    <t>Functional Specifications Prepared</t>
  </si>
  <si>
    <t>Functional specifications preparation</t>
  </si>
  <si>
    <t>With firmware designer change in the functional specification as per change requirment</t>
  </si>
  <si>
    <t>Team meeting regarding FS</t>
  </si>
  <si>
    <t>Estimate the complexity on the basis of change request and by wide band delphi process estimate the effort.</t>
  </si>
  <si>
    <t>Complexity estimation of FS</t>
  </si>
  <si>
    <t>Fill test case in validation test case template</t>
  </si>
  <si>
    <t>Participated in Firmware complexity estimation using Wide Band Delphi</t>
  </si>
  <si>
    <t>Audit of Metrics Report</t>
  </si>
  <si>
    <t>With auditor audit the metrics report</t>
  </si>
  <si>
    <t>Participated in team meeting as Configuration administrator and Firmware Developer.</t>
  </si>
  <si>
    <t>participated in team meeting as hardware designer.</t>
  </si>
  <si>
    <t>Kick off Meeting.Details attached in project repository.</t>
  </si>
  <si>
    <t>Effort Estimation by wide band Delphi method with Rajkumar Jain</t>
  </si>
  <si>
    <t>Resolve Testing and defect log of Integration Test Case.</t>
  </si>
  <si>
    <t>Modify INTERFACE CONTROL AND INTEGRATION DESIGN DOCUMENT for resolve testing and defect log.</t>
  </si>
  <si>
    <t>Add a packing box description, no need of redesign</t>
  </si>
  <si>
    <t>Review of Functional Specifications</t>
  </si>
  <si>
    <t>Attend kick-off meeting as validation Manager</t>
  </si>
  <si>
    <t>With bharat estimate the effort by wide band delphi process</t>
  </si>
  <si>
    <t>Participated in Kick off Meeting</t>
  </si>
  <si>
    <t>Review of Functional Specification with Jalaj Mathur</t>
  </si>
  <si>
    <t>Complete the integration steps</t>
  </si>
  <si>
    <t>Resolution of Review defects found in Functional Spec.</t>
  </si>
  <si>
    <t>Test the PCB as per test report</t>
  </si>
  <si>
    <t>Resolve findings closed in system by re-review.</t>
  </si>
  <si>
    <t>Performed competitor analysis.</t>
  </si>
  <si>
    <t>Review design document after packing detail add.</t>
  </si>
  <si>
    <t>update design document.</t>
  </si>
  <si>
    <t>Integration test cases</t>
  </si>
  <si>
    <t>prepare functional specification</t>
  </si>
  <si>
    <t>Resolve Testing and defect log of INTERFACE CONTROL AND INTEGRATION DESIGN DOCUMENT.</t>
  </si>
  <si>
    <t>added validation test cases</t>
  </si>
  <si>
    <t>Prepared integration test cases</t>
  </si>
  <si>
    <t>Integrate the system as per integration design document</t>
  </si>
  <si>
    <t>Prepared integration test case</t>
  </si>
  <si>
    <t>Start to design the user manual</t>
  </si>
  <si>
    <t>RTT updation upto RD phase.</t>
  </si>
  <si>
    <t>RTT updation</t>
  </si>
  <si>
    <t>RD Phase Audit as Auditee.</t>
  </si>
  <si>
    <t>Team Meeting at integration phase</t>
  </si>
  <si>
    <t>Team meeting at integration,.</t>
  </si>
  <si>
    <t>Team meeting discussion about risk, validation, audit</t>
  </si>
  <si>
    <t>Team meeting mitigate all the risk PCB is OK</t>
  </si>
  <si>
    <t>Review of Design Document.</t>
  </si>
  <si>
    <t>Review of Hardware design Document.</t>
  </si>
  <si>
    <t>Audit of Metrics Report for RD Phase</t>
  </si>
  <si>
    <t>Functional Specifications preparation.</t>
  </si>
  <si>
    <t>Market Analysis for similar kind of product</t>
  </si>
  <si>
    <t>Functional Specification Preparation</t>
  </si>
  <si>
    <t>Functional Specification specification review as reviewer and author is Raj kuamr Jain</t>
  </si>
  <si>
    <t>Team meeting for further planning to identify size of project</t>
  </si>
  <si>
    <t>added more validation test case</t>
  </si>
  <si>
    <t>Resolve Defect LOG</t>
  </si>
  <si>
    <t>Scope and Vision identification and mentioned in plan</t>
  </si>
  <si>
    <t>Participated in Team meeting. Discussed regarding Estimations and further task assignments.</t>
  </si>
  <si>
    <t>Participated in Functional Specifications Review, Reviewed by Rahul Upadhyay</t>
  </si>
  <si>
    <t>Hardware estimation prepared</t>
  </si>
  <si>
    <t>As a hardware designer participated in wide band delphi , for effort estimation</t>
  </si>
  <si>
    <t>Resolution of Functional Specifications review findings.</t>
  </si>
  <si>
    <t>effort estimation with sandeep sir according to Wide band delphi method.</t>
  </si>
  <si>
    <t>Final MECHANICAL effort estimation.</t>
  </si>
  <si>
    <t>Effort estimation via wide band delphi method.</t>
  </si>
  <si>
    <t>Firmware Complexity Estimation and Effort estimation with Rahul Upadhyay.</t>
  </si>
  <si>
    <t>Effort Estimation By Wide Band Delphi with rajkumar</t>
  </si>
  <si>
    <t>Final estimation and LFC tailoring approval</t>
  </si>
  <si>
    <t>Participated in status review meeting.</t>
  </si>
  <si>
    <t>Team meeting for planning</t>
  </si>
  <si>
    <t>discuss on design start.</t>
  </si>
  <si>
    <t>RTT Updation upto RD Phase</t>
  </si>
  <si>
    <t>Updated RTT upto RD phase</t>
  </si>
  <si>
    <t>RTT Review with Sundeep jain</t>
  </si>
  <si>
    <t>RTT Review with Project Manager</t>
  </si>
  <si>
    <t>Done Pre-Metrics Report Audit of the RD Phase as Auditor</t>
  </si>
  <si>
    <t>DAR planning and review</t>
  </si>
  <si>
    <t>Project Audit By Maninder Singh</t>
  </si>
  <si>
    <t>DARR analysis for bezel selection.</t>
  </si>
  <si>
    <t>DAR Review</t>
  </si>
  <si>
    <t>Prepare design document.</t>
  </si>
  <si>
    <t>MPP for scheduling</t>
  </si>
  <si>
    <t>Resolve Testing Defects</t>
  </si>
  <si>
    <t>Firmware testing</t>
  </si>
  <si>
    <t>Participated in Team meeting. Discussed about project's risks, issues and schedule.</t>
  </si>
  <si>
    <t>check charging Profile from mains, LCD Parameter</t>
  </si>
  <si>
    <t>check PV ON/OFF on LCD, check actual solar current and LCD solar current paramete on LCD, mains charging current with software rev 3</t>
  </si>
  <si>
    <t>Except risk planning complete the project planning</t>
  </si>
  <si>
    <t>Prepared project schedule</t>
  </si>
  <si>
    <t>resolve testing defects</t>
  </si>
  <si>
    <t>map RTT</t>
  </si>
  <si>
    <t>Status review meeting</t>
  </si>
  <si>
    <t>Tailoring Proposal</t>
  </si>
  <si>
    <t>Resource Planning</t>
  </si>
  <si>
    <t>Resource, Validation plan</t>
  </si>
  <si>
    <t>Prepare Metrics Report of RD Phase</t>
  </si>
  <si>
    <t>Audit of Metrics Report (RD Phase) as auditor</t>
  </si>
  <si>
    <t>Team meeting on status review</t>
  </si>
  <si>
    <t>Risk identification and planning</t>
  </si>
  <si>
    <t>Get review of Project Plan</t>
  </si>
  <si>
    <t>Resolve the review defects.</t>
  </si>
  <si>
    <t>Meeting for review and approval of Project plan with SM</t>
  </si>
  <si>
    <t>Map RTT</t>
  </si>
  <si>
    <t>Firmware Testing</t>
  </si>
  <si>
    <t>NCs resolved</t>
  </si>
  <si>
    <t>Test against following Test case ID 9 to 22 of GSM052_INTCAS</t>
  </si>
  <si>
    <t>Participated in team meeting. Discussed about project status, risks.</t>
  </si>
  <si>
    <t>Prepared concept design of Firmware.</t>
  </si>
  <si>
    <t>Review of System Test cases</t>
  </si>
  <si>
    <t>Status review team meeting</t>
  </si>
  <si>
    <t>Team meeting for schedule and issues.</t>
  </si>
  <si>
    <t>Metrics report preparation upto planning phase.</t>
  </si>
  <si>
    <t>Start to prepare the Design document of Hardware Design.</t>
  </si>
  <si>
    <t>Planning for design implementation and risk finding in the project.</t>
  </si>
  <si>
    <t>Prepared planning for project</t>
  </si>
  <si>
    <t>Taken tailoring in plan and risk plan</t>
  </si>
  <si>
    <t>Risk matrix updated and project plan ammendement</t>
  </si>
  <si>
    <t>Correct the Hardware effort estimation after review and re upload the document.</t>
  </si>
  <si>
    <t>File name changed as per format and change in test cases as per functional  specifications.</t>
  </si>
  <si>
    <t>Resolve Review Defect</t>
  </si>
  <si>
    <t>discuss about effort estimation.</t>
  </si>
  <si>
    <t>Prepare hardware design document</t>
  </si>
  <si>
    <t>Preparation of Firmware Design document.</t>
  </si>
  <si>
    <t>Milestone Review for Planning Phase</t>
  </si>
  <si>
    <t>Firmware Code Writing</t>
  </si>
  <si>
    <t>Revise Project plan review and approval</t>
  </si>
  <si>
    <t>Firmware Code writing</t>
  </si>
  <si>
    <t>Firmware Writing</t>
  </si>
  <si>
    <t>Review the hardwrae design document</t>
  </si>
  <si>
    <t>Present as an author for review of hardware design document</t>
  </si>
  <si>
    <t>Resolved the NCs</t>
  </si>
  <si>
    <t>With auditor audit the planning phase</t>
  </si>
  <si>
    <t>Test case ID 27,28 performed of GSM052_INTCAS.(float voltage,charging)</t>
  </si>
  <si>
    <t>Close defects of system test cases</t>
  </si>
  <si>
    <t>Review of project for Intigration</t>
  </si>
  <si>
    <t>Participated in team meeting. Discussed about project status.</t>
  </si>
  <si>
    <t xml:space="preserve"> Prepare Change Request</t>
  </si>
  <si>
    <t>make wiring diagram</t>
  </si>
  <si>
    <t>Review the RTT</t>
  </si>
  <si>
    <t>Change in Planning</t>
  </si>
  <si>
    <t>Team meeting for schedule review</t>
  </si>
  <si>
    <t>Prepare concept design.</t>
  </si>
  <si>
    <t>Prepared design document.</t>
  </si>
  <si>
    <t>Review of Hardware design document</t>
  </si>
  <si>
    <t>Review of hardware design document.</t>
  </si>
  <si>
    <t>Participated in team meeting. Discussed about Project Data back up and sample aretefacts restoration</t>
  </si>
  <si>
    <t>Prepared Firmware design.</t>
  </si>
  <si>
    <t>Firmware Design Document review</t>
  </si>
  <si>
    <t>Firmware design got reviewed by Rahul Upadhyay.</t>
  </si>
  <si>
    <t>Hardware design document review and points defects closed</t>
  </si>
  <si>
    <t>MEETING FOR REVIEW HARDWARE DESIGN DOCUMENT AND CLOSE THE ISSUE LOG AGAINST THIS</t>
  </si>
  <si>
    <t>Design Document review</t>
  </si>
  <si>
    <t>RTT updated with hardware design ID</t>
  </si>
  <si>
    <t>Hardware Design Documents Review.</t>
  </si>
  <si>
    <t>MEETING FOR SME REVIEW OF HARDWARE DESIGN DOCUMENT</t>
  </si>
  <si>
    <t>Review of system test cases.</t>
  </si>
  <si>
    <t>Correct hardware and design document as per SME review log and re upload</t>
  </si>
  <si>
    <t>review design document with sandeep sir.</t>
  </si>
  <si>
    <t>make 2D and 3D drawing.</t>
  </si>
  <si>
    <t>Review of closer document of Hardware design.</t>
  </si>
  <si>
    <t>Team meeting for status review</t>
  </si>
  <si>
    <t>Participated in team meeting. Discussed about project status, risks and Project data sample restoration.</t>
  </si>
  <si>
    <t>Test case ID 29,30,31 Tested( Jerk load,cold start,soft start) of GSM052_INTCAS</t>
  </si>
  <si>
    <t>Test case ID 32,33,38 Tested( over load, low battery, Manual bypass checked) of GSM052_INTCAS</t>
  </si>
  <si>
    <t>Meeting with SME reviewer to close the hardware design document.</t>
  </si>
  <si>
    <t>schedule discuss.</t>
  </si>
  <si>
    <t>Prepared 3D modeling</t>
  </si>
  <si>
    <t>Complexity (Size) estimation of Firmware.</t>
  </si>
  <si>
    <t>Fill RTT</t>
  </si>
  <si>
    <t>RTT updation upto Design ID.</t>
  </si>
  <si>
    <t>Integration design doc</t>
  </si>
  <si>
    <t>Hardware effort estimation</t>
  </si>
  <si>
    <t>Participate in Wide Band Delphi for Hardware.</t>
  </si>
  <si>
    <t>Wide Band Delfie for Hardware effort estimation</t>
  </si>
  <si>
    <t>review mechanical document with sundeep sir.</t>
  </si>
  <si>
    <t>Resolve the issue in document.</t>
  </si>
  <si>
    <t>Interface control and integration design document</t>
  </si>
  <si>
    <t>Close the issue in design document.</t>
  </si>
  <si>
    <t>Schematic preparation</t>
  </si>
  <si>
    <t>Complete 3D modeling.</t>
  </si>
  <si>
    <t>Effort Estimation of Firmware using Wide Band Delphi method.</t>
  </si>
  <si>
    <t>Update MPP.</t>
  </si>
  <si>
    <t>Update MPP</t>
  </si>
  <si>
    <t>Review of GGE058_INTDSN document</t>
  </si>
  <si>
    <t>Review of interface control and integration design document</t>
  </si>
  <si>
    <t>Re upload INTDSN of GGE 058</t>
  </si>
  <si>
    <t>Review of GGE058_INTDSN document defects and close them</t>
  </si>
  <si>
    <t>Re Review of INTDSN document</t>
  </si>
  <si>
    <t>Bharti Sharma</t>
  </si>
  <si>
    <t>Effort estimation of firmware using in wide band delphi method</t>
  </si>
  <si>
    <t>Status review</t>
  </si>
  <si>
    <t>Participated in Status review meeting.</t>
  </si>
  <si>
    <t>Status review team meetimg</t>
  </si>
  <si>
    <t>Team Meeting for progress status</t>
  </si>
  <si>
    <t>Participate in Wide Band Delphi for Hardware effort estimation.</t>
  </si>
  <si>
    <t>Risk identify for this project</t>
  </si>
  <si>
    <t>Team meeting-Risk Identification</t>
  </si>
  <si>
    <t>Team meeting for risk identification and status review.</t>
  </si>
  <si>
    <t>Team Meeting-Risk Identification</t>
  </si>
  <si>
    <t>Make 2D drawing.</t>
  </si>
  <si>
    <t>Team meeting for project status, risk and schedule.</t>
  </si>
  <si>
    <t>Complete 2D design.</t>
  </si>
  <si>
    <t>participated in team meeting. Discussed about project risks, data back up and restoration.</t>
  </si>
  <si>
    <t>Team meeting -discuss on changes.</t>
  </si>
  <si>
    <t>Participated in team meeting. Discussed about addition of new feature in product</t>
  </si>
  <si>
    <t>Team Meeting for feature addition</t>
  </si>
  <si>
    <t>Meeting with Senior Management for Requirement change request from customer</t>
  </si>
  <si>
    <t>Prepared the RTT with hardwrae designer</t>
  </si>
  <si>
    <t>Teem Meeting for Discuss Customer need Change. Discuss of Functional Specification, Effort Estimations</t>
  </si>
  <si>
    <t>Make Schematic of AC Charger</t>
  </si>
  <si>
    <t>Review of Schematic</t>
  </si>
  <si>
    <t>FS revised for new feature addition</t>
  </si>
  <si>
    <t>Change in Functional specification.</t>
  </si>
  <si>
    <t>Resolved all review defects.</t>
  </si>
  <si>
    <t>Revised functional specifications after change request initiated by customer (addition of battery selection feature)</t>
  </si>
  <si>
    <t>Team Meeting - Functional specification,Design document</t>
  </si>
  <si>
    <t>Meeting on validation schedule intimation and validation review schedule</t>
  </si>
  <si>
    <t>Test case ID 36 tested(discharging at mix load) of GSM052_INTCAS.</t>
  </si>
  <si>
    <t>Test case ID 37 tested(check change over ) of GSM052_INTCAS.</t>
  </si>
  <si>
    <t>Prepare integration test case</t>
  </si>
  <si>
    <t>Upload Integration Test Case</t>
  </si>
  <si>
    <t>Team Meeting with validation engineers and auditor</t>
  </si>
  <si>
    <t>Deendayal Kumawat</t>
  </si>
  <si>
    <t>Review of Int test cases GGE058</t>
  </si>
  <si>
    <t>Review of integration test case</t>
  </si>
  <si>
    <t>Hardware estimation after FS change</t>
  </si>
  <si>
    <t>Effort estimation of Firmware revised for Change Request 1.</t>
  </si>
  <si>
    <t>DAR applied for PCB designing</t>
  </si>
  <si>
    <t>prepare effort estimation after requirement change.</t>
  </si>
  <si>
    <t>Close the audit finding</t>
  </si>
  <si>
    <t>Perform validation test and update results</t>
  </si>
  <si>
    <t>QA,LT ,spec preparation</t>
  </si>
  <si>
    <t>Making of bezel and packing drawing</t>
  </si>
  <si>
    <t>prepare Project plan</t>
  </si>
  <si>
    <t>Revise the project plan and schedule after receive change request from customer for requirement.</t>
  </si>
  <si>
    <t>Review of GGE058_INTCAS document</t>
  </si>
  <si>
    <t>Re Review of Integration test case</t>
  </si>
  <si>
    <t>Prepare integration test case after review</t>
  </si>
  <si>
    <t>Prepare Hardware test case</t>
  </si>
  <si>
    <t>Review of circuit schematic.</t>
  </si>
  <si>
    <t>Revised Hardware design document</t>
  </si>
  <si>
    <t>PCB Desiging</t>
  </si>
  <si>
    <t>Validate the QA report</t>
  </si>
  <si>
    <t>Validate the LT report</t>
  </si>
  <si>
    <t>Validate the User manual</t>
  </si>
  <si>
    <t>Team meeting-discuss about schedule</t>
  </si>
  <si>
    <t>Status review of project</t>
  </si>
  <si>
    <t>Participated in team meeting.Discussed about revised schedule of project activities.</t>
  </si>
  <si>
    <t>prepared Metrics report</t>
  </si>
  <si>
    <t>Filled defect log</t>
  </si>
  <si>
    <t>Wiring diagram updated</t>
  </si>
  <si>
    <t>Resolve Testing and defect LOG.</t>
  </si>
  <si>
    <t>pcb layout complete</t>
  </si>
  <si>
    <t>wiring diagram update</t>
  </si>
  <si>
    <t>Prepare QA and Line test .</t>
  </si>
  <si>
    <t>Perform validation tests and update results</t>
  </si>
  <si>
    <t>Re verify all parameters with new firmware rev. 75KVA R0.2 elf.s</t>
  </si>
  <si>
    <t>PCB layout completer</t>
  </si>
  <si>
    <t>Prepare QA Testing document.</t>
  </si>
  <si>
    <t>As a revieww review the test cases with validation head</t>
  </si>
  <si>
    <t>Validation of BOM</t>
  </si>
  <si>
    <t>Design document review of GDB003</t>
  </si>
  <si>
    <t>Present as author in design review of GDB003.</t>
  </si>
  <si>
    <t>Resolve the defect  generated by validation engineer</t>
  </si>
  <si>
    <t>Review of Revised Firmware Design Document after Change request 01.</t>
  </si>
  <si>
    <t>Resolve the defect of validation engineer</t>
  </si>
  <si>
    <t>Revised Firmware Design document after change request 01. Battery Charging profile and Switch sensing modules modified.</t>
  </si>
  <si>
    <t>Review of Layout of PCB</t>
  </si>
  <si>
    <t>Review Revised Design Documents</t>
  </si>
  <si>
    <t>Prepare GDB003_INTDSN  document</t>
  </si>
  <si>
    <t>Prepare line test document</t>
  </si>
  <si>
    <t>Review of project plan as reviewer</t>
  </si>
  <si>
    <t>Update 3D drawing according to requirement.</t>
  </si>
  <si>
    <t>schedule discuss</t>
  </si>
  <si>
    <t>Status Review meeting</t>
  </si>
  <si>
    <t>prepare project schedule and risk matrix</t>
  </si>
  <si>
    <t>plan review by jalaj sir</t>
  </si>
  <si>
    <t>Review design document with sundeep sir.</t>
  </si>
  <si>
    <t>resolve defects</t>
  </si>
  <si>
    <t>Review of GDB003_INTDSN after change in FS</t>
  </si>
  <si>
    <t>Present as a author for GDB003_INTDSN document</t>
  </si>
  <si>
    <t>Update RTT upto design phase.</t>
  </si>
  <si>
    <t>RTT Updation upto design ID afetr Change request 01</t>
  </si>
  <si>
    <t>RTT updated.</t>
  </si>
  <si>
    <t>Team meeting for prject learnings</t>
  </si>
  <si>
    <t>Team Meeting about project learning</t>
  </si>
  <si>
    <t>Participated in team meeting for to discuss the project learnings.</t>
  </si>
  <si>
    <t>discuss on project learning</t>
  </si>
  <si>
    <t>Team Meeting: Project learning</t>
  </si>
  <si>
    <t>complete 2D drawing</t>
  </si>
  <si>
    <t>Haet run test with solar and mains</t>
  </si>
  <si>
    <t>milestone audit by maninder Sir</t>
  </si>
  <si>
    <t>resolve audit findings</t>
  </si>
  <si>
    <t>Planning Phase Pre-Metrics report audit as Auditor</t>
  </si>
  <si>
    <t>Implemented source code as per functional specifications revised.</t>
  </si>
  <si>
    <t>Heat Run with solar and mains</t>
  </si>
  <si>
    <t>Participated in Team meeting. Discussed about project status.</t>
  </si>
  <si>
    <t>Team meeting on project learning</t>
  </si>
  <si>
    <t>Discuss on current status of project.</t>
  </si>
  <si>
    <t>Team meeting-For prepare mechanical test case today.</t>
  </si>
  <si>
    <t>Team meeting for start design and implementation</t>
  </si>
  <si>
    <t>Review 2D design and fill review sheet.</t>
  </si>
  <si>
    <t>Prepared module test case.</t>
  </si>
  <si>
    <t>Prepared Integration test for GDB003_INTCAS.</t>
  </si>
  <si>
    <t>Prepare mechanical test case.</t>
  </si>
  <si>
    <t>Prepared B.O.M. of AC Charger GGE058</t>
  </si>
  <si>
    <t>Review of Int test cases</t>
  </si>
  <si>
    <t>As an author for GDB003_INTCAS document review.</t>
  </si>
  <si>
    <t>Audit of Validation Phase.</t>
  </si>
  <si>
    <t>With auditor audit the validation process</t>
  </si>
  <si>
    <t>Prepare Matrix Report of planning phase</t>
  </si>
  <si>
    <t>Project facilitation</t>
  </si>
  <si>
    <t>Participated in team meeting. Discussed about project's schedule for further activities.</t>
  </si>
  <si>
    <t>Update Test case ID OUT_1</t>
  </si>
  <si>
    <t>testing of case id out 2,out3,in 2</t>
  </si>
  <si>
    <t>update test id in test case template and validate the system</t>
  </si>
  <si>
    <t>update test id Out_1</t>
  </si>
  <si>
    <t>Prepared validation report after audit findings</t>
  </si>
  <si>
    <t>Preparation of Firmware module test cases.</t>
  </si>
  <si>
    <t>Root Cause Analysis of defects</t>
  </si>
  <si>
    <t>Root Cause Analysis</t>
  </si>
  <si>
    <t>Root Cause analysis with designer</t>
  </si>
  <si>
    <t>Resolved the NCS</t>
  </si>
  <si>
    <t>Prepared project closure report</t>
  </si>
  <si>
    <t>Prepare Hardware design document</t>
  </si>
  <si>
    <t>Review of Project Closure Document including TDP.</t>
  </si>
  <si>
    <t>Firmware test cases got reviewed by Rahul Upadhyay.</t>
  </si>
  <si>
    <t>Review test case.</t>
  </si>
  <si>
    <t>Review test case</t>
  </si>
  <si>
    <t>Preparation of Firmware Design document. Application data flow digram added.</t>
  </si>
  <si>
    <t>Review of HDW_DSN with reviewer.</t>
  </si>
  <si>
    <t>Correct the HDW_DSN document as per reviewer log sheet.and re upload.</t>
  </si>
  <si>
    <t>RTT  updated up to integration phase.</t>
  </si>
  <si>
    <t>RTT updation upto Integration test case ID</t>
  </si>
  <si>
    <t>Review mechanical test case.</t>
  </si>
  <si>
    <t>review test case with SME</t>
  </si>
  <si>
    <t>RTT update.</t>
  </si>
  <si>
    <t>Done Audit of Design and Implementation and Integration Both as Auditor</t>
  </si>
  <si>
    <t>Review with reviewer to close the review and testing defects logs</t>
  </si>
  <si>
    <t>Review the Release note with CA</t>
  </si>
  <si>
    <t>status review</t>
  </si>
  <si>
    <t>Module test and test case update</t>
  </si>
  <si>
    <t>Validation (Charging ,efficiency etc)</t>
  </si>
  <si>
    <t>Participated in team meeting. Discussed about Project Activities Status.</t>
  </si>
  <si>
    <t>Review of Release note.</t>
  </si>
  <si>
    <t xml:space="preserve"> Make Transformer Drawing</t>
  </si>
  <si>
    <t>Implement DAR for SMPS topology selection</t>
  </si>
  <si>
    <t>Project fascilation by Auditor</t>
  </si>
  <si>
    <t>Prepare the metrics report of validation phase</t>
  </si>
  <si>
    <t>Audit the metrics report</t>
  </si>
  <si>
    <t>Review for approval of GGE058_INTCAS  0.4.</t>
  </si>
  <si>
    <t>Prepared design document</t>
  </si>
  <si>
    <t>Participated in kick off meeting as Configuration administrator</t>
  </si>
  <si>
    <t>kick-off meeting</t>
  </si>
  <si>
    <t>Review for defect log of GGE058_INTCAS  0.4</t>
  </si>
  <si>
    <t>Approval of documents and close review</t>
  </si>
  <si>
    <t>Kick off meeting of GGE064</t>
  </si>
  <si>
    <t>Kick-off meeting and intimation of customer needs to team.</t>
  </si>
  <si>
    <t>apply DAR in SMPS topology selection</t>
  </si>
  <si>
    <t>Prepare Master Library</t>
  </si>
  <si>
    <t>Prepare master library</t>
  </si>
  <si>
    <t>Project Closure Audit done.</t>
  </si>
  <si>
    <t>Closed NCs</t>
  </si>
  <si>
    <t>With auditor audit the project closure</t>
  </si>
  <si>
    <t>Kick off Meeting for 2.5KVA model ( Bom Cost Reduction)</t>
  </si>
  <si>
    <t>validation</t>
  </si>
  <si>
    <t>status review meeting</t>
  </si>
  <si>
    <t>Resolve Audit Log.</t>
  </si>
  <si>
    <t>Resolve Testing and defect Log for QA LT Documents.</t>
  </si>
  <si>
    <t>Prepared design of Firmware modules from 3.1 to 3.5</t>
  </si>
  <si>
    <t>Participated in team meeting. Discussed about project activities status, RTT re-look and issues.</t>
  </si>
  <si>
    <t>Verify QA ,LT specification .</t>
  </si>
  <si>
    <t>Review for approval of Hardware Design documents  0.2</t>
  </si>
  <si>
    <t>Review of HDW_DSN with reviewer</t>
  </si>
  <si>
    <t>Module test case.</t>
  </si>
  <si>
    <t>Resolve the issue log against HDW_DSN Review and re upload the document after correction.</t>
  </si>
  <si>
    <t>Prepared logical flow of firmware modules.</t>
  </si>
  <si>
    <t>Develop functional specification</t>
  </si>
  <si>
    <t>requirement capture and elecitation</t>
  </si>
  <si>
    <t>Requirement capture and elicitation.</t>
  </si>
  <si>
    <t>RTT Update</t>
  </si>
  <si>
    <t>Update rtt</t>
  </si>
  <si>
    <t>Review of RTT</t>
  </si>
  <si>
    <t>Review of Firmware Design with Firmware Functional Head.</t>
  </si>
  <si>
    <t>Validation Testing</t>
  </si>
  <si>
    <t>validation testing</t>
  </si>
  <si>
    <t>verification BOM</t>
  </si>
  <si>
    <t>Participated in team meeting. Discussed project's activities status.</t>
  </si>
  <si>
    <t>resolve the issues.</t>
  </si>
  <si>
    <t>Team meeting for status review.</t>
  </si>
  <si>
    <t>Participated in team meeting. Discussed about project's activities status.</t>
  </si>
  <si>
    <t>Prepare Matrix Report.</t>
  </si>
  <si>
    <t>Correct Matrix report.</t>
  </si>
  <si>
    <t>Integration and testing</t>
  </si>
  <si>
    <t>Audit of Design and Implementation Phase as Auditor</t>
  </si>
  <si>
    <t>Prepare design for chassis as per PCB orientation with mechanical designer.</t>
  </si>
  <si>
    <t>Status review Meeting</t>
  </si>
  <si>
    <t>Auditee for Design and Implementation Phase Audit</t>
  </si>
  <si>
    <t>With auditor audit the design and implementation phase</t>
  </si>
  <si>
    <t>With auditor review the metrics report</t>
  </si>
  <si>
    <t>Prepare the matrix report</t>
  </si>
  <si>
    <t>Review the hardware design document</t>
  </si>
  <si>
    <t>Milestone review with senior managment</t>
  </si>
  <si>
    <t>update task and schdule</t>
  </si>
  <si>
    <t>Resolve all the NCs</t>
  </si>
  <si>
    <t>Resolve Audit NC of Design and Implementation phase</t>
  </si>
  <si>
    <t>Prepare the Metrics report</t>
  </si>
  <si>
    <t>Back up Data restoration testing with project manager.</t>
  </si>
  <si>
    <t>Metrics Report Audit</t>
  </si>
  <si>
    <t>Discuss about involvement in integration phase.</t>
  </si>
  <si>
    <t>Participated in team meeting. Discussed about project activities status.</t>
  </si>
  <si>
    <t>3D design of enclouser</t>
  </si>
  <si>
    <t>Participated in team meeting. Discussed about project activities status review.</t>
  </si>
  <si>
    <t>make system test cases</t>
  </si>
  <si>
    <t>Prepare Trouble shooting Document.</t>
  </si>
  <si>
    <t>Resolve testing and defect log regrading  BOM.</t>
  </si>
  <si>
    <t>Team Meeting before start integration phase</t>
  </si>
  <si>
    <t>Prepare hardware test case.</t>
  </si>
  <si>
    <t>Review of Hardware test case of battery Equalizer.</t>
  </si>
  <si>
    <t>Review with reviewer of Hardware test case of battery Equalizer.</t>
  </si>
  <si>
    <t>Re upload hardware test case after Update.</t>
  </si>
  <si>
    <t>Milestone Review of Design and Implementation Phase</t>
  </si>
  <si>
    <t>Review of system test cases</t>
  </si>
  <si>
    <t>Prepare Functional Specifications</t>
  </si>
  <si>
    <t>Peer Review for system test cases</t>
  </si>
  <si>
    <t>close defects of system test cases</t>
  </si>
  <si>
    <t>Integrate the system.</t>
  </si>
  <si>
    <t>Preparation of FS</t>
  </si>
  <si>
    <t>Review of Functional specifications</t>
  </si>
  <si>
    <t>validation testing (charging and other profiles)</t>
  </si>
  <si>
    <t>Team Meeting about status</t>
  </si>
  <si>
    <t>Participated in team meeting. Discussed about current status of project.</t>
  </si>
  <si>
    <t>Integration Test Start</t>
  </si>
  <si>
    <t>Preparation of Firmware test cases.</t>
  </si>
  <si>
    <t>Make 3D modeling</t>
  </si>
  <si>
    <t>3D modeling</t>
  </si>
  <si>
    <t>Shcematic design of solar charger</t>
  </si>
  <si>
    <t>Validation testing</t>
  </si>
  <si>
    <t>Team meeting discuss about schedule and project status.</t>
  </si>
  <si>
    <t>Kick off meeting with all stakeholders. in this meeting give all the information to all stakeholders, and technical discussion with functional heads on the basis of customer inputs.</t>
  </si>
  <si>
    <t>Team Selection &amp; Technical Discussion regarding functional specifications.</t>
  </si>
  <si>
    <t>GGE055 Audit of RD Phase</t>
  </si>
  <si>
    <t>Prepare plan document.Budget requirement,Resource plan,11. Configuration &amp; Data Management Plan.</t>
  </si>
  <si>
    <t>Planning for Risk Management Plan Configuration &amp; Data Management Plan Backup and Restoration Plan Audit Plan Frequency of Project monitoring</t>
  </si>
  <si>
    <t>Planning for  Senior Management Review Plan Measurement and Analysis Plan Escalation Roles &amp; Responsibility Matrix</t>
  </si>
  <si>
    <t>Review for planning</t>
  </si>
  <si>
    <t>Team meeting. Discuss about Risks of the project based on schedule cost and quality.</t>
  </si>
  <si>
    <t>Team meeting : Risk identification</t>
  </si>
  <si>
    <t>Team Meeting related to validation phase. I have to start preparing validation test cases.</t>
  </si>
  <si>
    <t>Team Meeting  discussed about risk matrix</t>
  </si>
  <si>
    <t>Team meeting  Discuss Design document. and test case.</t>
  </si>
  <si>
    <t>Planning Phase Re-Audit of MOM &amp; Closure of Previous NCs</t>
  </si>
  <si>
    <t>Resolved all the NCs</t>
  </si>
  <si>
    <t>team meeting  project schedule discussion.</t>
  </si>
  <si>
    <t>Team Meeting. Discussion done on Test Cases Preparation. required parameters discussed for preparation of test cases. like transformer details.</t>
  </si>
  <si>
    <t>Test cases preparation according to discussed specifications.</t>
  </si>
  <si>
    <t>Review the system test cases "GGE055_SYSCAS"</t>
  </si>
  <si>
    <t>review of system test case done. Reviewer - Jalaj Mathur</t>
  </si>
  <si>
    <t>firmware Code writing</t>
  </si>
  <si>
    <t>firmware code writing</t>
  </si>
  <si>
    <t>With firmware designer test the firmware and hardware</t>
  </si>
  <si>
    <t>Review PCB layout with PCB designer</t>
  </si>
  <si>
    <t>Performed validation of system: 1. Changeover 2. Switching and synchronization 3. Cold start and jerk load etc.</t>
  </si>
  <si>
    <t>Performed validation of system: 1. Battery discharging profile. 2. RTT updation. 3. Tuning parameters as per specifications.  4. Other important electrical parameters.</t>
  </si>
  <si>
    <t>With auditor as auditee participated in audit  of D&amp;I phase</t>
  </si>
  <si>
    <t>Final Validation Report made on behalf of succesfull of all system test cases</t>
  </si>
  <si>
    <t>Design the electrical parameter of power transformer.</t>
  </si>
  <si>
    <t>RRT filled with System case ids respect to requiremnt and send to project manager</t>
  </si>
  <si>
    <t>With reviwer review participated in PCB review</t>
  </si>
  <si>
    <t>Power transformer designing</t>
  </si>
  <si>
    <t>Test the system as per integration test case</t>
  </si>
  <si>
    <t xml:space="preserve">Test the system as per integratin test </t>
  </si>
  <si>
    <t>Prepare RTT</t>
  </si>
  <si>
    <t>Participated in team meeting: 1. Discussion related to project learnings.</t>
  </si>
  <si>
    <t>Project lerning</t>
  </si>
  <si>
    <t>project lerning</t>
  </si>
  <si>
    <t>Validation &amp; Closure Audit</t>
  </si>
  <si>
    <t>Kick off meeting. describe customer requirements all stakeholders. Finalize the effort and schedule of RD</t>
  </si>
  <si>
    <t>Participated in Kick-off meeting: 1. Discussion related to project initiation. 2. Project library creation.</t>
  </si>
  <si>
    <t>Kick off meeting. Analyse customer needs and commit for requirement development. FS completion date : 4/1/16</t>
  </si>
  <si>
    <t>kick off meeting  assign the work by project manager competitor analysis, make function specification</t>
  </si>
  <si>
    <t>As validation manager attend kick off meeting and discuss technical aspects also.</t>
  </si>
  <si>
    <t>search and study Function specification of competitor on internet</t>
  </si>
  <si>
    <t>Analyse Customer requirements and Develop Function specification of Product with Hardware Designer.</t>
  </si>
  <si>
    <t>Resolve the defect of functional specification. add new requirement in functional specification.</t>
  </si>
  <si>
    <t>Change in functional specification after senior management review. change peak charging current voltage range</t>
  </si>
  <si>
    <t>change in function specification with firmware designer after senior management review.</t>
  </si>
  <si>
    <t>prepared RTT  with firmware designer</t>
  </si>
  <si>
    <t>RTT review</t>
  </si>
  <si>
    <t>Meeting with senior management.  Project is on hold and auditor want project status and audit  schedule, so now the senior management decide to close project.</t>
  </si>
  <si>
    <t>Team Meeting Planning Phase Planned end Date : 19/1/2016 firmware effort estimation will be done : 11/1/2016  meeting for Risk Matrix meeting on 11/1/16 Project status and Review meeting schedule decided every Saturday 12PM.</t>
  </si>
  <si>
    <t>Team meeting  discuss about effort estimation complete, risk matrix, issue log , time sheet etc.</t>
  </si>
  <si>
    <t>Before planning meeting to discuss over following  Effort Estimation Risk identification Special tools required Audit of planning phase</t>
  </si>
  <si>
    <t>Team meeting:- Decision on following point  1. Effort estimation(HW) will complete on 11/01/2016  2. Team meeting on Risk Matrix will 11/01/2016  3. Team meeting on every Saturday (12PM to 1PM) in week  4. There are not special tool required in this project as per team Decision.  5. Planing phase will Complete on 19/01/2016  6. PPQA Schedule Decision</t>
  </si>
  <si>
    <t>Firmware Complexity estimation</t>
  </si>
  <si>
    <t>participate in wideband Delphi process for final Hardware effort estimation.</t>
  </si>
  <si>
    <t>Participated in team meeting: 1. Modification in Project config library.</t>
  </si>
  <si>
    <t>Prepared conceptual design of GGS028.</t>
  </si>
  <si>
    <t>Weekly Team Meeting.  Discussion on-  Risks  Functional Specifications</t>
  </si>
  <si>
    <t>Review meeting with team Discussion on risk discussion of FS which may be change Discussion on audit which may be change due to change in FS</t>
  </si>
  <si>
    <t>Team meeting on risk analysis of project. Risk may be power transformer, pcb and chassis designing.</t>
  </si>
  <si>
    <t>Weekly Team meeting:- Discuss on following point  1. Discuss on Function specification.      2. Discuss on Risk analysis. There are 3 type of risk found in this project according to team. A. Power Transformer,  B. Solar charger PCB, C. Chassis.   3. Team meeting will  2 times in Week.</t>
  </si>
  <si>
    <t xml:space="preserve"> Participate as a Reviewee in Review of conceptual design.</t>
  </si>
  <si>
    <t>1. Output capacitor add in conceptual design. 2. All Arrows and Direction of Arrow  in conceptual design .</t>
  </si>
  <si>
    <t>Participate as a Reviewee in Review of defect log of conceptual design.</t>
  </si>
  <si>
    <t>Requirement Development and FS making after change request come</t>
  </si>
  <si>
    <t>complexity estimation of firmware using standard guide line of QMS.</t>
  </si>
  <si>
    <t>Power Transformer Description make for 2.5KVA</t>
  </si>
  <si>
    <t>Participated for Hardware Estimation.  Design &amp; Implementation Phase</t>
  </si>
  <si>
    <t>Complexity estimation of Requirements</t>
  </si>
  <si>
    <t>Discussion regarding to design and schematic</t>
  </si>
  <si>
    <t>Team Meeting to discuss over
Conceptual Design
Design Documents etc</t>
  </si>
  <si>
    <t>Team meeting regarding to design documentation</t>
  </si>
  <si>
    <t>select SMPS Components, Description of design flow</t>
  </si>
  <si>
    <t>work on Testing Result and Failure modes and Mitigation steps of SMPS Design, Description of Power Section Module (H-Bridge)</t>
  </si>
  <si>
    <t>Firmware Code Writing and Test case preparation</t>
  </si>
  <si>
    <t>Weekly Team meeting:- Discuss on following point 1. Discussion on design document &amp; it Review  2. Discuss on Power Transformer. 3. Discuss on Mechanical &amp; PCB design with mechanical &amp; PCB Designer</t>
  </si>
  <si>
    <t>Work on controller card and all sensing module in hardware design documents</t>
  </si>
  <si>
    <t>write code for 100hz pwm generation and solar voltage sensing.</t>
  </si>
  <si>
    <t>re- define energy saver module and call other place because the scheduling time is large.</t>
  </si>
  <si>
    <t>Kick-Off Meeting Project Description and completion date</t>
  </si>
  <si>
    <t>Team Meeting Project Status &amp; Risk Discussion</t>
  </si>
  <si>
    <t>as a Author in peer Review of Schematic  of GGS028</t>
  </si>
  <si>
    <t>Team Meeting discussion about Project Status</t>
  </si>
  <si>
    <t>Resolve the review finding</t>
  </si>
  <si>
    <t>Check Mother PCB &amp; DC-DC PCB at Testing Zig.</t>
  </si>
  <si>
    <t>Check IGBT Driver PCBs,SCR Driver PCB,Transformer PCB &amp;LCD Driver PCB at Testing Zig.</t>
  </si>
  <si>
    <t>Integrate to the chassis(Assemble IGBT &amp; SCR on Heatsink,DC Capacitors &amp; Air Blower on Heatsink mounting plate).</t>
  </si>
  <si>
    <t>Integrate to the chassis(Copper plates on IGBT &amp; DC capacitors,DC MCCB &amp; Rotary AT MCCB mounting box)</t>
  </si>
  <si>
    <t>Functional Specification Completed with team members.</t>
  </si>
  <si>
    <t>Functional Specification Preparation with Team members</t>
  </si>
  <si>
    <t>review team meeting, pcb layout</t>
  </si>
  <si>
    <t>Brief discuss:-Process of Validation test cases</t>
  </si>
  <si>
    <t>Discussion over
tailoring, Risks etc
Audit date for Integration phase 23 feb</t>
  </si>
  <si>
    <t>Team meeting about Project status,Integration &amp; Risk.</t>
  </si>
  <si>
    <t>RD Phase Audit (Before Metrics Report)</t>
  </si>
  <si>
    <t xml:space="preserve">  Team meeting discuss about Project status,Integration test case.</t>
  </si>
  <si>
    <t>Coduct audit for Design and Integration Phase.</t>
  </si>
  <si>
    <t>Kick off Meeting for Project.</t>
  </si>
  <si>
    <t>Start working on system test cases . one test case out 1 fill in test case template.</t>
  </si>
  <si>
    <t>Team meeting  discuss on RTT and packing box document.</t>
  </si>
  <si>
    <t>Team Meeting Discussed for pending Documents</t>
  </si>
  <si>
    <t>Team Meeting for FS status review and issues</t>
  </si>
  <si>
    <t>Determine complexity of hardware</t>
  </si>
  <si>
    <t>Attended Kick-Off Meeting Project Description &amp; End Date</t>
  </si>
  <si>
    <t>Complexity determination and estimate the effort with sundeep jain</t>
  </si>
  <si>
    <t>Pawan kuamr has not user name or any ID. So his work filled by my user ID Components placement on solar charger PCB</t>
  </si>
  <si>
    <t>competitor analysis</t>
  </si>
  <si>
    <t>Preliminary project planning</t>
  </si>
  <si>
    <t>Functional specification preparation.</t>
  </si>
  <si>
    <t>Prepared RTT with firmawre designer also related ID fill of mechanical</t>
  </si>
  <si>
    <t>Integrate the system</t>
  </si>
  <si>
    <t>Review the interface and integration sheet</t>
  </si>
  <si>
    <t>Audit of RD Phase before Metrics Report.</t>
  </si>
  <si>
    <t>Start the testing after integration. One defect found defect log feed against firmware designer</t>
  </si>
  <si>
    <t>Project schedule preparation</t>
  </si>
  <si>
    <t>Metrics report preparation &amp; finalize upto RD phase</t>
  </si>
  <si>
    <t>Audit of RD Phase after Metrics Report.</t>
  </si>
  <si>
    <t>Feature analysis and comparison of similar products available in market. Report (GGE063_CompetitorAnalsis) is placed at  \\192.168.100.9\ProcessDoc\R&amp;D Data\GGE063\Other_Docs</t>
  </si>
  <si>
    <t>Testing against GGS028_INTCAS and  defect log feed against firmware designer</t>
  </si>
  <si>
    <t>Team Meeting. Tentative Date for Audit-3/3/2016</t>
  </si>
  <si>
    <t>Team meeting  for Status and estimation</t>
  </si>
  <si>
    <t>Resolve Overload Percentage defect. re-check of firmware for PV fault problem and charging current problem but no prblem found</t>
  </si>
  <si>
    <t>Wile band Delphi on hardware complexity</t>
  </si>
  <si>
    <t>Decide complexity for effort estimation.</t>
  </si>
  <si>
    <t>Team meeting for convey the team to start D&amp;I</t>
  </si>
  <si>
    <t>check LCD parameter &amp; charging profile with only solar and solar + mains against GGS028_INTCAS and defect log feed against firmware designer</t>
  </si>
  <si>
    <t>check solar charger Frequency,solar high, current capacity on 2400W solar panel, recheck LCD parameter against GGS028_INTCAS and defect log feed against firmware designer</t>
  </si>
  <si>
    <t>Change in Need ID 14 Elaboration and make it testable</t>
  </si>
  <si>
    <t>Prepared training plan Estimates of project effort Project life cycle creat</t>
  </si>
  <si>
    <t>Team Meeting
Discussion over Risks, Schedule, Issues.</t>
  </si>
  <si>
    <t>check system efficiency, switches working,Drain Voltage of Mosfet , short circuits, current peak from single MOSFET, transfer time(change Over Time)</t>
  </si>
  <si>
    <t>Discuss on schedule and risk.</t>
  </si>
  <si>
    <t>Planning for Work Environment Budget for additional NRE Training Configuration Management Audit Review Project Monitoring Measurement Testing</t>
  </si>
  <si>
    <t>Complete validation test case</t>
  </si>
  <si>
    <t>Review of project plan</t>
  </si>
  <si>
    <t>Audit of Planning Phase.</t>
  </si>
  <si>
    <t>Firmware Testing(Check charging current,boost voltage &amp; Float Voltage)</t>
  </si>
  <si>
    <t>Team Meeting.
Discussion over Risks, Tasks. Intimation of Plan approval.</t>
  </si>
  <si>
    <t>Status Review meeting in D&amp;I Phase</t>
  </si>
  <si>
    <t>Audit of Metrics Report of Planning Phase.</t>
  </si>
  <si>
    <t>Team Meeting discussed about risk prepare risk matrix Mitigation planing Contingency planning Progress in designing</t>
  </si>
  <si>
    <t>resolve review defect .</t>
  </si>
  <si>
    <t>Test case ID 23,24&amp;25 Performed(harging current, boost voltage check, MCCB trip Protection) of GSM052_INTCAS</t>
  </si>
  <si>
    <t>check charging Profile from solar with software revision 04</t>
  </si>
  <si>
    <t>Closure of Audit NCs of Planning Phase.</t>
  </si>
  <si>
    <t>Team Meeting for discuss about effort estimation.</t>
  </si>
  <si>
    <t>prepared RTT</t>
  </si>
  <si>
    <t>Prepare wiring diagram</t>
  </si>
  <si>
    <t>Team Meeting.</t>
  </si>
  <si>
    <t>Team Meeting         Intimated for validation</t>
  </si>
  <si>
    <t>Design Document Re-Review &amp; closed</t>
  </si>
  <si>
    <t>Collected all Source code modules from existing 1500 VA model. Created an initial copy of source code in SVN repository.</t>
  </si>
  <si>
    <t>With auditor audit the D&amp;I and Integration phase</t>
  </si>
  <si>
    <t>Audit of Both Design and Integration Phases.</t>
  </si>
  <si>
    <t>Test Case ID 35 performed( check temp of heatsink, core &amp; coil during charging cycle) of GSM052_INTCAS.</t>
  </si>
  <si>
    <t>Test Case ID 36 performed( check temp of heatsink, core &amp; coil during Discharging at resistive load) of GSM052_INTCAS</t>
  </si>
  <si>
    <t>team meeting  risk identification Action item tracking Project status review</t>
  </si>
  <si>
    <t>team meeting risk identification and status review</t>
  </si>
  <si>
    <t>Project Status Review , Risk identification Team meeting</t>
  </si>
  <si>
    <t>Teem Meeting For Project Status, Schedule &amp; Action</t>
  </si>
  <si>
    <t>Team meeting for Intimation of change request to team</t>
  </si>
  <si>
    <t>Update Schematic</t>
  </si>
  <si>
    <t>Team Meeting.
Information of new feature addition.</t>
  </si>
  <si>
    <t>Closure of NC of Design and Integration Phase.</t>
  </si>
  <si>
    <t>Team Meeting
-Validation Start
-Tentative Date for audit:11/3/2016</t>
  </si>
  <si>
    <t>Team meeting:-                      Validation work distributed</t>
  </si>
  <si>
    <t>Team Meeting participated as a validation engineer. Distribute the work</t>
  </si>
  <si>
    <t>Make bezel and packing drawing</t>
  </si>
  <si>
    <t>Filled system case id</t>
  </si>
  <si>
    <t>Team Meeting
Project Status Update</t>
  </si>
  <si>
    <t>Status review meeting 9/3/16 after revise plan and schedule due to change in requirement</t>
  </si>
  <si>
    <t>Test case ID 34 tested of GSM052_INTCAS &amp; Re verify to system.</t>
  </si>
  <si>
    <t>Test short circuit &amp; Re verify to the system ( Test case ID 34 completed)</t>
  </si>
  <si>
    <t>Revised Firmware Design Document after</t>
  </si>
  <si>
    <t>Audit of Metrics Report of Design and Integration Phase. Project facilitation</t>
  </si>
  <si>
    <t xml:space="preserve"> Closed two defect log ,perform test case and update results</t>
  </si>
  <si>
    <t>Team Meeting.
Discussion Over Project Learnings</t>
  </si>
  <si>
    <t>Test System on in house pcb</t>
  </si>
  <si>
    <t>Team Meeting Decided Process Facilitation to be done on 14 March, 2016</t>
  </si>
  <si>
    <t>Team Meeting for PCB Development details.</t>
  </si>
  <si>
    <t>1.Meeting done with team members. 2.Project manager shares current status of project and tell to create system test case. 3.Discussion done on some technical data.</t>
  </si>
  <si>
    <t>Team Meeting  Reviewed all the designed work Brief the project to validation engineer PPQA member provide facilitating at mon</t>
  </si>
  <si>
    <t>Team Meeting: Start of D&amp;I Phase &amp; Audit schedule</t>
  </si>
  <si>
    <t>Start D&amp;I phase</t>
  </si>
  <si>
    <t>Prepare B.O.M.</t>
  </si>
  <si>
    <t xml:space="preserve">  update test id in test case template and validate the system</t>
  </si>
  <si>
    <t>Done Audit of Design &amp; Implementation and Integration as Auditor</t>
  </si>
  <si>
    <t>Done Audit of Design &amp; Implementation and Integration as Auditee.</t>
  </si>
  <si>
    <t>Team meeting : Status Review Risk monitoring Issue discussion</t>
  </si>
  <si>
    <t>Firmware module testing</t>
  </si>
  <si>
    <t>Update the harness drawing number in the release note and also update the rev history</t>
  </si>
  <si>
    <t>Process Facilitation done with Designer: Discussed about the Design Procedure and Other Related artefacts</t>
  </si>
  <si>
    <t>Process facilitation</t>
  </si>
  <si>
    <t>On behalf of pawan sharma filling this time.  Component mounting on pCB</t>
  </si>
  <si>
    <t>Team meeting regarding: Status review Risk monitoring Issue RTT</t>
  </si>
  <si>
    <t>Requirement capture and elicitation</t>
  </si>
  <si>
    <t>Audit of Design and Implemenation &amp; Integration metrics report
as Auditor</t>
  </si>
  <si>
    <t>Team Meeting.
Intimated for Audit.</t>
  </si>
  <si>
    <t>discuss on status start of intigration</t>
  </si>
  <si>
    <t>Team Meeting: Status Review Intimation of Risk mitigated Audit timing for D&amp;I phase</t>
  </si>
  <si>
    <t>Integration &amp; Testing</t>
  </si>
  <si>
    <t>Audit of Design and Implemenation &amp; Integration metrics report as Auditee.</t>
  </si>
  <si>
    <t>Team Meeting: Project Status Review &amp; Audit Schedule</t>
  </si>
  <si>
    <t>Audit of D&amp;I phase done.</t>
  </si>
  <si>
    <t>Review of 2D &amp; 3D modelling mechanical drawing</t>
  </si>
  <si>
    <t>Review the BOM</t>
  </si>
  <si>
    <t>Backup restoration (on site) review with Rajkumar (CA) of below artefacts : At Rajkumar computer : firmware S file "GDB003_01" User support docs "QA", "LT" &amp; "Specs" At Tarun Sir Computer : Source code "LCD_ARY.H"</t>
  </si>
  <si>
    <t>Preparation of Metrics Report upto D&amp;I phase</t>
  </si>
  <si>
    <t>Audit of Metrics Report of D&amp;I Phase.</t>
  </si>
  <si>
    <t>Team meeting Discussion on risk  Integartion</t>
  </si>
  <si>
    <t>Team Meeting: Project Risk  &amp; Team Tasks</t>
  </si>
  <si>
    <t>Team Meeting Status Review D&amp;I phase audit NCs discussion</t>
  </si>
  <si>
    <t>Milestone review with Senior Management</t>
  </si>
  <si>
    <t>Prepare Function specification</t>
  </si>
  <si>
    <t>Preparation of Functional Specification in R&amp;D phase.</t>
  </si>
  <si>
    <t>Present as an author for Function Specification review</t>
  </si>
  <si>
    <t>Team Meeting Status Review Issues regarding</t>
  </si>
  <si>
    <t>Status Review of project</t>
  </si>
  <si>
    <t>REsolution of defect regarding battery voltage in TT mode.</t>
  </si>
  <si>
    <t>Resolve defects in fuction specification</t>
  </si>
  <si>
    <t>team meeting on project validation status and audit plan</t>
  </si>
  <si>
    <t>Team Meeting:
Audit Schedule Confirmation
and Project Status Review</t>
  </si>
  <si>
    <t>Milestone review for Integration phase.</t>
  </si>
  <si>
    <t>GSM052_FUNSPC(0.2)</t>
  </si>
  <si>
    <t>(0.3)</t>
  </si>
  <si>
    <t>0</t>
  </si>
  <si>
    <t>4</t>
  </si>
  <si>
    <t>FUNSPC Point 1: Load factor should be written in place of Power Factor and Load factor should be 0.75.                                                                                    FUNSPC Point 17.07: Mains cut in UPS mode should be 180V +/- 10V in place of 165V +/- 10V.</t>
  </si>
  <si>
    <t>Now correct the spelling and other finding.</t>
  </si>
  <si>
    <t>2.2</t>
  </si>
  <si>
    <t>We correct all spelling mistake.</t>
  </si>
  <si>
    <t>GSM052_PRJPLN</t>
  </si>
  <si>
    <t>S.No 13 of PLREV: Software tools are not kind of Machine.</t>
  </si>
  <si>
    <t>S.No 13 of PLREV: Change in Planning document Resource description Software tool instead of Machine.</t>
  </si>
  <si>
    <t>S.No. :23 of PRJPL : No any team meeting found</t>
  </si>
  <si>
    <t>We will take care about team meeting in next phase.</t>
  </si>
  <si>
    <t>S.No.14: PRJPLN : Schedule not prepared.</t>
  </si>
  <si>
    <t>S.No.14: PRJPLN : Schedule prepared and uploaded at share point.</t>
  </si>
  <si>
    <t>GGE055_PRJPLN</t>
  </si>
  <si>
    <t>Schedule now prepared and updated at share point</t>
  </si>
  <si>
    <t>Table of content not updated.</t>
  </si>
  <si>
    <t>Table now updated</t>
  </si>
  <si>
    <t>Final estimation now archived in share point</t>
  </si>
  <si>
    <t>NRE expenditure not planned. project has new PCB developmet NRE expenditure.</t>
  </si>
  <si>
    <t>Add PCB development cost as NRE</t>
  </si>
  <si>
    <t>Firmware, Mechanical, and Hardware designing software tool not planned in resource plan and schedule not proper.</t>
  </si>
  <si>
    <t>Now plan the hardware design tool, firm ware design tool,mechanical design tool,PCB design tool</t>
  </si>
  <si>
    <t>Now take proper action in mitigation plan.</t>
  </si>
  <si>
    <t>Now changed</t>
  </si>
  <si>
    <t>Human Resource planning not complete. validation team member not identified.</t>
  </si>
  <si>
    <t>Validation team member now in schedule</t>
  </si>
  <si>
    <t>Hardware test cases</t>
  </si>
  <si>
    <t>Resolve issue mention above.</t>
  </si>
  <si>
    <t>Hardware test case</t>
  </si>
  <si>
    <t>Resolve all issue mention above.</t>
  </si>
  <si>
    <t>Hardware design document</t>
  </si>
  <si>
    <t>Review and not finding any defects</t>
  </si>
  <si>
    <t>Hardware Test Case</t>
  </si>
  <si>
    <t>Need to elongation of sub-module and testing steps.</t>
  </si>
  <si>
    <t>Module is divided in sub module and testing steps are mentioned for the same.</t>
  </si>
  <si>
    <t>GGE055_FRWDSN (0.1)</t>
  </si>
  <si>
    <t>No findings.</t>
  </si>
  <si>
    <t>GGE055_FWTCAS(0.1)</t>
  </si>
  <si>
    <t>GGE055_SYSCAS &amp; 0.1</t>
  </si>
  <si>
    <t>In test case ID OUT_2 some of expected result values missing such that Full load battery current and Full load Output AC current. It should have some values.</t>
  </si>
  <si>
    <t>Reference format for efficiency tests not attached with test cases.</t>
  </si>
  <si>
    <t>Reference format uploaded in sharepoint</t>
  </si>
  <si>
    <t>In test case id OUT_3 testing steps shows above steps, which steps it is not mentioned, that seems not clear about steps, so mentioned steps which refer. In expected result battery voltage tolerance written +2%, it should be ±2%.</t>
  </si>
  <si>
    <t>Mentioned what steps to refer by this way -(Refer Steps of OUT_2)</t>
  </si>
  <si>
    <t>In test case Id PRT_4 steps shows only check low battery warning, there is no step to check low battery cut, whereas expected result shows both specs. And also no load condition how check not mentioned in steps. It should check by DC power supply.</t>
  </si>
  <si>
    <t>In test case id PRT_5 : 1. Expected result not shows recovery from temperature protection 2. At what temperature DC FAN gets OFF</t>
  </si>
  <si>
    <t>1. Recovery from temperature protection added. 2. temperature of DC FAN OFF added</t>
  </si>
  <si>
    <t>In test id IN_6 expected result not shows time to maintain gravity of battery, whereas we test that.</t>
  </si>
  <si>
    <t>maintain gravity of battery provided</t>
  </si>
  <si>
    <t>Hardware Design Document</t>
  </si>
  <si>
    <t>Switch function is missing in design document.</t>
  </si>
  <si>
    <t>Resolve this defect, add an extra module in hardware design documents.</t>
  </si>
  <si>
    <t>Wiring Diagram 1.0</t>
  </si>
  <si>
    <t>Battery voltage mentioned 12V</t>
  </si>
  <si>
    <t>Wiring Diagram 1.1</t>
  </si>
  <si>
    <t>product code Description written in document is GSM30 instead of GGE055</t>
  </si>
  <si>
    <t>product code Description now mentioned in  document is  GGE055</t>
  </si>
  <si>
    <t>GGE055 Rev 0.elf.S</t>
  </si>
  <si>
    <t>GGE055 Rev 1.elf.S</t>
  </si>
  <si>
    <t>1989_00</t>
  </si>
  <si>
    <t>No defects found.</t>
  </si>
  <si>
    <t>Design document</t>
  </si>
  <si>
    <t>During review mechanical design document found no nay defect</t>
  </si>
  <si>
    <t>Design test cases</t>
  </si>
  <si>
    <t>Review design test cases found no nay defect</t>
  </si>
  <si>
    <t>some minor issues came during testing,now resolved</t>
  </si>
  <si>
    <t>GGE055_RELNOT (0.1)</t>
  </si>
  <si>
    <t>GGS028_FUNSPC</t>
  </si>
  <si>
    <t>Transfer time in UPS and normal mode not identified.</t>
  </si>
  <si>
    <t>New requirement Change over time is analysed and developed for product.</t>
  </si>
  <si>
    <t>GGS028_REQTRT</t>
  </si>
  <si>
    <t>Found no any defect in RTT</t>
  </si>
  <si>
    <t>Hardware conceptual design</t>
  </si>
  <si>
    <t>GGS028_PRJPLN</t>
  </si>
  <si>
    <t>Content table not updated</t>
  </si>
  <si>
    <t>Now edited</t>
  </si>
  <si>
    <t>Vision now elaborated, now can see the what will be the effect on the present market after releasing of this project</t>
  </si>
  <si>
    <t>Remove from plan</t>
  </si>
  <si>
    <t>Review Plan Frequency is not properly define.</t>
  </si>
  <si>
    <t>Mechanical estimation team member is not available in estimation team.</t>
  </si>
  <si>
    <t>Bhart kakra as mechanical estimator missed in the plan now updated</t>
  </si>
  <si>
    <t>Project Schedule not complete</t>
  </si>
  <si>
    <t>GSM052_HDWDSN(0.4)</t>
  </si>
  <si>
    <t>(0.5)</t>
  </si>
  <si>
    <t>GGS028_FRWDSN (0.1)</t>
  </si>
  <si>
    <t>Logical flow of modules 3.5 to 3.23 were absent.</t>
  </si>
  <si>
    <t>Solar Input (Voltage) sensing is not mentioned in DC voltage sensing module.</t>
  </si>
  <si>
    <t>Solar Sensing is not doing in solar sensing, it doing by GPIO, taht mention is Solar fault detection.</t>
  </si>
  <si>
    <t>Incoming section in module should include name of reference code library from which it is being imported.</t>
  </si>
  <si>
    <t>Library not available but reference product name updated</t>
  </si>
  <si>
    <t>Numbering and bullets is not aligned.</t>
  </si>
  <si>
    <t>GSM052_FRWDSN (0.2)</t>
  </si>
  <si>
    <t>Logical flow for modules 3.5 to 3.21 is not present.</t>
  </si>
  <si>
    <t>0.4</t>
  </si>
  <si>
    <t>In this system we also measure output AC current of all phases. But AC current sensing is not covered in design.</t>
  </si>
  <si>
    <t>AC current sensing is also consider in AC voltage sensing because both are same.</t>
  </si>
  <si>
    <t>To provide communication (optional) with PC we have to use UART Comm. module. But is not described in design.</t>
  </si>
  <si>
    <t>Add Communication Module</t>
  </si>
  <si>
    <t>Incoming component reference production now mention in all module</t>
  </si>
  <si>
    <t>GGS028_FWTCAS (0.1)</t>
  </si>
  <si>
    <t>Date consider as per actual date and testing has completed</t>
  </si>
  <si>
    <t>GGS028_FWTCAS (0.2)</t>
  </si>
  <si>
    <t>GGS028_HWDSN</t>
  </si>
  <si>
    <t>Power supply logic flow not correct explanation</t>
  </si>
  <si>
    <t>change in power supply logic write diode in place of I/P Rectifie</t>
  </si>
  <si>
    <t>complete failure mode is not given in power supply section</t>
  </si>
  <si>
    <t>H-Bride reuse as it is, so there are not required more failure</t>
  </si>
  <si>
    <t>Solar charger Failure mode some points missing</t>
  </si>
  <si>
    <t>GGS028_SCHEMATIC</t>
  </si>
  <si>
    <t>Review schematic of GGS028 ,found no defect</t>
  </si>
  <si>
    <t>GSM052_HWTCAS &amp; V.0.2</t>
  </si>
  <si>
    <t>Point No. 6: There are isolated chanels in scopemeter.</t>
  </si>
  <si>
    <t>Point No. 2: Peak voltage should be mentioned with 15V.                                                                                   Point No. 4: RMS voltage should be mentioned with 230V.</t>
  </si>
  <si>
    <t>Mention Peak and RMS voltage at Point no. 2 and 4.Re upload GSM052_HWTCAS</t>
  </si>
  <si>
    <t>GSM052_MCTCAS(0.1)</t>
  </si>
  <si>
    <t>GSM052_MCTCAS(0.2)</t>
  </si>
  <si>
    <t>Pint 3.1.9: Switching transformer should be written in place of pulse transformer.                                                              Point 3.2.1: PWM technique is used to convert pure DC to chopped DC.</t>
  </si>
  <si>
    <t>At defect's point number change in design documents.</t>
  </si>
  <si>
    <t>Change as per defect</t>
  </si>
  <si>
    <t>GGE058_FUNSPC</t>
  </si>
  <si>
    <t>Sr.No.1 and 4 confilict with each other</t>
  </si>
  <si>
    <t>Change Need ID 1 Description and Remove charging current.</t>
  </si>
  <si>
    <t>PCB layout</t>
  </si>
  <si>
    <t>Review the PCB layout with PCB designer,found no nay issue</t>
  </si>
  <si>
    <t>GSM052_INTDSN.doc(0.3)</t>
  </si>
  <si>
    <t>Electrical interfacing pin details not given.</t>
  </si>
  <si>
    <t xml:space="preserve"> Give Electrical interfacing pin details.Modification INTERFACE CONTROL AND INTEGRATION DESIGN DOCUMENT.</t>
  </si>
  <si>
    <t>0.5</t>
  </si>
  <si>
    <t xml:space="preserve"> physical interfacing dimension give in INTERFACE CONTROL AND INTEGRATION DESIGN DOCUMENT.</t>
  </si>
  <si>
    <t>GSM052_INTCAS.xlsx(0.2)</t>
  </si>
  <si>
    <t>In test case 1 point no 2 is not required .</t>
  </si>
  <si>
    <t>In test case  7 ,expected result for object size  not given .</t>
  </si>
  <si>
    <t>Add in test case ID 7, Object thickness should be  approx. 8 mm and it should be not insert in chassis through fan net.</t>
  </si>
  <si>
    <t>Test case no 8 check flexibility of wiring</t>
  </si>
  <si>
    <t>Test case for Change over time not given, also provide test case for manual bypass</t>
  </si>
  <si>
    <t xml:space="preserve">Functional Specification </t>
  </si>
  <si>
    <t>In Functional specification need Id 7 and 11 charging current mode high and low . but no any action done in integration and hardware design .</t>
  </si>
  <si>
    <t>Attached MOM</t>
  </si>
  <si>
    <t>GDB003_FUNSPC  &amp;  0.1</t>
  </si>
  <si>
    <t>Link Attached for functional specification reference</t>
  </si>
  <si>
    <t>GDB003_FUNSPC   &amp;  0.1</t>
  </si>
  <si>
    <t>Need Statement modified accordingly</t>
  </si>
  <si>
    <t>Elaboration modified</t>
  </si>
  <si>
    <t>BOM Segregated in 3 parts</t>
  </si>
  <si>
    <t>Requirement Added on ID 12</t>
  </si>
  <si>
    <t>GGS028_INTDSN</t>
  </si>
  <si>
    <t>GGS028_INTCAS</t>
  </si>
  <si>
    <t>When apply 2000W bulb load at system LCD showing 88% instead of 100%</t>
  </si>
  <si>
    <t>Change overload percentage calculation form discharging current.</t>
  </si>
  <si>
    <t>GSM052_HDWDSN &amp; 1.1</t>
  </si>
  <si>
    <t>Change in Document.</t>
  </si>
  <si>
    <t>GSM052_HDWDSN &amp; 1.2</t>
  </si>
  <si>
    <t>PV over voltage protection not taking properly, some time it is taking and some time not taking</t>
  </si>
  <si>
    <t>PV shown on LCD when PV  is not available</t>
  </si>
  <si>
    <t>Fix in new Revision 0.3, it is related with PV On/Pff probelm.</t>
  </si>
  <si>
    <t>actual solar current and Solar current shown on LCD is mismatch (error Approx 6A)</t>
  </si>
  <si>
    <t>Charging Current reach 11.2A from Mains when mains voltage 220V. It should be 15A+/-1A</t>
  </si>
  <si>
    <t>GGE063_FUNSPC</t>
  </si>
  <si>
    <t>Need ID 15 Elaboration is not testable and measurable because there is not mentioned which type material and packing will used.</t>
  </si>
  <si>
    <t>Need Elaboration modified so that it can be tested.</t>
  </si>
  <si>
    <t>Chassis color, Sticker color mentioned.</t>
  </si>
  <si>
    <t>Need Elaboration modified.</t>
  </si>
  <si>
    <t>Fix this problem in Rev 0.4. Increse Boost voltage and Float voltage of solar charger</t>
  </si>
  <si>
    <t>GGE063_REQTRT</t>
  </si>
  <si>
    <t>Project Code is not available in RTT</t>
  </si>
  <si>
    <t>Project code updated in sheet</t>
  </si>
  <si>
    <t>Need ID 19 and 20 is cyclic dependency and it shows, for cost deduction, we compromise with quality of product. so break down product need and identify related need  properly.</t>
  </si>
  <si>
    <t>GDB003_PRJPLN; 0.3</t>
  </si>
  <si>
    <t>No defect</t>
  </si>
  <si>
    <t>0.3</t>
  </si>
  <si>
    <t>GDB003_PRJPLN</t>
  </si>
  <si>
    <t>Project plan mentioned Controlled document and baseline at project closure.</t>
  </si>
  <si>
    <t>Source code location is not correct.</t>
  </si>
  <si>
    <t>Mentioned actual verification team name as Naveen and Bharat.</t>
  </si>
  <si>
    <t>In test plan section, responsibility is not clearly identified for mechanical and firmware testing</t>
  </si>
  <si>
    <t>In test plan for mechanical and firmware responsibility correct.</t>
  </si>
  <si>
    <t>Material and machine schedule in MPP.</t>
  </si>
  <si>
    <t>GSM052_FWTCAS</t>
  </si>
  <si>
    <t>GSM052_SYSCAS, 0.5</t>
  </si>
  <si>
    <t>Date section is incorrect</t>
  </si>
  <si>
    <t>GSM052_SYSCAS 0.6</t>
  </si>
  <si>
    <t>In test id OUT_1 the expected result shows Battery Type as lead acid, how this is expected as result from No-load test. It should be tools/resources for this test.</t>
  </si>
  <si>
    <t>remove tolerance limit ,and mention as according to spec.</t>
  </si>
  <si>
    <t>Test case id IN_1 description not justify the testing steps and expected result as you have test lot more in this id but not mention in description.</t>
  </si>
  <si>
    <t>Test case id IN_2 shows refer format, but there is not mention / attached any format, which have to follow.</t>
  </si>
  <si>
    <t>test format uploaded</t>
  </si>
  <si>
    <t>Test id PRT_9 : expected result shows recove when DC MCCB again ON, but if same condition of reverse battery remain then it again trip, so it should write as after correcting battery connection recover by DC MCCB.</t>
  </si>
  <si>
    <t>In mechanical related test ids the expected result not clear, for example sharp edges not define, weight handling capacity etc, so take help of mechanical person and specs to decide expected results clearly.</t>
  </si>
  <si>
    <t>Modify Test ID MECH_1</t>
  </si>
  <si>
    <t>according to need 4 3 phase motors must run or crest factor will be 3:1, for this need we don't have test case.</t>
  </si>
  <si>
    <t>According to need 6 , backup time will be 1 hour at full load, but we don't have test case regarding this.</t>
  </si>
  <si>
    <t>Modified Test ID for this test in MECH_1</t>
  </si>
  <si>
    <t>GDB003_HDWDSN</t>
  </si>
  <si>
    <t>GGE058_HDWDSN</t>
  </si>
  <si>
    <t>CORRECTIVE ACTION TAKEN AND UPDATED DOCUMENT UPLOADED.</t>
  </si>
  <si>
    <t>1.1</t>
  </si>
  <si>
    <t>Need more safety consideration in switching module</t>
  </si>
  <si>
    <t>Please add rectifier module in design document</t>
  </si>
  <si>
    <t>GDB003_FRWDSN</t>
  </si>
  <si>
    <t>GDB003_MCHDSN_0.2</t>
  </si>
  <si>
    <t>GGS028_SYSCAS, 0.2</t>
  </si>
  <si>
    <t>Template format incorrect</t>
  </si>
  <si>
    <t>GGS028_SYSCAS, 0.3</t>
  </si>
  <si>
    <t>Project code is wrong on project code section.</t>
  </si>
  <si>
    <t>Project code is corrected on project code section.</t>
  </si>
  <si>
    <t>Test id out_1 : LCD display contents test expected result not fully convered.</t>
  </si>
  <si>
    <t>Added LCD display contents test whitch expected result  fully covered.</t>
  </si>
  <si>
    <t>Mentioned and atteched reference format no.</t>
  </si>
  <si>
    <t>GGS028_SYSCAS, 0.4</t>
  </si>
  <si>
    <t>Test case id IN_1 the testing steps and expected results not match with test description.</t>
  </si>
  <si>
    <t>Corrected test description w.r.t  testing steps and expected results</t>
  </si>
  <si>
    <t>test case id IN_1 : testing steps shows check HC and NC mode charging current but this type of switch is not there in actual.</t>
  </si>
  <si>
    <t>Remove HC and NC mode</t>
  </si>
  <si>
    <t>Mentioned and attached reference format no.</t>
  </si>
  <si>
    <t>id PRT_3 : in testing steps front panel spelling wrong.</t>
  </si>
  <si>
    <t>id PRT_4 : in testing steps step 3 is missing direct 4th coming.</t>
  </si>
  <si>
    <t>by mistake 4th write instead of 3</t>
  </si>
  <si>
    <t>id PRT_4 :  expected result for low batter warning and cut are wrong it should as warning : 42.4 +/-0.8V and cut : 41.6 +/-0.8V</t>
  </si>
  <si>
    <t>expected result for low battery warning and cut are corrected w.r.t. testing report</t>
  </si>
  <si>
    <t>System not takes retries, changed in serial no. 5th</t>
  </si>
  <si>
    <t>id PRT_5 :  in expected result spelling of below is wrong.</t>
  </si>
  <si>
    <t xml:space="preserve"> spelling of below is check and corrected</t>
  </si>
  <si>
    <t>id REL_1 : testing steps shows check pcb after full testing, but there is no expected result mentioned regarding this.</t>
  </si>
  <si>
    <t>Written result after PCB full testing in expected result .</t>
  </si>
  <si>
    <t>id REL_2 : testing steps shows check pcb after full testing, but no expected result mentioned regarding this.</t>
  </si>
  <si>
    <t>id IN_6 : in expected result tolerance for boost and float voltage are wrong it should 0.8.</t>
  </si>
  <si>
    <t>Corrected tolerance of boost and float voltage</t>
  </si>
  <si>
    <t>id MECH_8 : in expected result angle and dimension not mention</t>
  </si>
  <si>
    <t>Mention drawing no. for reference</t>
  </si>
  <si>
    <t>Id PRT_6 : shows fuse blown protection but actually the MCB use in product, this test case totally wrong.</t>
  </si>
  <si>
    <t>test case created wrt mains MCB trip protection instead fuse blown protection.</t>
  </si>
  <si>
    <t>id PRT_7 also wrong as it shwos DC fuse whereas in system actually DC MCB use, this id also wrong.</t>
  </si>
  <si>
    <t>Written DC MCB instead of DC fuse</t>
  </si>
  <si>
    <t>GGE058_HDWDSN &amp; 0.2</t>
  </si>
  <si>
    <t>id SOL_P_1 : testing steps and expected result not fully cleared, what want to test, how and what the result want.</t>
  </si>
  <si>
    <t>Mentioned clear testing steps and expected result.</t>
  </si>
  <si>
    <t xml:space="preserve"> Point no. 3.1.12: Common should be placed after output voltage.</t>
  </si>
  <si>
    <t>GGS028_SYSCAS</t>
  </si>
  <si>
    <t>id SOL_E_1: testing steps not clear, how it can done.</t>
  </si>
  <si>
    <t>Mentioned clear testing steps.</t>
  </si>
  <si>
    <t>Created test id (MCC_1) in test cases regarding mains charging ON/OFF switch.Mentioned testing steps and expected results</t>
  </si>
  <si>
    <t>There is no test id regarding need id 5</t>
  </si>
  <si>
    <t>Created test id (BUT_1) in test cases regarding need id 5</t>
  </si>
  <si>
    <t>There is no test id for need id 20</t>
  </si>
  <si>
    <t>Created test id (PRT_13) in test cases regarding need id 20</t>
  </si>
  <si>
    <t>Created test id (ES_1) in test cases regarding need id 23 and mentioned clear expected result.</t>
  </si>
  <si>
    <t>There is no test id regarding need id 32</t>
  </si>
  <si>
    <t>Created test id (SCO_1) in test cases regarding need id 32</t>
  </si>
  <si>
    <t>GSM058_MCHDSN(0.1)</t>
  </si>
  <si>
    <t>Internal Dependencies changed to not applicable</t>
  </si>
  <si>
    <t>Modification done.</t>
  </si>
  <si>
    <t>GSM058_MCHDSN(0.2)</t>
  </si>
  <si>
    <t>GGE058_INTDSN</t>
  </si>
  <si>
    <t>GDB003_INTDSN</t>
  </si>
  <si>
    <t>Pin detail in step  2 of interfacing missing</t>
  </si>
  <si>
    <t>Pin detail given in that step</t>
  </si>
  <si>
    <t>Applicable integration test  case ID missing</t>
  </si>
  <si>
    <t>It will be updated after integration  test case preparation</t>
  </si>
  <si>
    <t xml:space="preserve"> BOM missing in user and production document</t>
  </si>
  <si>
    <t>BOM details provided</t>
  </si>
  <si>
    <t>GDB003_FUNSPC, 1.1</t>
  </si>
  <si>
    <t>No defect..</t>
  </si>
  <si>
    <t>GGE058_INTCAS.xls</t>
  </si>
  <si>
    <t>Map the mechanical steps in the integration test case.</t>
  </si>
  <si>
    <t>GDB003_INTCAS</t>
  </si>
  <si>
    <t>mechanical module not clearly mention</t>
  </si>
  <si>
    <t>Module mentioned</t>
  </si>
  <si>
    <t>GGS028_REQRTT</t>
  </si>
  <si>
    <t>Schematic</t>
  </si>
  <si>
    <t>There is no defect in schematic.</t>
  </si>
  <si>
    <t>2.5KVA SURJA</t>
  </si>
  <si>
    <t>Mains by pass switch not work as per system test case MBF_1</t>
  </si>
  <si>
    <t>1.4</t>
  </si>
  <si>
    <t>GGS028_SYSCAS, 1.3</t>
  </si>
  <si>
    <t>Newly added test id has no defect.</t>
  </si>
  <si>
    <t xml:space="preserve">2.5KVA SURJA </t>
  </si>
  <si>
    <t>Some MPN missing in BOM</t>
  </si>
  <si>
    <t>Actually designer have not the MPN , in SAP all ready mentioned all the MPN list during release, it is automatically taken from SAP.</t>
  </si>
  <si>
    <t>Date correction.</t>
  </si>
  <si>
    <t>GDB003_CHGREQ (1.0)</t>
  </si>
  <si>
    <t>Impact analysis modified by project manager.</t>
  </si>
  <si>
    <t>GDB003_CHGREQ (2.0)</t>
  </si>
  <si>
    <t>GGE063_PRJPLN, 0.4</t>
  </si>
  <si>
    <t>Scope section description not fully cover scope, as it shows just introduction, please mention what development, what modifications will do in this project.</t>
  </si>
  <si>
    <t>add project type and development in scope</t>
  </si>
  <si>
    <t>GGE063_PRJPLN, 0.5</t>
  </si>
  <si>
    <t>Risk matrix location in plan document is not correct</t>
  </si>
  <si>
    <t>correct risk matrix location in plan</t>
  </si>
  <si>
    <t>GGE063_RSKMTX, 1.0</t>
  </si>
  <si>
    <t>Risk identification date is not correct as risk identification meeting held on 8th March but risk matrix shows 7th march.</t>
  </si>
  <si>
    <t>correct identification date</t>
  </si>
  <si>
    <t>GGE063_RSKMTX, 2.1</t>
  </si>
  <si>
    <t>Spelling and gramatical mistakes are there in risk matrix.</t>
  </si>
  <si>
    <t>correct spellings</t>
  </si>
  <si>
    <t>Risk contigency plan not suitable according to risk, it should such type as backup plan for that risks.</t>
  </si>
  <si>
    <t>change contingency plan</t>
  </si>
  <si>
    <t>In measurement plan section there is no tolerance limits for process defect density as well as for product defect density.</t>
  </si>
  <si>
    <t>add tolerance in measurement</t>
  </si>
  <si>
    <t>In DAR plan practioners and decison maker not identified.</t>
  </si>
  <si>
    <t>identify parctitioner and decision maker for SMPS selection DAR activity</t>
  </si>
  <si>
    <t>Review and found no any defects</t>
  </si>
  <si>
    <t>Date is not correct.</t>
  </si>
  <si>
    <t>correction of date is done.</t>
  </si>
  <si>
    <t>GDB003_FWTCAS (0.1)</t>
  </si>
  <si>
    <t>GGE063_HDWDSN</t>
  </si>
  <si>
    <t>GGE058_MCTCAS</t>
  </si>
  <si>
    <t>review and found no any defect.</t>
  </si>
  <si>
    <t>0.1</t>
  </si>
  <si>
    <t>Reviewed found no defect</t>
  </si>
  <si>
    <t>GGS028_RELNOT (0.1)</t>
  </si>
  <si>
    <t>Version number are not same as actuals for PCB layouts.</t>
  </si>
  <si>
    <t>Version number update as per discussion</t>
  </si>
  <si>
    <t>GGS028_RELNOT (0.2)</t>
  </si>
  <si>
    <t>A brief artefact description should be there along with drawing numbers.</t>
  </si>
  <si>
    <t>GSM052_SYSCAS.xls</t>
  </si>
  <si>
    <t>By Default Charging Current is 10 A in Tuning Tool and actual it is 37 A . It should be in range 40A+/-2A both in tool and actual.</t>
  </si>
  <si>
    <t>GDB003_FWTCAS</t>
  </si>
  <si>
    <t>Boost /float voltage is not mention correctly .</t>
  </si>
  <si>
    <t>GGS028_VALRPT</t>
  </si>
  <si>
    <t>Review the validation report found no nay defect</t>
  </si>
  <si>
    <t>NA</t>
  </si>
  <si>
    <t>GSM052_QA V.00</t>
  </si>
  <si>
    <t>Full load output current tolerence should be +-2</t>
  </si>
  <si>
    <t>Change Output current tolerance in QA Doc. Upload GSM052_QA REV_0.1.xls.</t>
  </si>
  <si>
    <t>Change at sr.no.21 - Display show Battery Volt Low. Upload GSM052_QA REV_0.1.xls.</t>
  </si>
  <si>
    <t>GSM052_ LT  REV.00</t>
  </si>
  <si>
    <t xml:space="preserve"> Change Full Load Output Current (at Back-up Mode at 20KW Per Phase , 100% Resistive Load) tolrance should be +/-2.Upload GSM052_ LT  REV_0.1.xls</t>
  </si>
  <si>
    <t>Change Full Load Battery Current (at Back-up Mode at 20KW Per Phase , 100% Resistive Load) tolarance limit should be +- 4A.Up load GSM052_ LT  REV_0.1.xls.</t>
  </si>
  <si>
    <t>GSM052_ LT  REV 0.0</t>
  </si>
  <si>
    <t>At Sr no. 14 - Display will show MCCB trip should be Mains MCCB trip.</t>
  </si>
  <si>
    <t>Change at Sr.no.14 Display will show MCCB trip should be Mains MCCB trip.</t>
  </si>
  <si>
    <t>GSM052_ LT  REV 0.1</t>
  </si>
  <si>
    <t>GGE058_HWTCAS  &amp; 0.2</t>
  </si>
  <si>
    <t>Project code, date, prepared by and tested by missing.</t>
  </si>
  <si>
    <t>Test results are missing.</t>
  </si>
  <si>
    <t>results are available and in the document now.</t>
  </si>
  <si>
    <t>GGE058_INTCAS   &amp;  0.4</t>
  </si>
  <si>
    <t>Maximum allowable drain voltage should be mentioned.</t>
  </si>
  <si>
    <t>Max. drain voltage is Mentioned.</t>
  </si>
  <si>
    <t>Spellings corrected.</t>
  </si>
  <si>
    <t>System does not take overload up to 110%</t>
  </si>
  <si>
    <t>temp. not showing in tuning tool</t>
  </si>
  <si>
    <t>GGE063_HDWDSN  &amp;  0.2</t>
  </si>
  <si>
    <t>Point No. 3.2.2 and 3.2.9: Required more details of components selection.</t>
  </si>
  <si>
    <t>Details are added.</t>
  </si>
  <si>
    <t>Found no any defect</t>
  </si>
  <si>
    <t>GGE058_REQTRT</t>
  </si>
  <si>
    <t>Did the review of RTT found no nay defect</t>
  </si>
  <si>
    <t>GSM052_QA V0.1</t>
  </si>
  <si>
    <t>Replace Word 'MCB' with MCCB.</t>
  </si>
  <si>
    <t>GSM052_QA V0.2</t>
  </si>
  <si>
    <t>GSM052_PRDBOM V1.0</t>
  </si>
  <si>
    <t>In Item no 14 item text line is missing</t>
  </si>
  <si>
    <t>Fill 'MCCB mounting plate' Item text line in Item no.14.</t>
  </si>
  <si>
    <t>GSM052_PRDBOM V2.0</t>
  </si>
  <si>
    <t>In Item no 15 item text line is missing.</t>
  </si>
  <si>
    <t>Fill 'MCCB mounting plate' Item text line in Item no.15.</t>
  </si>
  <si>
    <t>In Item no 16 item text line is missing.</t>
  </si>
  <si>
    <t>Fill 'MCCB mounting plate' Item text line in Item no.16.</t>
  </si>
  <si>
    <t>In Item no 22 drawing no should not be in description line</t>
  </si>
  <si>
    <t>When release BOM in SAP,Drawing no. is required with description.So it is OK.</t>
  </si>
  <si>
    <t>In Item no 26 MPN should be correct</t>
  </si>
  <si>
    <t>Correct (CDFL2 instead of CBFL2) MPN of Item no.26.</t>
  </si>
  <si>
    <t>In all description ,there should not be drawing no in this coulmn.</t>
  </si>
  <si>
    <t>there must be current sensing PCB added in assembly.</t>
  </si>
  <si>
    <t>Add Assy Current sensor PCB in BOM.</t>
  </si>
  <si>
    <t>GSM052_PRDBOM V.1.0</t>
  </si>
  <si>
    <t>GDB003_INTCAS V.00</t>
  </si>
  <si>
    <t>Test case ID 6 in intergration test cases.testing steps is not right. there should be 3 Rocker switches at back side  and 1 push to ON at front side.</t>
  </si>
  <si>
    <t>GDB003_INTCAS, 3.0</t>
  </si>
  <si>
    <t>GGE063_MCHDSN(0.1)</t>
  </si>
  <si>
    <t>Correct all above issue.</t>
  </si>
  <si>
    <t>GGE063_MCHDSN(1.0)</t>
  </si>
  <si>
    <t>GGE058_PRDBOM &amp; 1.1</t>
  </si>
  <si>
    <t>GDB003_SYSCAS.xls</t>
  </si>
  <si>
    <t>Phase details not defined</t>
  </si>
  <si>
    <t>defined phase detail at both ac input and output (at back up time)</t>
  </si>
  <si>
    <t>Output voltage tolerance must  limit 5V</t>
  </si>
  <si>
    <t>change voltage range 10V to 5V</t>
  </si>
  <si>
    <t>No any Test case for battery AH as back up time measurement</t>
  </si>
  <si>
    <t>Added test case regarding battery AH.</t>
  </si>
  <si>
    <t>No ant test case for Peak efficiency measurement</t>
  </si>
  <si>
    <t>Add peak efficiency in test case.</t>
  </si>
  <si>
    <t>Change over time in UPS mode not according to requirement</t>
  </si>
  <si>
    <t>Change over time in UPS mode from 15mS to 12mS.</t>
  </si>
  <si>
    <t>change tolarance limit and correct data.</t>
  </si>
  <si>
    <t>validation Format</t>
  </si>
  <si>
    <t>GGE063_HWTCAS &amp; 0.1</t>
  </si>
  <si>
    <t>GGE064_FUNSPC,  0.1</t>
  </si>
  <si>
    <t>For Need id 2 the elaboration said different percentage reduction in all three fields electronics , electrical and mechanical, but it not justify the total reduction of 20%, for example if existing electronics have 100 INR, electrical has 1000 INR and mechanical has 6900 INR of total 8000 INR BOM, then how it will reduce to 20% of total BOM. It is requested to please mention reduction in INR of each.</t>
  </si>
  <si>
    <t>Mentioned target reduction cost of each BOM parts as electronics, electrical and mechanical which total is 20% BOM reduction of whole.</t>
  </si>
  <si>
    <t>GGE064_FUNSPC, 0.2</t>
  </si>
  <si>
    <t>GSM052_SYSCAS V1.0</t>
  </si>
  <si>
    <t>BOM cost is 66% of selling price. and BOM cost must be below than 60% of selling price.</t>
  </si>
  <si>
    <t>We take approval for increasing  BOM cost.</t>
  </si>
  <si>
    <t>GDB003_SYSCAS V0.2</t>
  </si>
  <si>
    <t>In TT Battery during charging profile testing Boost voltage is 29.5V which is greater than the tolarence range and float voltage is 28.2V which is also above from limit.</t>
  </si>
  <si>
    <t>Hooks are not presented in machenical drawing of chassis.</t>
  </si>
  <si>
    <t>FUNSPC Point 4: There should be comma in place of semi comma.                                                                         FUNSPC Point 14: Sentence should be grammatically correct "Max. mains input current" in place of " Mains input Max. current". FUNSPC Point 6: Two phase system is not in inverter. So it should be removed. FUNSPC 18: Battery discharging current should be removed from FUNSPC because it is related to design part.</t>
  </si>
  <si>
    <t>FUNSPC Point 4: Change in Functional specification format ,use comma in place of semi comma.                                                                      FUNSPC Point 14: Correction in sentence ,write  "Max. mains input current" in place of " Mains input Max. current". FUNSPC Point 6: Remove word " Two phase" in sentence. FUNSPC 18: Battery discharging current specification  removed from Functional specification.</t>
  </si>
  <si>
    <t>FUNSPC Point 8: Full load current should be removed because it is the part of design.  FUNSPC Point 13: In elaboration, "customer requirement" should be mentioned in place of "All competitors have same 12Vdc battery voltage". FUNSPC Point 14: Battery description should be "flooded Lead Acid battery" in place of only " Lead Acid". FUNSPC Point 17.01: Tolerance of Low Battery voltage should be 10.8V +/- 0.2V in plave of 1.5%. FUNSPC Point 18.01: Value of low battery voltage cut is wrong. It should be 10.8V +/- 0.2V. FUNSPC Point 18.07 and 18.08: For mains cut, not defined system mode whether it is Inverter or UPS Mode.     FUNSPC Point 19: Not clearly defined of buzzer sound whether it will continuous or beep.  FUNSPC Point 20: Indication to be displayed on LCD should be elaborated. FUNSPC Point 21.06: It should be removed because it is the part of design. FUNSPC Point 21.07: Weight should be removed because it is the part of design.</t>
  </si>
  <si>
    <t>FUNSPC Point 3: Spelling mistake " bot". It should be "both". FUNSPC Point 13: In elaboration, "customer requirement" should be mentioned in place of "All competitors have same 12Vdc battery voltage". FUNSPC Point 22.01: Relative humidity should be mentioned in place of only humidity.</t>
  </si>
  <si>
    <t>1)Changed in functional specification now in description of capacity load factor is 0.75 and total load 1120W. 2) Mains cut in UPS mode now is 180V+/- 10V</t>
  </si>
  <si>
    <t>FUNSPC Point 15.01: Spelling mistake in "current" word.                                                                                    FUNSPC Point 17.08: "-ve" tolerance is missing.</t>
  </si>
  <si>
    <t>FUNSPC Point 3.5: Spelling mistake in " Battery" word.                                                                                        FUNSPC Point 3.6: Spelling mistake in " Battery" word.                                                                             FUNSPC Point 8.04: Spelling mistake in " Frequency" word.                                                                                   FUNSPC Point 9.05: Spelling mistake in " Competitor" word.                                                                                    FUNSPC Point 9.06: Spelling mistake in " Competitor" word.                                                                                   FUNSPC Point 10.01: Spelling mistake in " Scratch" word.                                                                                    FUNSPC Point 11.01: Spelling mistake in " Humidity" word.                                                                                   FUNSPC Point 11.03: Spelling mistake in " Cooling" word.</t>
  </si>
  <si>
    <t>Project schedule not prepared.</t>
  </si>
  <si>
    <t>Final estimated effort not conformed with project schedule.</t>
  </si>
  <si>
    <t>Mitigation plan of the First Risk is not technically feasible.</t>
  </si>
  <si>
    <t>threshold level between Project manager and Senior management not maintained.  ex. project schedule variance metrics 10% and escalation of senior management 20%.</t>
  </si>
  <si>
    <t>At input of power supply voltage not mentioned. Check regulator voltage also on full load and no load.</t>
  </si>
  <si>
    <t>Language should be clear. Mention all required instruments</t>
  </si>
  <si>
    <t>Full load battery current mentioned 92 ± 2 A and full load output AC current mentioned 3.9 ± 0.1 A</t>
  </si>
  <si>
    <t>Mentioned step to check low battery cut. &amp; Also add checking steps at no load condition by DC power supply</t>
  </si>
  <si>
    <t>Battery voltage written 24V instead of 12v</t>
  </si>
  <si>
    <t>By default charging is coming 17 Amp. We required this aprox 14 Amp as specifications is 14+/- 1 Amp</t>
  </si>
  <si>
    <t>1: read tuning variable value form tuning tool. 2: write tuning value and tuning variable of charging current 2: write tuning value in fixed address flash variable of charging current</t>
  </si>
  <si>
    <t>1. Arrow should be marked on signal and power line. 2.Unidirectional instead of bidirectional should be marked between DSP and Driver IR2110. 3.Output filter capacitor should be shown in conceptual design. 4.Output arrow from LM358 "To DSP" should be shown in conceptual design.</t>
  </si>
  <si>
    <t>1. Output capacitor added in conceptual design. 2. All Arrows and Direction of Arrow  in conceptual design .</t>
  </si>
  <si>
    <t>FUNSPC POINT 3: "Inverter" word should be used in place of "System" word in everywhere in Functional Specification.                                                                  FUNSPC POINT 4: Comma should be written after "Motor" word.                                                                 FUNSPC POINT 7: "to" should be written in place of "To" word.                                                                        FUNSPC POINT 30: "Testing" should be written in place of "Tsting" word.                                                 FUNSPC POINT 36: "for" should be written in place of "to" word.</t>
  </si>
  <si>
    <t>We replace "System" word with Inverter in everywhere. FUNSPC POINT 4: Comma written after"Motors"word. FUNSPC POINT 7:Writeen "to" word instead of To. FUNSPC POINT 30: Correct spelling of Testing.  FUNSPC POINT 36: Writeen for word instead of to.</t>
  </si>
  <si>
    <t>FUNSPC POINT 11: "LCD" should be written in place of "Graphical" word.                                                     Graphical: "50dB" parameters.</t>
  </si>
  <si>
    <t>FUNSPC POINT 11:Replace word "Graphical" with "LCD". FUNSPC POINT 33:Change Relative noise parameter.it should be less than 50 db instead of greater then.</t>
  </si>
  <si>
    <t>Vision of the project is not identified. Currently it has only a formal comment, it must be cover product future .</t>
  </si>
  <si>
    <t>The test plan has not contain sufficient test for product.</t>
  </si>
  <si>
    <t>Now test plan contains: SMPS testing Transformer testing Solar charger testing Mechanical testing Firmware testing with hardwrae module</t>
  </si>
  <si>
    <t>In backup plan we not used Tape drive, remove that.</t>
  </si>
  <si>
    <t>Previously plan review frequency was on the phase end of particular work. Now review plan frequency is  at after the completion of particular work instead of phase end</t>
  </si>
  <si>
    <t>Validation test plan should be elaborated more.</t>
  </si>
  <si>
    <t>Validation test plan contain Validation of output voltage Charging current from mains Charging current from solar System information on LCD as per specifications All ind of alarm as in functional specifications Aesthetic  All kind of fitment of enclosure All the edges and corner of enclosure</t>
  </si>
  <si>
    <t>Previously schedule has not current plan and also 2-3 man power over allocated, now update the current plan as well as over allocated man power</t>
  </si>
  <si>
    <t>1.  Power line should be bidirectional in conceptual design. 2. Gate pulse voltage to driver input should be mentioned in documents.</t>
  </si>
  <si>
    <t>1. We make Power line e bidirectional in conceptual design. 2. Gate pulse voltage 15V to driver input  mentioned in documents.</t>
  </si>
  <si>
    <t>Update Flow Chart of Solar Sense and 100 Hz PWM generation. and other flow chart identical from 2KW MPPT PCU</t>
  </si>
  <si>
    <t>Numbering bullets are not correct in module 3.23 and off the shelf components.  Date at the end of document is not matching as actual dates.</t>
  </si>
  <si>
    <t>Modules identical from referenced product.</t>
  </si>
  <si>
    <t>1. All incoming modules should include reference from which it is being referenced. 2. Date format at the end of document should be correct. 3. All outgoing component sec. are showing as None outgoing in heading. it should be as per template.</t>
  </si>
  <si>
    <t>Tools required should include power source (DC or AC according to requirement). Date should match with actual date</t>
  </si>
  <si>
    <t>SMPS Schematic  reuse  as it is, only 2 winding added in SMPS transformer so there are not required more failure</t>
  </si>
  <si>
    <t>H Bridge Failure some points missing</t>
  </si>
  <si>
    <t>add and define failure mode in solar charger</t>
  </si>
  <si>
    <t>Some grammatical mistake such as spelling and wrong word placement found</t>
  </si>
  <si>
    <t>correct grammatical mistake and spelling Mistake</t>
  </si>
  <si>
    <t>Mention required Digital Oscilloscope with Isolate Two channels at point no. 6.</t>
  </si>
  <si>
    <t>1. Test Case Descriptions should be notify as Measurement &amp; fitment. 2. Tools Required Measuring Tape, Scale, Vernier Caliper, Screw Gauge. 3. Measurement as per Drawing &amp; fitment check with Physical Available Parts.</t>
  </si>
  <si>
    <t>1. Change in test case description 2.Tools change as per requirement. 3. mentioned as per required.</t>
  </si>
  <si>
    <t>Point1: Spelling mistake "Rather than" in place of "rather then".</t>
  </si>
  <si>
    <t>In functional specification sr.no. 3 Elaboration not clear</t>
  </si>
  <si>
    <t>Elaborate more to Need ID 3. elaboration is ; if battery voltage less than 8vdc than system not to charge battery</t>
  </si>
  <si>
    <t>In physical interfacing dimension not given , please provide dimension.</t>
  </si>
  <si>
    <t>Remove testing steps no.2 of test case ID No.1.</t>
  </si>
  <si>
    <t>Add in Test case ID 8, Harness and Power wires should be flexible.</t>
  </si>
  <si>
    <t>Test case 19 output voltage tolerance is faulty</t>
  </si>
  <si>
    <t>Correct tolerance of No load output voltage in Test case ID 19.  Output voltage should be  230 V ± 10 V(Per Phase) .</t>
  </si>
  <si>
    <t>Add Two nos. new Test cases. Check Changeover Time (Mains to Back-up mode and Back-up mode to Mains Mode. Check Manual Bypass</t>
  </si>
  <si>
    <t>As per need ID 7, We will give selector switch for selection of charging current,we discuss about Tarun sir and He take decision that we give fix charging 40 Amp as per need.  If we give fix charging than we show at LCD display only charging /charged.</t>
  </si>
  <si>
    <t>In Elaboration of need 1 functionality not clearly defined, should link refer specification sheet.</t>
  </si>
  <si>
    <t>Need 2 not clearly define, why LCD require, the need may be requirement of alphanumeric display which shows parameters.</t>
  </si>
  <si>
    <t>In need 4 solution written, whereas need denotes what not how, so please take care this.</t>
  </si>
  <si>
    <t>In need 6 total BOM cost mention but for better it should also fdenotes breakup of BOM like electronics part BOM cost, mechanical BOM cost, which help during decision in design.</t>
  </si>
  <si>
    <t>In need 8 elaboration don't give solution, which not measurable, write as measurable such that as below :
The front panel assembly should be capable of being assembled with standard manufaturing tools and small number of operations</t>
  </si>
  <si>
    <t>In need 9 elaboration serviceability write as similar to GSM030 but it can be better than that if we explore, so write accordingly.</t>
  </si>
  <si>
    <t>In need 10 elaboration packing same as GSM030is solution which is not measurable, so write to consider shipping type.</t>
  </si>
  <si>
    <t>In need 11 warranty &amp; commericial terms which similar to GSM030 not mentioned, it should link atleast.</t>
  </si>
  <si>
    <t>Link Attached for terms &amp; and conditions</t>
  </si>
  <si>
    <t>There is no need regarding User support documents and testability, which must mention in FS.</t>
  </si>
  <si>
    <t>Interface document reviewed, in this project designer taken the reference design of control card and designer design the solar charger as per pin configuration of control card. in this review see the pin to pin connection and other interfaces. found ok</t>
  </si>
  <si>
    <t>Point Number 3.7.2: "this" word should be "THIS".</t>
  </si>
  <si>
    <t>Problem Found and Fix in New Revision. There is a pull up resistance problem in DSP configuration</t>
  </si>
  <si>
    <t>Problem Fix in Rev 3 and tune solar current in multiplier</t>
  </si>
  <si>
    <t>Fix Problem in Rev 0.3 and Incerease Charging current multiplier</t>
  </si>
  <si>
    <t>Chassis color and sticker material type and color is not define. ans it is not measurable and testable</t>
  </si>
  <si>
    <t>Need ID 17 elaboration is not full fill to there need because if only battery terminal is provided for installation, user incapable for self installation. there should be provide battery wire with thimble.</t>
  </si>
  <si>
    <t>system not maintain battery boost voltage properly from solar when mains not available.</t>
  </si>
  <si>
    <t>Discussed with Team Members &amp; updated related ID for need statement</t>
  </si>
  <si>
    <t>Project planning document type is not correct CI list.</t>
  </si>
  <si>
    <t>Mentioned as below : https://192.168.100.9/svn/Firmware/Projects_Rajkumar</t>
  </si>
  <si>
    <t>Verification Team list in HR section has reviewer names of project.</t>
  </si>
  <si>
    <t>Project Metrics (schedule and effort variance) not clearly identified as per project need.</t>
  </si>
  <si>
    <t>Project metrics remain same, and escalation plan change. as &gt;12% require to escalte to SM for schedule.</t>
  </si>
  <si>
    <t>Material and Machine is not included in resource plan of project schedule.</t>
  </si>
  <si>
    <t>Test against Test case ID15,when give 100% load to the system LCD Display read 185% load &amp; tunning tool  read 53A. Tunned to the system at 87A.</t>
  </si>
  <si>
    <t>Discharging Current Multiplier Change and LCD Load Calculation Change Check in 0.2 revesion</t>
  </si>
  <si>
    <t>correct date</t>
  </si>
  <si>
    <t>battery type as lead acid use as input for each test and testing of lead acid battery test id is REL_1 (1Hour back up time)</t>
  </si>
  <si>
    <t>Expected result of Test case Id OUT_3 : 3rd point shows battery voltage +2% of specs, it not correct, it should +/- 2% written Resolution step not match actual resolution.</t>
  </si>
  <si>
    <t>Change test case description as "Check at mains mode"</t>
  </si>
  <si>
    <t>1. correct Sr. no. 2. for recovery of system make right connection of battery ,this point modified</t>
  </si>
  <si>
    <t>In Test Id PRT_3 jerk load testing suddenly apply 200% load extra so total load is 300%. this test case for  crest factor 3:1 .</t>
  </si>
  <si>
    <t>refer test id REL_1</t>
  </si>
  <si>
    <t>According to need 14 the enclosure should IP20 and powder coating micron also &gt;80, but we don't have test ids regarding this.</t>
  </si>
  <si>
    <t>Switching module and  control module need more elaboration , specify internal and external dependency properly</t>
  </si>
  <si>
    <t>Remove slot and clip in cover for handling. Internal dependencies not applicable.</t>
  </si>
  <si>
    <t>Remove slots and clip for common of cover with existing design.</t>
  </si>
  <si>
    <t>Corrected  Template format</t>
  </si>
  <si>
    <t>test case id Out_3 : mentioned refer attached format, but attachment missing Still no attachement</t>
  </si>
  <si>
    <t>test case id IN_2 : where is refer format, no attachment found. still no attachement</t>
  </si>
  <si>
    <t xml:space="preserve"> front panel spelling check and write correct</t>
  </si>
  <si>
    <t>id PRT_4 : in expected result serial no. 4 &amp; 5 conflict each other, as 4th shows no retries and 5th shows 4 retries, it not correct.</t>
  </si>
  <si>
    <t>Point no. 3.1.1: Purpose of transformer should be mentioned. Point no. 3.1.5:Higher input voltage range to be mentioned in design document. Point no. 3.1.9&amp;3.2.9: Detailing of components selection should be mentioned.Point no. 3.1.10&amp;3.2.10: Test results are missing in document. Point no. 3.1.11: More information about PCB layout consideration should be mentioned.</t>
  </si>
  <si>
    <t>all the step discussed above are corrected and document re uploaded.</t>
  </si>
  <si>
    <t>Point No. 2: Arrow should be marked from rectifier to switching device. Point No. 2: Output filter block should be added in block diagram.</t>
  </si>
  <si>
    <t>id SOL_CHA_1 :  testing steps and expected result not in detail, what want to do, how and what result expected. still not clear..</t>
  </si>
  <si>
    <t>id ESM_1 : testing steps and expected result not understandable, what / how and what result</t>
  </si>
  <si>
    <t>Tere is no test id related to Mains charging cut feature. And also no for status of this switch on LCD  The mentioned test case not fulfill the actual testing of this feature.</t>
  </si>
  <si>
    <t>There is no test id regarding need id 23 Not clear expected result.</t>
  </si>
  <si>
    <t>Interfacing steps for sr. no. 1 to 2 sentence correction. use proper pin details for DPDT switch</t>
  </si>
  <si>
    <t>Use proper words for Interfacing steps for sr. no. 1 to 2. There are not any pin details on the available DPDT switch.</t>
  </si>
  <si>
    <t>Integration steps need to be separate for each operation .  Also use proper screw or other component required for integration steps.</t>
  </si>
  <si>
    <t>Integration steps separated for each operation .  Used proper screw or other component required for integration steps.</t>
  </si>
  <si>
    <t>Integration test  cases do not map integration steps.</t>
  </si>
  <si>
    <t>Reviewed found no nay defects</t>
  </si>
  <si>
    <t>Firstly check the wiring of the switch Then continuity of the switch Found wiring was loose contact so this defect came</t>
  </si>
  <si>
    <t>Condition :over temperature protection 1.System not recover automatically when temperature goes below 50deg while over temp. protection disappear from LCD</t>
  </si>
  <si>
    <t>This defect is not in the scope of this project because i had taken the reference firmware code for temperature protection, and by this defects system performance will not affected and still from field such kind of defect came.</t>
  </si>
  <si>
    <t>Impact analysis in change request does not cover the scope of changes in design.</t>
  </si>
  <si>
    <t>As most of the modules are being referenced from existing 1500VA  LCD model which are already tested and proven. Test cases identified in this project are only for those modules which are being modified. No defect found in test cases identified.</t>
  </si>
  <si>
    <t xml:space="preserve"> S. No 3.1.5 Section should be more elaborated. S. nO. 3.1.6 Section directly write the result, why you choose these two topology for alternative design consideration. 3.1.11 Section should be correct, what are the consideration for PCB and schematic like what should be ground thickness etc</t>
  </si>
  <si>
    <t xml:space="preserve"> S. No 3.1.5 Section elaborated. S. nO. 3.1.6 Section results are discussed in brief. 3.1.11 Section corrected.</t>
  </si>
  <si>
    <t>S. No. 3.2.5 should be more elaborated, S. No 3.2.6 should be more elaborated 3.2.8 is wrong it should be in 3.2.12 3.2.10 is wrong</t>
  </si>
  <si>
    <t>S. No. 3.2.5 &amp; S. No 3.2.6 elaborated. 3.2.8 is corrected. 3.2.10 is ok.</t>
  </si>
  <si>
    <t>S. nO. 3.4.8 is wrong such type of description should be in the failure mode  3.4.11 Layout and schematic consideration should be as per previous defect</t>
  </si>
  <si>
    <t>S. nO. 3.4.8 is corrected. 3.4.11 is corrected.</t>
  </si>
  <si>
    <t>Tuning tool tuning courser work reversed . as we increase actual parameters decreases</t>
  </si>
  <si>
    <t>At Sr no. 21 - Display show “Low Battery" should be "Battery Volt Low"</t>
  </si>
  <si>
    <t>At Sr no. 32 - Mains MCB Blown Protection should be Mains MCCB Blown Protection &amp; Display indicate “MCB Trip” should be Display indicate “MCCB Trip”.</t>
  </si>
  <si>
    <t>Change At Sr no. 32 - Mains MCCB Trip Protection ,show in LCD "Mains MCCB Trip". Upload GSM052_QA REV_0.1.xls.</t>
  </si>
  <si>
    <t>Full Load Battery Current (at Back-up Mode at 4000W Per Phase , 100% Resistive Load) should be approx 193A.</t>
  </si>
  <si>
    <t>Change Full Load Battery Current (at Back-up Mode at20KW Per Phase , 100% Resistive Load) should be approx 190A +/-4A.Up load GSM052_QA REV_0.1.xls.</t>
  </si>
  <si>
    <t>Full Load Output Current (at Back-up Mode at 4000W Per Phase , 100% Resistive Load) tolrance should be +-2</t>
  </si>
  <si>
    <t>Full Load Battery Current (at Back-up Mode at 4000W Per Phase , 100% Resistive Load) tolarance limit should be +- 8A or according to 193A.</t>
  </si>
  <si>
    <t>Project code, date, prepared and tested by name written on the document.</t>
  </si>
  <si>
    <t>TC1: Spelling mistake "Syatem".</t>
  </si>
  <si>
    <t>At sr no. 32 ,Takes Mains MCB Trip Protection should be Takes Mains MCCB Trip Protection.</t>
  </si>
  <si>
    <t>In Item no 58 ,no. of screw should be 36</t>
  </si>
  <si>
    <t>Change Qty in Item no 58.Fill Qty-36Nos.</t>
  </si>
  <si>
    <t>Test case ID 6 : 3 rocker switch in back side of chassis. Test case ID 9: 1 push to ON switch is added.</t>
  </si>
  <si>
    <t>Base Module-Correct Paint thickness 0.8 micron change to 80 micron Cover Module- Implement followings  Failure mode- Due to corrosion part will be damage. Mitigation step- Body will be painted (80 microns)</t>
  </si>
  <si>
    <t>Review the BOM found no any defect, MPN add in SAp during release for production</t>
  </si>
  <si>
    <t>validation format have wrong tolerance limit and  does not have test condition</t>
  </si>
  <si>
    <t>3. Specify Charging time in controlling section. 1. SMPS Module Specify efficiency Details. 4. In the fuse protection module also add MOV.</t>
  </si>
  <si>
    <t>Charging time is 30Minutes and specified. Efficiency range specified. Mov add with fuse in protection module.</t>
  </si>
  <si>
    <t>Battery voltage in TT mode modified.</t>
  </si>
  <si>
    <t>Review records will be kept in MOM or other document in future.</t>
  </si>
  <si>
    <t>RTT is not available</t>
  </si>
  <si>
    <t>Prepare RTT and upload at share point.</t>
  </si>
  <si>
    <t>MPP is not available</t>
  </si>
  <si>
    <t>Prepared MPP and Upload at shre point.</t>
  </si>
  <si>
    <t>GSM052_FUNSPC formatting is changed.</t>
  </si>
  <si>
    <t>GSM052_FUNSPC formatting is change as per QMS1_2.</t>
  </si>
  <si>
    <t>Spelling mistakes in MOM</t>
  </si>
  <si>
    <t>Pending Action Number 4 is not in agenda item of next team meeting.</t>
  </si>
  <si>
    <t>We have telephonic discussion with QA Head and she said Mr.Maninder  is responsible for audit at dated 02/11/2015.Next time we will write  about this type of conversation in MOM.</t>
  </si>
  <si>
    <t>Effort Estimation for Preliminary Planning is not in agenda item in Kick off Meeting</t>
  </si>
  <si>
    <t>We have discuss about  Effort Estimation for Preliminary Planning but we forget this point to written in MOM.Further we will take care.</t>
  </si>
  <si>
    <t>On Site Backup of the Server Data as Decided for doing backup weekly, is not done weekly in October month.</t>
  </si>
  <si>
    <t>As further road map planning for IRs and SCAMPI was going on, so after final decision from sr. management, back up process stared again.</t>
  </si>
  <si>
    <t>Restoration is not performed because there was not any request from concerned person, further due to some network issues back up and data testing is not as per schedule.</t>
  </si>
  <si>
    <t>The Pre planning project schedule (MPP) is not avialable.</t>
  </si>
  <si>
    <t>Upload in Share point.</t>
  </si>
  <si>
    <t>Time in Time Sheet for Kick-off meeting held at 28/10/2015 4:30 pm to 4:45 pm of Mr. Raghvendra Thakur is wrongly entered</t>
  </si>
  <si>
    <t>That was clerical mistake, now it is ok</t>
  </si>
  <si>
    <t>Time Sheet for Kick Off meeting not filled by Mr. Tarun Gupta</t>
  </si>
  <si>
    <t>As discussion with PEG head that no need to fill time sheet of senior managment.</t>
  </si>
  <si>
    <t>Tailoring Proposal not filled in case of Functional Specifications Review done by SME instead of Project Manager</t>
  </si>
  <si>
    <t>Tailoring proposal mail now fetch in share point for evidence.</t>
  </si>
  <si>
    <t>Time Sheet on 9 November 2015 wrongly filled timing.</t>
  </si>
  <si>
    <t>It was a mistake now it is correct</t>
  </si>
  <si>
    <t>RTT upload.</t>
  </si>
  <si>
    <t>GGE055_MINMET files is not the updated one the recent team meetings held is not updated in the template</t>
  </si>
  <si>
    <t>Updated MOM now upload in share point</t>
  </si>
  <si>
    <t>Uploaded MOM is shown Approved while it should be in draft version</t>
  </si>
  <si>
    <t>No findings for QMS 1.3</t>
  </si>
  <si>
    <t>Requirement Review checklist location is wrong. It should be in the Requirement development directory in sharepoint.</t>
  </si>
  <si>
    <t>Requirement Review checklist upload in the Requirement development directory in share point.</t>
  </si>
  <si>
    <t>In deployment criteria use of new version of measurement tool (TOOL_MEASUR) not described.</t>
  </si>
  <si>
    <t>As use of new measurement tool has been explained during QMS 1.3 release training, and in next release we will take care for these points.</t>
  </si>
  <si>
    <t>List of risks should be updated on the past projects risks analysis.</t>
  </si>
  <si>
    <t>Make correct change in plan document and all fields are fill in 12.2 Review plan.</t>
  </si>
  <si>
    <t>Project Plan is not Approved by Senior Management</t>
  </si>
  <si>
    <t>Take approval from Senior Management.</t>
  </si>
  <si>
    <t>Schedule By Milestone Logs are not filled with all phase planned dates</t>
  </si>
  <si>
    <t>Schedule by Milestone Logs are filled with all phase Completion date and planed Efforts.</t>
  </si>
  <si>
    <t>Project Plan Review is done by other person other than senior management</t>
  </si>
  <si>
    <t>Project Life cycle in not the updated on as given tailoring guidelines. Last Phase of project life cycle should be release/closure.</t>
  </si>
  <si>
    <t>That was a verbal communication so there was no any mail, but all members filled times sheet. In next phase i will take care.</t>
  </si>
  <si>
    <t>Resource Plan Does not Contain the DC power Supply</t>
  </si>
  <si>
    <t>Add power supply in resource</t>
  </si>
  <si>
    <t>In Resource Plan , Name of Resource should be specific</t>
  </si>
  <si>
    <t>Now update actual start and finish date of RTT in MPP.</t>
  </si>
  <si>
    <t>MOM is not the updated one</t>
  </si>
  <si>
    <t>Update the MOM, MOM was prepared but not archived in share point.</t>
  </si>
  <si>
    <t>Now updated in plan</t>
  </si>
  <si>
    <t>In Schedules By Milestone log the Planned Efforts are wrongly filled as 40</t>
  </si>
  <si>
    <t>That was a clerical mistake, now filled 27.3 instead of 40</t>
  </si>
  <si>
    <t>Now correct the ID no.</t>
  </si>
  <si>
    <t>Items In Configuration Management Plan should be updated</t>
  </si>
  <si>
    <t>CM plan now updated</t>
  </si>
  <si>
    <t>Risk ID 3 not appropriate as its Contingency plan requires a action item which requires project restart.</t>
  </si>
  <si>
    <t>Updated as per finding</t>
  </si>
  <si>
    <t>In Training Plan, in Skill/ Experience is not updated</t>
  </si>
  <si>
    <t>In Estimations Final the Project Codes is not filled in worksheets</t>
  </si>
  <si>
    <t>Timesheet of Firmware Estimation not filled by rahul upadhayay</t>
  </si>
  <si>
    <t>rahul upadhyay filled his time</t>
  </si>
  <si>
    <t>Timesheet name of the person wrongly filled</t>
  </si>
  <si>
    <t>That was a clerical mistake by team member, because rakesh pandey can never participate in effort estimation for mechanical</t>
  </si>
  <si>
    <t>Time Sheet of Raghvendra Thakur not filled of Team Meeting done on 12/07/2015</t>
  </si>
  <si>
    <t>NOW UPDATED</t>
  </si>
  <si>
    <t>Appropriate number of Team Meetings are not done.</t>
  </si>
  <si>
    <t>In starting meeting was not done on time, now team meeting is doing on the time.</t>
  </si>
  <si>
    <t>Date of Team Meeting in MOM is not correct as in time sheet it is 12/07/2015 while in MOM it is 12/06/2015</t>
  </si>
  <si>
    <t>Action Items are not elaborated in MOM</t>
  </si>
  <si>
    <t>Communication of MOM is not archived</t>
  </si>
  <si>
    <t>Review and Defect for Mechanical Design Review not Logged by Reviewer</t>
  </si>
  <si>
    <t>In review found no any defect, forgot to logged by reviewer now done.</t>
  </si>
  <si>
    <t>Communication of MOM to the respective members is not archived</t>
  </si>
  <si>
    <t>Forgot to communicate the mail will take care in next phase</t>
  </si>
  <si>
    <t>Now time sheet filled</t>
  </si>
  <si>
    <t>10/12/2015 Time:9.30AM to 10.00AM Time Sheet not filled of Bharat Kakra</t>
  </si>
  <si>
    <t>Now time sheet filled by bharat kakra</t>
  </si>
  <si>
    <t>Time Sheets of Naveen Rajpurohit Filled Two Times on 12/13/2015 9:10 Hardware test case preparation and module testing</t>
  </si>
  <si>
    <t>That was a mistake now resolved</t>
  </si>
  <si>
    <t>Verification or Review of Integration steps not done</t>
  </si>
  <si>
    <t>Revision History in Process Document for the Production Support modules is not updated</t>
  </si>
  <si>
    <t>Integration Steps are not appropriately written</t>
  </si>
  <si>
    <t>Resolved as per requirment</t>
  </si>
  <si>
    <t>Integration Test Case IDs are not filled</t>
  </si>
  <si>
    <t>IDs filled</t>
  </si>
  <si>
    <t>Production Support Document List is not complete like missing wiring diagram</t>
  </si>
  <si>
    <t>Integration Test Case ID 4 not used in any document</t>
  </si>
  <si>
    <t>In RTT at low battery section added.</t>
  </si>
  <si>
    <t>Review of RTT is not done</t>
  </si>
  <si>
    <t>As a project manger with designer make the RTT so no need of review.</t>
  </si>
  <si>
    <t>Project Schedule not updated</t>
  </si>
  <si>
    <t>Now updated</t>
  </si>
  <si>
    <t>Issue log now updated</t>
  </si>
  <si>
    <t>Approval taken by validation head mail now archived.</t>
  </si>
  <si>
    <t>RTT is not Reviewed by Project Manager</t>
  </si>
  <si>
    <t>In this project with all the designer make RTT so no need of review, but in next project will take care.</t>
  </si>
  <si>
    <t>MPP is not updated</t>
  </si>
  <si>
    <t>Closure</t>
  </si>
  <si>
    <t>Project Closure Report not archived</t>
  </si>
  <si>
    <t>Now archived</t>
  </si>
  <si>
    <t>Training Records</t>
  </si>
  <si>
    <t>QMS 1.3 Release Training Record not found. Also Training records for those who were absent during QMS 1.1 release training is also not found.</t>
  </si>
  <si>
    <t>Project Completion Dates are Conflicting if we look the same in Mail and MOM.</t>
  </si>
  <si>
    <t>Project close date is 20/02/2016, in a mail it was 02/02/2016. It was a clerical mistake.</t>
  </si>
  <si>
    <t>Customer Representative's Input regarding change in functional Specification was not mailed to functional heads.</t>
  </si>
  <si>
    <t>It was a verbal communication in future will take care</t>
  </si>
  <si>
    <t>Action Items of Kick off Meeting are not tracked to closure.</t>
  </si>
  <si>
    <t>Update the action items in MOM</t>
  </si>
  <si>
    <t xml:space="preserve"> Team Meetings among Functional Heads are lacking communication.</t>
  </si>
  <si>
    <t>No any findings</t>
  </si>
  <si>
    <t>MOM containing decision to Hold Project is not archived only available on papers.</t>
  </si>
  <si>
    <t>upload MOM</t>
  </si>
  <si>
    <t>Upload MOM</t>
  </si>
  <si>
    <t>Training calendar not updated</t>
  </si>
  <si>
    <t>Senior Management Review Evidence not available.</t>
  </si>
  <si>
    <t>Update in schedule by milestone</t>
  </si>
  <si>
    <t>Configurable items is same as defined in MSTL_CMLIST</t>
  </si>
  <si>
    <t>Release plan not specified in project Plan.</t>
  </si>
  <si>
    <t>In present template, no any release plan. For this process improvement log filled.</t>
  </si>
  <si>
    <t>For this project CI work performed by project manager so these things keep in mind for next project</t>
  </si>
  <si>
    <t>That was clerical mistake , it was a review of conceptual design of hardwrae</t>
  </si>
  <si>
    <t>It should be controlled it was mistake</t>
  </si>
  <si>
    <t>Approval was from mail now, mail is fetched in share point</t>
  </si>
  <si>
    <t>It is not necessary to define the review.Because it is understood thing that the meaning of review is to think or talk about something.In our plan it is clearly mention review type and frequency.</t>
  </si>
  <si>
    <t>Audit plan and send via mail to PPQA head</t>
  </si>
  <si>
    <t>Metrics report audit of RD phase and Metrics report audit for plan phase will plan at the end of plan phase.</t>
  </si>
  <si>
    <t>Project manager was on official tour so it was not conducted</t>
  </si>
  <si>
    <t>MBRs</t>
  </si>
  <si>
    <t>It was a mistake, corrected by member</t>
  </si>
  <si>
    <t>Updated schedule is now on share point</t>
  </si>
  <si>
    <t>DAR Plan not updated as it does not in line with actual DAR activities. Also MPP does not include DAR Activity. Please update DAR plan as Actuals. Mention DAR in MPP.</t>
  </si>
  <si>
    <t>DAR Plan update in Plan document and MPP.</t>
  </si>
  <si>
    <t>Efforts in Timesheet not Logged for DAR activity. Please log efforts of DAR</t>
  </si>
  <si>
    <t>Efforts for DAR activity log in Timesheet.</t>
  </si>
  <si>
    <t>RTT not updated after Requirement Phase. Please Update RTT.</t>
  </si>
  <si>
    <t>Update RTT at Integration Phase.</t>
  </si>
  <si>
    <t>Review of Interface and Integration Design Document not performed. Please conduct review of same.</t>
  </si>
  <si>
    <t>Conduct Review of Interface and Integration Design Document performed.</t>
  </si>
  <si>
    <t>Requirements (No. 31, No. 12) could not be tracked in Design document. Please consider these in Design Document.</t>
  </si>
  <si>
    <t>As per Requirements (No. 31, No. 12), we considered in Design .Change in Design and again review and approved.</t>
  </si>
  <si>
    <t>file name description used for MOM format before kick-off meeting is not as per QMS</t>
  </si>
  <si>
    <t>Need ID-14's elaboration is not measureable</t>
  </si>
  <si>
    <t>Need ID Elaboration Change and make it testable.</t>
  </si>
  <si>
    <t>In Action Item / Decision Column in MOM the Decision or Action Items should be clearly marked with writing Decision or Action Item after them.</t>
  </si>
  <si>
    <t>Correct in schedule by milestone phase</t>
  </si>
  <si>
    <t>Uploaded in Project repositry</t>
  </si>
  <si>
    <t>Off the system shown to auditor now archived in share point.</t>
  </si>
  <si>
    <t>Valid point Now update the name of shaym krishan soni by maninder singh</t>
  </si>
  <si>
    <t>In share point update the schedule by milestone</t>
  </si>
  <si>
    <t>Update in the metric report</t>
  </si>
  <si>
    <t>DAR plan updated Now CM links are open easily in browser</t>
  </si>
  <si>
    <t>Test Case Documents</t>
  </si>
  <si>
    <t>Firmware test with hardware module tested in integration phase result of each id mention in firmware test document</t>
  </si>
  <si>
    <t>Now approved the firmware design document In our case these documents can be approved by project manager or by SME, so it is approved by SME</t>
  </si>
  <si>
    <t>Mail send to senior management approval mail also got from same side project closure date is 12/3/2016</t>
  </si>
  <si>
    <t>update in the test plan</t>
  </si>
  <si>
    <t>It was a mistake Now consider</t>
  </si>
  <si>
    <t>Put all the related IDs in INTDSN</t>
  </si>
  <si>
    <t>That was a clerical mistake in firmware design document BOM add in intstdn</t>
  </si>
  <si>
    <t>Off the shelf components add in design document and also update in RTT as per audit finding</t>
  </si>
  <si>
    <t>Time sheet date is wrongly filled as 8/3/2016 of one member</t>
  </si>
  <si>
    <t>Change time sheet date</t>
  </si>
  <si>
    <t>Time of Team Meeting in MOM on 8/3/2016 is typed wrong</t>
  </si>
  <si>
    <t>The Links given in the plan document should be properly maintained i.e. should be pinpoint to the file after clicking on them the corresponding required file should open instead of the parent directory</t>
  </si>
  <si>
    <t>The Dates used in plan document for schedule of test plan should are necessary as they are given in project schedule made in MPP.</t>
  </si>
  <si>
    <t>The Escalation to, column is wrongly filled with escalation to Project Manager for Technical area .</t>
  </si>
  <si>
    <t>Change escalation plan</t>
  </si>
  <si>
    <t>In Roles and responsibility matrix the type of reviewer should be mention after the name of team members to clearly identify the reviewer whether they are SME or PEER reviewers</t>
  </si>
  <si>
    <t>Name of some members of the team is not there in skill matrix in training plan section</t>
  </si>
  <si>
    <t>Add team members in skill matrix</t>
  </si>
  <si>
    <t>In Risk Matrix the severity used should be only High Medium or Low with respective given numbers in guidelines also the severity of the RISK ID is given 10 which is not appropriate</t>
  </si>
  <si>
    <t>Change Severity and liklihood</t>
  </si>
  <si>
    <t>Validation Report not made. Please Generate Validation Report.</t>
  </si>
  <si>
    <t>Prepared and update in share point</t>
  </si>
  <si>
    <t>Defects analysis (Root Cause Analysis) not done. Please Analyse and document the same.</t>
  </si>
  <si>
    <t>Mechanical Review Document is not completely filled</t>
  </si>
  <si>
    <t>All field in Review document filled correctly.</t>
  </si>
  <si>
    <t>Testing Defect Log for the Review of Integration design Document the log has been correctly filled in Defect Found using field(Review)</t>
  </si>
  <si>
    <t>Name of team member noted in the MOM of the Team Meeting done on 12/11/2015 should not be their, as he was not present in meeting on that day</t>
  </si>
  <si>
    <t>Time Sheet Timing typed wrongly by one member on 1/22/2016.</t>
  </si>
  <si>
    <t>Team Meetings are not done as per scheduled frequency</t>
  </si>
  <si>
    <t>Between 25 Dec.2015 to 10 Jan.2016 our work place shifting at other building.so Team members were busy in this work.</t>
  </si>
  <si>
    <t>Task description or Comments are not with proper description</t>
  </si>
  <si>
    <t>Review Defect Log not filled for the review done of design document mechanical drawing on 1/30/216</t>
  </si>
  <si>
    <t>Team Member name should not be there in list of Participant if the member is not present in the team meeting as on 02/22/2016</t>
  </si>
  <si>
    <t>That was a clerical mistake now correct in document</t>
  </si>
  <si>
    <t>Master List prepared</t>
  </si>
  <si>
    <t>In next team meeting i will implement this.</t>
  </si>
  <si>
    <t>update the MPP and upload in the share point</t>
  </si>
  <si>
    <t>Approved</t>
  </si>
  <si>
    <t>Mechanical design document table of contents updated Nomenclature of document in review and defect log corrected.</t>
  </si>
  <si>
    <t>As firmware designer confirmed that the source code fully reusable so only design review require, source code review not required for this. So it is not done by him as I planned. So nothing can do for this as this happened already. (refer attached mail)</t>
  </si>
  <si>
    <t>The review actually conducted by Sundeep ji as review checklist said, but time sheet missing for this, the same has been updated.</t>
  </si>
  <si>
    <t>There are some typographical mistakes in the metrics report</t>
  </si>
  <si>
    <t>In Preliminary Planning Project Code is not filled &amp; header text is also not changned</t>
  </si>
  <si>
    <t>We change in Preliminary planning,Fill Project code and also change in header write "GSM052" instead of "TEMP".</t>
  </si>
  <si>
    <t>Restoration testing of Data is not performed but only compared &amp; also that is not as per schedule.</t>
  </si>
  <si>
    <t>Project Life Cycle last stage is should be Closure &amp; Release instead of Release only.</t>
  </si>
  <si>
    <t>in  12.2. Review Plan&amp; Independent Subject Matter Expert Review Plan Fields are wrongly filled &amp; some fields are blank</t>
  </si>
  <si>
    <t>11.1. List of Configurable Items, Access Details and Release Plan  Plan Review Checklist Data is not maintained</t>
  </si>
  <si>
    <t>11.1. List of Configurable Items, Access Details and Release Plan  Plan Review Checklist Data is filled in plan document.</t>
  </si>
  <si>
    <t>Review is done with peer instead of senior management. I Have discuss with PEG Team ,they will explore as senior management have time consent so the check list filled by peer or SME reviewer.</t>
  </si>
  <si>
    <t>Estimation Team Formation &amp; their communication mails are not archived</t>
  </si>
  <si>
    <t>MPP is not updated for planning RTT Date actual Start &amp; Finish</t>
  </si>
  <si>
    <t>12.2. Review Plan &amp; Independent Subject Matter Expert Review Plan  Points are not at appropriate place</t>
  </si>
  <si>
    <t>NEED ID no.  is written two times in all estimations which is creating problems 15.02</t>
  </si>
  <si>
    <t>Agenda Items in MOM should be more clear</t>
  </si>
  <si>
    <t>Time Sheet Not Filled of the Members on 17/12/2015 Time:5.00PM to 5.30PM   Raghvendra Thakur,Rahul upadhyay, Maninder Singh</t>
  </si>
  <si>
    <t>Designer are experienced so no  need of verification for integration and integration steps  are not too much complicated.</t>
  </si>
  <si>
    <t>Review &amp; Testing Defect not logged for Integration Testing done</t>
  </si>
  <si>
    <t>New Members added in Validation Phase Communication is not archived</t>
  </si>
  <si>
    <t>As the hard copy of attendance missed for training of QMS_1.3 release, and we confirm you with team members that training organized actually. Next time we'll keep safely this type of records.
Only Mr. Tarun Gupta (Which is head of Dept.) and Mr. Sundeep Jain (Already PEG member) was absent which actually no need to attend training mandatory.</t>
  </si>
  <si>
    <t>Project Initiation MOM dated 31/12/2015 was not communicated to Senior Management.</t>
  </si>
  <si>
    <t>After project initiation MOM had not communicated to senior management, but after kick off meeting both MOM (Kick off meeting's and project initiation meeting's) send to senior management.</t>
  </si>
  <si>
    <t>Following Observations need to be taken care of  1. If the same information is to be used in multiple documents, then it should be ensured that the information is same everywhere so as to avoid confusion.  2. Emphasis should be given to ensure correct Serial nos. in documents like Functional Specifications, RTT etc.</t>
  </si>
  <si>
    <t>Training calendar is being maintained on monthly basis and uploaded on SharePoint.</t>
  </si>
  <si>
    <t>MOM of the Senior Management review is available as the evidence in of Senior Management Review &amp; presently PEG is on work to create a Review Checklist for the PPQA Senior Management Review which will be available after next QMS Version i.e. QMS 1.4 release.</t>
  </si>
  <si>
    <t>Major NC given in Project GGE055 on 12/09/2015  Log ID 275 - In Schedules By Milestone log the Planned Efforts are wrongly filled as 40  should be analyzed whether other projects Managers are doing the same if so then co-ordinate with them for its resolution so that it can be corrected</t>
  </si>
  <si>
    <t>Major NC given in Project GGE055 on 12/09/2015  LOG ID 281- Timesheet of Firmware Estimation not filled by rahul upadhayay  If same type of NCs are coming again &amp; again then it should be analyzed &amp; PPQA should co-ordinate with team members for the same.</t>
  </si>
  <si>
    <t>Schedules by Milestone log not Updated beyond planning Phase.</t>
  </si>
  <si>
    <t>Access Rights for Configurable Items are not defined.
And also the purpose or Phase in which a particular Work Product will be required or come into existance is also not defined.</t>
  </si>
  <si>
    <t>Configuration Management Plan Review not Conducted.</t>
  </si>
  <si>
    <t>Work Product Reviewed on 19/1/2016 is not specified.</t>
  </si>
  <si>
    <t>RTT has been baselined which should not be.</t>
  </si>
  <si>
    <t>Functional Specification 'Change Note',Review/Approval not archived.
 </t>
  </si>
  <si>
    <t>Rationale for selecting a Work Products for review is not specified.
i.e. Purpose/Reason for selecting a work product for review is not specified.</t>
  </si>
  <si>
    <t>Review and approval of Audit Plan not done.</t>
  </si>
  <si>
    <t>RD Phase Metrics Report Audit not conducted.
Also MBR not sent to PEG.</t>
  </si>
  <si>
    <t>MPP name on Sharepoint is GGS028, which should be GGS028_MPP.
Configuration Items(Work products) column in Project Plan Document should match the nomenclature of documents uploaded on SharePoint.</t>
  </si>
  <si>
    <t>No 'Status Review Meetings' conducted after 16/1/2016.</t>
  </si>
  <si>
    <t>Audit Reports not available, which implies that the same were not considered for identifying Process Improvement Opportunities.</t>
  </si>
  <si>
    <t>We only missed to archive the report in SVN, while we analysed during QMS revise activities.
Now we have archived in SVN.</t>
  </si>
  <si>
    <t>Consolidated QMS requirements does not have inputs from-
1. Project Metrics Baseline Reports
2. Project Risks
Please gather and analyse requirements from the same.</t>
  </si>
  <si>
    <t>Both are considered during QMS revise activities, we just missed to archive in SVN, now we have done.
 </t>
  </si>
  <si>
    <t>Organisation level MBR (MBR1)yet not released.
Please Release MBR so that its findings could be captured.
Similarly GGE055 MBR not analsed for improvements.</t>
  </si>
  <si>
    <t>MBR 1 already released on 29th Jan. 2016, you can find on Measurement repositry and SVN also. And we have take care findings by MBR1 during this new release of QMS as Requirement provider list, INVEST criteria and points to be considered during identify needs mentioned in FS tempelate as instruction for use sheet. which also denotes we analysed GGE055 Metrices Report.</t>
  </si>
  <si>
    <t>Action plan does not reflect Action items from MOMs. so person responsible, schedules, resources (if required) etc could not be identified from Action Plan.
Please include Action items of MOMs.</t>
  </si>
  <si>
    <t>As discussed we'll segregate our activities to more elaborate in action plan of PEG in future.</t>
  </si>
  <si>
    <t>Evidence of Kick Off Meeting reschedule from 9 Feb to 13 Feb is not avialable </t>
  </si>
  <si>
    <t>Time in Timesheet logs for kick off meeting filled wrongly by one memeber</t>
  </si>
  <si>
    <t>Action Item in MOM was not updated</t>
  </si>
  <si>
    <t>In MOM Decision or Action Items are not clearly mention against the text.</t>
  </si>
  <si>
    <t>Projects Schedule is not available in sharepoint</t>
  </si>
  <si>
    <t>Appropriate Team Meeting are not avialable in RD phase</t>
  </si>
  <si>
    <t>It should be after one weak but not happen. It will be happen next time on timely, in this phase some works happen verbally.</t>
  </si>
  <si>
    <t>NO NC Observed.</t>
  </si>
  <si>
    <t>Wrong Entry of Validation Phase in 'Schedules by Milestones Log'
Please correct it.</t>
  </si>
  <si>
    <t>Tailoring approval mail not archived on Share Point.</t>
  </si>
  <si>
    <t>Please convey to team members why risk no. 2 identified during Team Meeting on 02/03/2016 is not considered in risk Matrix.</t>
  </si>
  <si>
    <t>No NC Found in the Audit of Metrics Report of Planning Phase.</t>
  </si>
  <si>
    <t>Mechanical Estimation file not Archived in Share Point.
Please Archive</t>
  </si>
  <si>
    <t>MPP and Plan not updated for change of Auditor.
Please Update</t>
  </si>
  <si>
    <t>Review of Project Plan not Done.
As per Procedures it should be Reviewed.</t>
  </si>
  <si>
    <t>There is no any major changes in planning, so no need to review it</t>
  </si>
  <si>
    <t>Schedules by milestones Log not Updated.
Update MPP.</t>
  </si>
  <si>
    <t>Following NCs observed in Metrics Report
1. Corrective Action of Planning Phase Effort Variance are not measurable.
Please put measurable actions
2. Causal and Corrective Data for effort Variance in RD Phase is not available. same is also missing in Graphical Representation
Please Update</t>
  </si>
  <si>
    <t>Following NCs target Project Planning-
1. DAR Plan not Updated in Project Plan.
2. CM List Links are not Valid
 </t>
  </si>
  <si>
    <t>In Firmware Test Document Test Resukts are not filled
Please update Test Results</t>
  </si>
  <si>
    <t>1.Firmware Design Document not approved.
2.Hardware Design Document is approved by SME instead of Project Manager</t>
  </si>
  <si>
    <t>Schedule Variances beyond Thresholds not escalated.</t>
  </si>
  <si>
    <t>Gaps in Review Plan and Actual Reviews. Main Gaps include
1. Following reviews not conducted-
     Hardware Test Case Review
     Mechanical Test Case Review
     Code Review
2. SME Review not conducted for Schematics
3. PCB Layout Review is assigned to SME in Plan but was conducted by Project Manager.</t>
  </si>
  <si>
    <t>Because SME was busy in other work so he assigned this job to me verbally, and as a hardware designer i reviewed the PCB layout. Schematic review conducted by peer he is also a well experienced hardware designer specially for solar product. Update in plan also</t>
  </si>
  <si>
    <t>Test Plan could not be traced in Testing and Defect Log.
If Hardware Test Cases cover all Test Plans then please refer it in Test Plan Section of Project Plan.</t>
  </si>
  <si>
    <t>Test Results in Hardware Test Cases does not contain current(A) 
Values.
Please fill complete test results.</t>
  </si>
  <si>
    <t>Integration Test Cases could not be linked with INTDSN Document.
Also in Integration section of INTDSN Document TEST IDs are Missing.
Please put all applicable Integration Test Case IDs</t>
  </si>
  <si>
    <t>Please correct following Documentary Changes-
1. In Firmware Design Document Project Code is Wrong.
2. BOM not mentioned in user and Production support section of INTDSN document.</t>
  </si>
  <si>
    <t>Please take note of following Observations-
1. In Design Documents design alternatives have been mentioned for variuous modules. But DAR Plan is applied for only one Design Alternative.
So how decision for rest was made and what was rationale to select any alternative for DAR Plan is not Clear.
2. Weightage in DAR Plan- Weightages for each Criterion should be different.
3. In INTDSN document avoid repitition of same module/components in both Interface and Integration Section.
4. In design Documents Failure mode and mitigation plan could be avoided if we are mentioning Module as already Tested.</t>
  </si>
  <si>
    <t>Please Correct following NCs in RTT
1. Firmware test ID no. 3.11 is incomplete please add FRW in order to avoid confusion with other modules.
2. Please mention "Off the Self" for all Off the Shelf Components/Modules in RTT Design IDs. And consecutively put Module/Component name in Implementation ID.</t>
  </si>
  <si>
    <t>Please Do ensure timely availability of  Master List of Libraries and User/product deliverables.</t>
  </si>
  <si>
    <t>Audit of Metrics Report of Design and Integration Phase done, No NC Observed.</t>
  </si>
  <si>
    <t>In System Test Cases 'Test ID' numbering is not in sequence. Although IDs in both "test Cases' and 'RTT' are matching but still such errors should be avoided.</t>
  </si>
  <si>
    <t>Root cause analysis done, it is in the share point in GGS028_MINMET, unfortunately this meeting was held without any written communication</t>
  </si>
  <si>
    <t>The formatting of the Mechanical Design document is not in proper format , the format is changed due to the use of different office suite for editing the document</t>
  </si>
  <si>
    <t>Artefact name is not described in the log for review done on 1/23/2016 by the reviewer of functional specification document</t>
  </si>
  <si>
    <t>Time or Date Format Used in all documents should be same which Date/Month/Year It is different in some documents which leads sometimes to ambiguity.</t>
  </si>
  <si>
    <t>In Review &amp; Testing Defect Log for the Review of Integration design Document the log has been wrongly filled in Defect Found using field</t>
  </si>
  <si>
    <t>No defect found in Mechanical drawing,so forget to log for this review.We will take care next time for this.</t>
  </si>
  <si>
    <t>There are some typographical mistakes in Plan Document &amp; Links given in the document should be proper linkable to the document</t>
  </si>
  <si>
    <t>By mistake PCB no. not checked.
Please correct PCB Number</t>
  </si>
  <si>
    <t>Master List of Libraries not made.  Please make and get approval from Functional Heads.</t>
  </si>
  <si>
    <t>Formatting of the Metrics report is not proper &amp; causal analysis done for RD Phase is not properly written</t>
  </si>
  <si>
    <t>the link to the artefact in the plan is not specific , it should be to the point so that when it is clicked it should directly open the repective file.</t>
  </si>
  <si>
    <t>arteafct location on the sharepoint should be specific to the repective phase folder i.e. it should be present in the folder to which phase it belongs in order to manage the artefacts in a better way</t>
  </si>
  <si>
    <t>Discussion on Pending Action Items is not marked clearly or separately in the team meetings</t>
  </si>
  <si>
    <t>The Design document is approved by designer in the sharepoint instead of that it should be approved by the functional head.</t>
  </si>
  <si>
    <t>It is a problem of share point  already fill the issue log against this problem. For re verification again approve the document and other documents by  functional head.</t>
  </si>
  <si>
    <t>The Project Schedule in MPP is not updated</t>
  </si>
  <si>
    <t>RTT not approved after updating Implementation and Module Test IDs.
Please approve RTT.</t>
  </si>
  <si>
    <t>Following Documenting/clerical mistakes were observed-
--In GDB003_MCHDSN Table of Content is incomplete. Module Section 3.3 is missing.
Please Correct.
--In Review and Testing Defect Logs(Share Point) INTDSN Review artefact is wrong. GDB_INTDSN is written which should be GDB003_INTDSN. Please Correct.</t>
  </si>
  <si>
    <t>Source code review not conducted.</t>
  </si>
  <si>
    <t>Mechanical Drawing Review not conducted or Logs/Timesheet not Updated.</t>
  </si>
  <si>
    <t>While filling RTT Blanks should be avoided. These should be updated with relavent informations.</t>
  </si>
  <si>
    <t>Please add Corrective Action field in Schedule Variation section of D&amp;I Phase.</t>
  </si>
  <si>
    <t>Mention corrective action for Schedule in D&amp;I phase</t>
  </si>
  <si>
    <t>Module testing</t>
  </si>
  <si>
    <t>Integration test of system</t>
  </si>
  <si>
    <t>test system cases</t>
  </si>
  <si>
    <t>test validation test cases</t>
  </si>
  <si>
    <t>Team meeting about status</t>
  </si>
  <si>
    <t>Discuss on schedule and defects.</t>
  </si>
  <si>
    <t>Make 2d design</t>
  </si>
  <si>
    <t>make 2d design</t>
  </si>
  <si>
    <t>Team meeting - discuss on schedule</t>
  </si>
  <si>
    <t>Validation Report preparation</t>
  </si>
  <si>
    <t>status review meeting Design and implementation phae</t>
  </si>
  <si>
    <t>updated RTT (system test cases ID's)</t>
  </si>
  <si>
    <t>(GGE063, D and I Phase) Firmware test cases reviewed by Bharti Sharma.</t>
  </si>
  <si>
    <t>Integration Test of GGE058 and Find out issues.</t>
  </si>
  <si>
    <t>Audit of Integration and Validation phases</t>
  </si>
  <si>
    <t>Revise system test case and RTT to resolve audit NC ID 427</t>
  </si>
  <si>
    <t>Resolve Audit (Integration and Validation phases) Ncs.</t>
  </si>
  <si>
    <t>Fill review log find during integration test and inform to thr concern person and project manager.</t>
  </si>
  <si>
    <t>Module testing and update RTT.</t>
  </si>
  <si>
    <t>pcb lay out design</t>
  </si>
  <si>
    <t>(GGE063, D and I phase) Implementation of source code.</t>
  </si>
  <si>
    <t>Metrics Report Preparation upto Integration and Validation Phase</t>
  </si>
  <si>
    <t>team meetings</t>
  </si>
  <si>
    <t>Audit of Metrics Report (Integration and Validation Phase)</t>
  </si>
  <si>
    <t>Milestone Review of Integration and Validation Phase</t>
  </si>
  <si>
    <t>Team meeting for project learning</t>
  </si>
  <si>
    <t>RTT Prepared</t>
  </si>
  <si>
    <t>Team meeting and discuss Project learnings</t>
  </si>
  <si>
    <t>(GDB003, Closure and Release) Participated in team meeting. Discussed about project current status and project's learnings.</t>
  </si>
  <si>
    <t>Preaparation of Firmware module test cases.</t>
  </si>
  <si>
    <t>Participated in team meeting. Discussed about defect analysis.</t>
  </si>
  <si>
    <t>Team Meeting. Discussion-
Audit for Integration and Validation Phase on-21 March 2016
Root Cause Analysis done for validation defects</t>
  </si>
  <si>
    <t>Team meeting Status Review Audit schedule Defect Analysis</t>
  </si>
  <si>
    <t>Status Review team meeting.</t>
  </si>
  <si>
    <t>Status review meeting  Design and implementation phase</t>
  </si>
  <si>
    <t>GGE063 D&amp;I PHASE Team meeting for schedule discuss.</t>
  </si>
  <si>
    <t>Team Meeting - Project Status Review (GGE063 - D&amp;I Phase)
Project Schedule With Audit Schedule compliance
Task Assignment &amp; Completion status
 </t>
  </si>
  <si>
    <t>Team Meeting: (D and I Phase, GGE063) Participated  in team mmeting. Discussed about project's activities current status.</t>
  </si>
  <si>
    <t>prepared system test case for validation purpose, need more time to prepare full format. uploaded document is not ready for review.</t>
  </si>
  <si>
    <t>(Project GGE063,d&amp;i ) Review of firmware test cases</t>
  </si>
  <si>
    <t>Audit of Integration and Validation Phase done.</t>
  </si>
  <si>
    <t>Revise Integration document to resolve NC</t>
  </si>
  <si>
    <t>On behalf of pawan sharma filling this time sheet. . Resolve the issue found by tester</t>
  </si>
  <si>
    <t>Audit of Metrics Report of Integration and Validation Phase done.</t>
  </si>
  <si>
    <t>Team Meeting. Discussion over
-Project Learnings
-Audit for closure and release to be done on 22/3/2016</t>
  </si>
  <si>
    <t>Review meet on project status</t>
  </si>
  <si>
    <t>GDB003_INTCAS, 0.1</t>
  </si>
  <si>
    <t>GGE063_FWTCAS(0.1)</t>
  </si>
  <si>
    <t>names should not be there in tested by field.</t>
  </si>
  <si>
    <t>Names from 'tested by' field removed.</t>
  </si>
  <si>
    <t>GGE063_FWTCAS(0.2)</t>
  </si>
  <si>
    <t>GGE058_INTCAS</t>
  </si>
  <si>
    <t>Voltage range selection interchanged due to switch direction.</t>
  </si>
  <si>
    <t>As per discuss with mechanical functional head no need of Hooks at Chassis.For External Transportation the product would pack in Pallet Packaging &amp; then transporter will take care of movements.</t>
  </si>
  <si>
    <t>On behalf of pawan sharma filling this. Change the direction of switch</t>
  </si>
  <si>
    <t>mentioned integration test case ids on integration document</t>
  </si>
  <si>
    <t>As both file has different extension as one has Xslx and another one has xlx, so both are uploaded differently by mistake, but it can not correct as version history will be delete if do this.</t>
  </si>
  <si>
    <t>Mentioned mechanical drawings numbers in report</t>
  </si>
  <si>
    <t>Project plan revised and get approved after change name in reviewer of validation</t>
  </si>
  <si>
    <t>Closed the resolve defect log</t>
  </si>
  <si>
    <t>In INTDSN document applicable Integration Test Case IDs are missing.
Please update with respective Integration Test Case IDs</t>
  </si>
  <si>
    <t>On Sharepoint 2 Files with name GDB003_INTCAS are uploaded. i.e. version control is not taken care for GDB003_INTCAS</t>
  </si>
  <si>
    <t>1. RTT could not be tracked for following Validation Test Cases-
OUT_3, MECH_2, MECH_4 to MECH_7
Please Update RTT.
2. Also MECH_10 is written instead of MECH_1. Please Correct.
 </t>
  </si>
  <si>
    <t>RTT update to track missing system case ids. system test cases id correct.</t>
  </si>
  <si>
    <t>In Validation Report Mechanical Drawing Nos. for packing Box, User manuals etc. are not mentioned.
Please update.</t>
  </si>
  <si>
    <t>System Test case Reviewer not mentioned among Review Team Members.
Please Update in Project Plan..</t>
  </si>
  <si>
    <t>Review Defect log for GDB003_INTCAS is not closed.
Please close.</t>
  </si>
  <si>
    <t>Audit of Metrics Report of Validation Phase done. No NC found.</t>
  </si>
  <si>
    <t>Overlap</t>
  </si>
  <si>
    <t>negative</t>
  </si>
  <si>
    <t>Negative efforts</t>
  </si>
  <si>
    <t>Potential Overlaps*</t>
  </si>
  <si>
    <t>1. Filter by project and by overlap=1</t>
  </si>
  <si>
    <t>2. identify person who has his entries marked, with date and time of erroneous entries</t>
  </si>
  <si>
    <t>3. Clear above filters and filter by the date and time in step 2, and then by person</t>
  </si>
  <si>
    <t>4. identify the issue by manual inspection.</t>
  </si>
  <si>
    <t>5. clear filters and repeat for all overlaps</t>
  </si>
  <si>
    <t>*if overlaps are found, Go to the timesheet and follow these steps(suggestive)</t>
  </si>
  <si>
    <t>Modified</t>
  </si>
  <si>
    <t>Modified By</t>
  </si>
  <si>
    <t>Chandra Shekhar</t>
  </si>
  <si>
    <t>Shyamkrishan Soni</t>
  </si>
  <si>
    <t>Shashank Kumar</t>
  </si>
  <si>
    <t>Deen Dayal</t>
  </si>
  <si>
    <t>RTT prepared</t>
  </si>
  <si>
    <t>Variance by phase</t>
  </si>
  <si>
    <t>Total Variance</t>
  </si>
  <si>
    <t>GGS026</t>
  </si>
  <si>
    <t>3.5 KVA SURJA</t>
  </si>
  <si>
    <t>GSM051</t>
  </si>
  <si>
    <t>Solar Home Light</t>
  </si>
  <si>
    <t>GGE061</t>
  </si>
  <si>
    <t>900 VA Proton Q+</t>
  </si>
  <si>
    <t>Support Function</t>
  </si>
  <si>
    <t>It will include Support Functions at Organization level i.e. PEG, PPQA, Training and IT Infra.</t>
  </si>
  <si>
    <t>Other Activity</t>
  </si>
  <si>
    <t>This will include activities which are out of scope of existing QMS.</t>
  </si>
  <si>
    <t>GGE071</t>
  </si>
  <si>
    <t>700VA 12V Square Wave Inverter</t>
  </si>
  <si>
    <t>GGE072</t>
  </si>
  <si>
    <t>1050/12V Square Wave Inverter</t>
  </si>
  <si>
    <t>GGS037</t>
  </si>
  <si>
    <t>PVCON 48V / 50A</t>
  </si>
  <si>
    <t>Project Code/Support Function</t>
  </si>
  <si>
    <t>Project Phase/Function Name</t>
  </si>
  <si>
    <t>Review RTT</t>
  </si>
  <si>
    <t>Audit of RD Phase.</t>
  </si>
  <si>
    <t>preparation for system test case</t>
  </si>
  <si>
    <t>Metrics Report Preparation upto RD Phase</t>
  </si>
  <si>
    <t>Integration test completion and upload document for review.</t>
  </si>
  <si>
    <t>(GDB003, Closure and Release)Updation of master library of Firmware modules.</t>
  </si>
  <si>
    <t>Audit of Metrics Report for RD phase</t>
  </si>
  <si>
    <t>Preparation of Master list of Mechanical modules library</t>
  </si>
  <si>
    <t>Release Note Preparation</t>
  </si>
  <si>
    <t>Closure Report Preparation</t>
  </si>
  <si>
    <t>(GDB003, Closure and Release) Assistance in reparation of Closure report, TDP etc. and Review of Release note.</t>
  </si>
  <si>
    <t>Test for Firmware 75 KVA R0.2.elf.S. Test All parameters.</t>
  </si>
  <si>
    <t>Audit of Release and Closure phase</t>
  </si>
  <si>
    <t>update task and schedule</t>
  </si>
  <si>
    <t>With auditor audit the integration phase</t>
  </si>
  <si>
    <t>(GGE063, D and I phase) Updated RTT for Firmware Design and Module tests</t>
  </si>
  <si>
    <t>For effort estimation participated in wide band delphi process</t>
  </si>
  <si>
    <t>With auditor audit the integration process</t>
  </si>
  <si>
    <t>Milestone Review RD Phase</t>
  </si>
  <si>
    <t>With other designer by wide band delphi methos determine the effort, and after that estimate the hardware estimation</t>
  </si>
  <si>
    <t>Resolved the audit finding</t>
  </si>
  <si>
    <t>Review of PCB With Rakesh Pandey Ji.</t>
  </si>
  <si>
    <t>Complete testing on Zero Board.</t>
  </si>
  <si>
    <t>team meeting done for latest review of project</t>
  </si>
  <si>
    <t>(GGS026, RD Phase) Participated in Kick off meeting as a Configuration administrator.</t>
  </si>
  <si>
    <t>(GGE058, Validation) Participated in team meeting. Restored and tested two artefcats of projects on sampling basis.</t>
  </si>
  <si>
    <t>As a project manager introduce the project to the all functional heads.</t>
  </si>
  <si>
    <t>Team meeting with validation engineer, CA and auditor</t>
  </si>
  <si>
    <t>Attend kick-off meeting as validation manager</t>
  </si>
  <si>
    <t>Prepare the metrics report of integration phase</t>
  </si>
  <si>
    <t>Conduct audit for validation Phase .</t>
  </si>
  <si>
    <t>(GGE063, D and I Phase): Firmware Source code writing</t>
  </si>
  <si>
    <t>resolved defects for system test case and upload the document.</t>
  </si>
  <si>
    <t>system test case review done with validation manager.</t>
  </si>
  <si>
    <t>Review and closure of review defects logs of system test cases.</t>
  </si>
  <si>
    <t>Meeting with Senior Management for milestone review validation phase</t>
  </si>
  <si>
    <t>validation done against system test case like documentation and mechanical part of system validated and its result uploaded.</t>
  </si>
  <si>
    <t>(GGE063, D and I Phase) Source code implementation.</t>
  </si>
  <si>
    <t>Team Meeting- Project Learning</t>
  </si>
  <si>
    <t>Team meeting discuss about project learning and defect root cause analysis.</t>
  </si>
  <si>
    <t>(GSM052, C and R) Participated in team meeting. Discussed about project's learnings.</t>
  </si>
  <si>
    <t>Project learning meeting and root cause analysis</t>
  </si>
  <si>
    <t>(GGE064, Planning) Effort estimations of GGE064.</t>
  </si>
  <si>
    <t>effort estimation and complexity estimation</t>
  </si>
  <si>
    <t>Functional Specification development</t>
  </si>
  <si>
    <t>complexity estimation</t>
  </si>
  <si>
    <t>Prepared FS with hardware and firmware designer</t>
  </si>
  <si>
    <t>Prepare Mechanical Estimation</t>
  </si>
  <si>
    <t>Participation in wide band delphi process.</t>
  </si>
  <si>
    <t>Team Meeting ON Project learning</t>
  </si>
  <si>
    <t>Meeting with senior management regarding change request.</t>
  </si>
  <si>
    <t>Change request for input voltage range is generated by customer and the desired range within our project tolerance range so no issue in this change request.</t>
  </si>
  <si>
    <t>Team Meeting with designer and validation engineer regarding change</t>
  </si>
  <si>
    <t>discussed customer change request.</t>
  </si>
  <si>
    <t>validation of system for float voltage and to evaluate whether system taking current in float condition or not.</t>
  </si>
  <si>
    <t>Resolve issue log</t>
  </si>
  <si>
    <t>Review of system test case after revise due to change in requirement</t>
  </si>
  <si>
    <t>review of system test case with validation manager after change req of customer</t>
  </si>
  <si>
    <t>team meeting for status review.</t>
  </si>
  <si>
    <t>(GGE063, D and I Phase) Participated in team meeting. Discussed about project's current status.</t>
  </si>
  <si>
    <t>Prepare Closure report and release note.</t>
  </si>
  <si>
    <t>Project Learning</t>
  </si>
  <si>
    <t>Final Effort estimation and schedule</t>
  </si>
  <si>
    <t>Schedule the whole project</t>
  </si>
  <si>
    <t>discussed project learning</t>
  </si>
  <si>
    <t>(GSM052, C and R): Review of Release note.</t>
  </si>
  <si>
    <t>With auditor audit the validation phase</t>
  </si>
  <si>
    <t>Team meeting for status review and risk.</t>
  </si>
  <si>
    <t>Schedule Discussion</t>
  </si>
  <si>
    <t>Team meeting regarding project introduction and responsibilty</t>
  </si>
  <si>
    <t>Source code Review</t>
  </si>
  <si>
    <t>(GGE063, D and I phase): Source code (Firmware) review with Tarun Gupta.</t>
  </si>
  <si>
    <t>Prepare closure and release document</t>
  </si>
  <si>
    <t>Functional specification review with senior mangment</t>
  </si>
  <si>
    <t>(GGE058, C and R): Review of release note and assistance in preparation of TDP.</t>
  </si>
  <si>
    <t>With auditor audit the closure phase</t>
  </si>
  <si>
    <t>Resolve review log of release note.</t>
  </si>
  <si>
    <t>Prepare Defect root cause analysis report.</t>
  </si>
  <si>
    <t>audit  closure phase GSM052 as auditee</t>
  </si>
  <si>
    <t>(GGE063, D and I phase) Firmware code modifications for resolution of review finidings</t>
  </si>
  <si>
    <t>(GGE063, D and I Phase): Source code modifications and firmware module testing</t>
  </si>
  <si>
    <t>As reviewee for Project Plan review</t>
  </si>
  <si>
    <t>Review of Planning</t>
  </si>
  <si>
    <t>Resolve the review defects for project plan</t>
  </si>
  <si>
    <t>Project plan review with SM and change in requirement intimation</t>
  </si>
  <si>
    <t>discuss on effort estimation.</t>
  </si>
  <si>
    <t>For status review.</t>
  </si>
  <si>
    <t>Team meeting for project status review.</t>
  </si>
  <si>
    <t>(GGE063, D and I Phase): Participated in team meeting. Discussed about project's activities status.</t>
  </si>
  <si>
    <t>Status Review meet</t>
  </si>
  <si>
    <t>revised FS.</t>
  </si>
  <si>
    <t>Review revise FS..</t>
  </si>
  <si>
    <t>Team meeting to discuss change in requirement</t>
  </si>
  <si>
    <t>Prepare Hardware test case and firmware test case.</t>
  </si>
  <si>
    <t>Module testing of battery equalizer.</t>
  </si>
  <si>
    <t>Complexity estimation</t>
  </si>
  <si>
    <t>(GGE063, D and I phase) Source code modification to resolve defect of module tetsing.</t>
  </si>
  <si>
    <t>Prepared schedule</t>
  </si>
  <si>
    <t>update effort estimation after change request</t>
  </si>
  <si>
    <t>Revised effort estimation.</t>
  </si>
  <si>
    <t>Closed the review log and update documents.</t>
  </si>
  <si>
    <t>review test case.</t>
  </si>
  <si>
    <t>Review of Mechanical modules test cases.</t>
  </si>
  <si>
    <t>Review of revise Plan</t>
  </si>
  <si>
    <t>As reviewee for revise project plan</t>
  </si>
  <si>
    <t>Complexity determine of hardware</t>
  </si>
  <si>
    <t>Effort estimation by wide band delphi proecess</t>
  </si>
  <si>
    <t>Effort Estimation for 3.5KVA 48V</t>
  </si>
  <si>
    <t>Update Schedule</t>
  </si>
  <si>
    <t>Audit Planning Phase GGE064</t>
  </si>
  <si>
    <t>(GGS026, Planning): Firmware effort estimation with Rahul Upadhyay</t>
  </si>
  <si>
    <t>Auditee for Audit of Planning Phase end</t>
  </si>
  <si>
    <t>Resolve NCs of planning phase audit</t>
  </si>
  <si>
    <t>Effort Estimation/ Wide bend Delphi</t>
  </si>
  <si>
    <t>Metrics Report Making</t>
  </si>
  <si>
    <t>RTT update</t>
  </si>
  <si>
    <t>review PCB layout</t>
  </si>
  <si>
    <t>Review of Hardware Test Case.</t>
  </si>
  <si>
    <t>Review with reviewer hardware test case</t>
  </si>
  <si>
    <t>Re upload HWT CAS document after review.</t>
  </si>
  <si>
    <t>team meeting for re estimation</t>
  </si>
  <si>
    <t>Team meeting for re esstimation.</t>
  </si>
  <si>
    <t>(GGE063, D and I phase) Participated in team meeting. Discussed about project's current status and back up data restoration on sample basis.</t>
  </si>
  <si>
    <t>Team meeting for schedule discuss.</t>
  </si>
  <si>
    <t>Re estimate the effort of hardware with other designer</t>
  </si>
  <si>
    <t>re estimate hardware effort estimation</t>
  </si>
  <si>
    <t>Re_Effort Estimation and Change in LFC</t>
  </si>
  <si>
    <t>Risk identification with team</t>
  </si>
  <si>
    <t>Plan Review</t>
  </si>
  <si>
    <t>With reviwer review the plan</t>
  </si>
  <si>
    <t>(GGE063, D and I Phase) RTT updation for Firmware Implementation.</t>
  </si>
  <si>
    <t>Milestone review of planning phase</t>
  </si>
  <si>
    <t>DAR plan identified and updated in project plan</t>
  </si>
  <si>
    <t>(GGE063, D and I Phase): Participated in team meeting.  Discussed about requirement change initiated by customer.</t>
  </si>
  <si>
    <t>With auditor audit the metrics report of RD phase</t>
  </si>
  <si>
    <t>With auditor audit the planning phase.</t>
  </si>
  <si>
    <t>Resolve the NC</t>
  </si>
  <si>
    <t>Escalation Meeting with senior management</t>
  </si>
  <si>
    <t>Analysis of change request and prepare functional specification and RTT</t>
  </si>
  <si>
    <t>(GGE063, D and I Phase) Impact analysis of change request 01, updation of FS and RTT.</t>
  </si>
  <si>
    <t>Applied DAR at different topology for power supply</t>
  </si>
  <si>
    <t>Audit of Metrics report of Planning</t>
  </si>
  <si>
    <t>Milestone review with senior managmemt</t>
  </si>
  <si>
    <t>(GSM051, RD) Participated in kick off meetings as an Configuration administrator.</t>
  </si>
  <si>
    <t>(GGE063, D and I phase): Training of Product functioning to Validation team member.</t>
  </si>
  <si>
    <t>Review of Integration Document Rev 0.1.</t>
  </si>
  <si>
    <t>Update MPP and Re_Review of project document</t>
  </si>
  <si>
    <t>Review of Integration test case Rev 0.1.</t>
  </si>
  <si>
    <t>Review design document with sandeep sir.</t>
  </si>
  <si>
    <t>product functional training for validation of work product.</t>
  </si>
  <si>
    <t>Review of Hardware Design Document Rev 0.1.</t>
  </si>
  <si>
    <t>meeting with hardware engineer for tx weight analysis.</t>
  </si>
  <si>
    <t>Kick off meeting wrt Requirements Development.</t>
  </si>
  <si>
    <t>Design Phase Audit By Auditor Maninder Singh</t>
  </si>
  <si>
    <t>Audit Design and Implementation Phase GGE063</t>
  </si>
  <si>
    <t>update Project plan and resolve audit log</t>
  </si>
  <si>
    <t>Prepared hardware design document</t>
  </si>
  <si>
    <t>Review of RTT by project manager</t>
  </si>
  <si>
    <t>kickoff meeting</t>
  </si>
  <si>
    <t>Resolve review Defect Log and Update RTT</t>
  </si>
  <si>
    <t>Re-review of RTT and Resolve Audit NC Log</t>
  </si>
  <si>
    <t>preparation of functional specification</t>
  </si>
  <si>
    <t>prepared FS</t>
  </si>
  <si>
    <t>Make 3d model</t>
  </si>
  <si>
    <t>prepare system test cases</t>
  </si>
  <si>
    <t>Project Plan revised as Test Plan and Validation plan updated.</t>
  </si>
  <si>
    <t>Team Meeting integration phase</t>
  </si>
  <si>
    <t>Firmware design document preparation completed</t>
  </si>
  <si>
    <t>Firmware design document completed</t>
  </si>
  <si>
    <t>(GGE063, Integration): Participated in Team meeting. Discussed about Projects activities status and data back up and Restoration.</t>
  </si>
  <si>
    <t>updated function specifications</t>
  </si>
  <si>
    <t>updated the function specification</t>
  </si>
  <si>
    <t>Review the functional specifications</t>
  </si>
  <si>
    <t>As a designer review the function specification with project manager</t>
  </si>
  <si>
    <t>Resolved review defects in FS.</t>
  </si>
  <si>
    <t>(GGE064, D and I phase): Review of Firmware Design.</t>
  </si>
  <si>
    <t>Prepare Metrics report of DI phase</t>
  </si>
  <si>
    <t>(GGS026, D and I Phase):Review of Firmware Design.</t>
  </si>
  <si>
    <t>Resolve metrics report audit NC</t>
  </si>
  <si>
    <t>make 3D/2D drawing</t>
  </si>
  <si>
    <t>As a project manager with auditor audit the RD phase</t>
  </si>
  <si>
    <t>Schematic made of 968</t>
  </si>
  <si>
    <t>PCB layout 966</t>
  </si>
  <si>
    <t>Complexity Estimations</t>
  </si>
  <si>
    <t>PCB 968 layout review.</t>
  </si>
  <si>
    <t>update firmware design document and resolve defect log</t>
  </si>
  <si>
    <t>Review of PCB 966 layout.</t>
  </si>
  <si>
    <t>Peer review of firmware design document by rajkumar</t>
  </si>
  <si>
    <t>PCB layout for 968</t>
  </si>
  <si>
    <t>prepare integration test cases</t>
  </si>
  <si>
    <t>upload integration test cases.</t>
  </si>
  <si>
    <t>Review of Hardware Design Documents Rev0.2</t>
  </si>
  <si>
    <t>Review with SME of power transformer during designing</t>
  </si>
  <si>
    <t>Wide band delfie for effort estimation</t>
  </si>
  <si>
    <t>(GSM051, Planning): Participated in Firmware Estimation.</t>
  </si>
  <si>
    <t>Wide band delphi for effort estimation</t>
  </si>
  <si>
    <t>complexity measurement w.r.t. planning phase</t>
  </si>
  <si>
    <t>Effort Estimation by wide band delphi</t>
  </si>
  <si>
    <t>Metrics report preparation of RD phase</t>
  </si>
  <si>
    <t>Close review log, upload BOM and also integration test.</t>
  </si>
  <si>
    <t>COMPLETE 2D DRAWING.</t>
  </si>
  <si>
    <t>Kick Off Meeting-Introduction of Project Proton Q Plus</t>
  </si>
  <si>
    <t>(RD, GGE061) Participated in Kick off meeting as a Configuration administrator. Creation of Project's Configuration Library.</t>
  </si>
  <si>
    <t>Resolve all the defects and complete the design document</t>
  </si>
  <si>
    <t>Attend kick off meeting as validation manager</t>
  </si>
  <si>
    <t>Training for product function</t>
  </si>
  <si>
    <t>Prepared mechanical design document.</t>
  </si>
  <si>
    <t>Effort estimation.</t>
  </si>
  <si>
    <t>Training on Audit Function.</t>
  </si>
  <si>
    <t>make 2D  design of power transformer.</t>
  </si>
  <si>
    <t>Review of system test case</t>
  </si>
  <si>
    <t>With Bharat estimate the effort for mechanical</t>
  </si>
  <si>
    <t>review design document and design of power tx.</t>
  </si>
  <si>
    <t>Review encloser design with sandeep sir.</t>
  </si>
  <si>
    <t>review chassis design.</t>
  </si>
  <si>
    <t>Integration test.</t>
  </si>
  <si>
    <t>Integration test complete.</t>
  </si>
  <si>
    <t>Prepared the integration and interface document</t>
  </si>
  <si>
    <t>Prepare the Integration test cases</t>
  </si>
  <si>
    <t>Team meeting held and revise the risk matrix</t>
  </si>
  <si>
    <t>functional training of product (GGE063)</t>
  </si>
  <si>
    <t>review system test cases by validation manager</t>
  </si>
  <si>
    <t>Milestone Review</t>
  </si>
  <si>
    <t>code writing</t>
  </si>
  <si>
    <t>Code writing</t>
  </si>
  <si>
    <t>Provide training to validation engineer.</t>
  </si>
  <si>
    <t>(GGE064, D and I phase) Source code review of Firmware.</t>
  </si>
  <si>
    <t>(GGS026, D and I Phase): Source code review of Firmware.</t>
  </si>
  <si>
    <t>Prepared system test cases</t>
  </si>
  <si>
    <t>Review Mechanical Test Cases</t>
  </si>
  <si>
    <t>Functional Specification</t>
  </si>
  <si>
    <t>Re-review of system  test cases</t>
  </si>
  <si>
    <t>Re-review of system test case by Jalaj Sir</t>
  </si>
  <si>
    <t>Audit of integration phase by maninder singh</t>
  </si>
  <si>
    <t>resolve audits defects</t>
  </si>
  <si>
    <t>Audit of integration phase</t>
  </si>
  <si>
    <t>Functional Specification review</t>
  </si>
  <si>
    <t>Review of Functional Specifications  With project Manager</t>
  </si>
  <si>
    <t>Resolved defects of Functional Specifications</t>
  </si>
  <si>
    <t>Preliminary planning</t>
  </si>
  <si>
    <t>Prepared mechanical test case</t>
  </si>
  <si>
    <t>Prepare MPP</t>
  </si>
  <si>
    <t xml:space="preserve"> Prepare RTT</t>
  </si>
  <si>
    <t>RTT Review with Sunddep Sir</t>
  </si>
  <si>
    <t>Upload Emails and Update task status inMPP</t>
  </si>
  <si>
    <t>RD Phase Audit done.</t>
  </si>
  <si>
    <t>Resolve Audit NC Log</t>
  </si>
  <si>
    <t>Check and Close Audit NC.</t>
  </si>
  <si>
    <t>Validate to the system</t>
  </si>
  <si>
    <t>Team meeting(talk about project status,schedule variance,effort variance )</t>
  </si>
  <si>
    <t>Attend team meeting as a tester</t>
  </si>
  <si>
    <t>(GGE063, Validation): Participated in team meeting. Discussed about project's activities status and Project's data back up and restoration on sample basis.</t>
  </si>
  <si>
    <t>Discuss on schedule.</t>
  </si>
  <si>
    <t>Discuss on schedule and ask for RTT update.</t>
  </si>
  <si>
    <t>wiring diagram</t>
  </si>
  <si>
    <t>Prepare Firmware Test cases</t>
  </si>
  <si>
    <t>(GGE064, D and I Phase): Review of Firmware Module Test cases.</t>
  </si>
  <si>
    <t>Resolved Review and Testing defect logs</t>
  </si>
  <si>
    <t>Review of Test cases</t>
  </si>
  <si>
    <t>Hardware module testing</t>
  </si>
  <si>
    <t>Validate the system</t>
  </si>
  <si>
    <t>Performed test case IDs of GGE063_SYSCAS</t>
  </si>
  <si>
    <t>(GGE063, Validation): Source code modifications to resolve system testing defect log.</t>
  </si>
  <si>
    <t>Mechanical module testing done</t>
  </si>
  <si>
    <t>Resolve the defects of hardware module testing by changing diode rating.</t>
  </si>
  <si>
    <t>Resolve hardware module testing defect of Relay on/off by changing tolerance of base resistance of relay.</t>
  </si>
  <si>
    <t>Mechanical module testing</t>
  </si>
  <si>
    <t>Team meeting for risk analysis</t>
  </si>
  <si>
    <t>module test case.</t>
  </si>
  <si>
    <t>Risk identification w.r.t. planning phase</t>
  </si>
  <si>
    <t>team meeting to calculate effort estimation</t>
  </si>
  <si>
    <t>Prepared the hardware module test cases</t>
  </si>
  <si>
    <t>Risk identification with team.</t>
  </si>
  <si>
    <t>Root cause analysis of review and testing defect log</t>
  </si>
  <si>
    <t>(GGE063, Validation): Participated in session for Defect analysis of verification.</t>
  </si>
  <si>
    <t>Root cause analysis of issue logs.</t>
  </si>
  <si>
    <t>Review of hardware and integration test case.</t>
  </si>
  <si>
    <t>validate to the system</t>
  </si>
  <si>
    <t>With peer review all the testing documents</t>
  </si>
  <si>
    <t>Resolved all the review findings</t>
  </si>
  <si>
    <t>Team meeting for root cause analysis.</t>
  </si>
  <si>
    <t>Hardware and Firmware module testing</t>
  </si>
  <si>
    <t>Review of newly add test ids in system test cases.</t>
  </si>
  <si>
    <t>(GGE064, D and I Phase) Project's back up data restoration on sampl basis.</t>
  </si>
  <si>
    <t>Team meeting for test cases review</t>
  </si>
  <si>
    <t>(GGS026, D and I Phase) Participated in team meeting. Discussed about project's current status and project's data restoration on sample basis.</t>
  </si>
  <si>
    <t>Metrics Report Audit of RD Phase.</t>
  </si>
  <si>
    <t>Performed test case ID 1-4 of GGS026_HWTCAS.</t>
  </si>
  <si>
    <t>added new test case ID in GGE063_SYSCAS</t>
  </si>
  <si>
    <t>Effort estimation for hardware</t>
  </si>
  <si>
    <t>Hardware Effort Estimation.</t>
  </si>
  <si>
    <t>(GGE061, Planning): Participated in Firmware effort estimations.</t>
  </si>
  <si>
    <t>To calculate effort estimation w.r.t. planning phase</t>
  </si>
  <si>
    <t>re validate BOM ,QA,LT,SPECS and other documents</t>
  </si>
  <si>
    <t>re check root cause analysis defects log no. 302,271,334.</t>
  </si>
  <si>
    <t>re check input voltage, efficiency, output voltage, charging profile,relay change over, charging status, charging time, all indications and protections. charging current etc.</t>
  </si>
  <si>
    <t>Re validate BOM ,QA,LT,SPECS and other documents with Munesh tripathi</t>
  </si>
  <si>
    <t>Re check root cause analysis defects log no. 302,271,334 with Munesh Tripathi.</t>
  </si>
  <si>
    <t>Closure and Re-Review of Project activity</t>
  </si>
  <si>
    <t>integrate the product and some of testing done</t>
  </si>
  <si>
    <t>Team meeting for risk update.</t>
  </si>
  <si>
    <t>team meeting for risk update</t>
  </si>
  <si>
    <t>Audit of project validation phase</t>
  </si>
  <si>
    <t>Risk matrix revised as  well as project plan regarding risk management plan revised as identified risk mitigated.</t>
  </si>
  <si>
    <t>Check test case ID 1-4(THD,Amplitude, duty cycle,soft start) of GGS026_FWTCAS</t>
  </si>
  <si>
    <t>revise the wiring diagram to resolve the defect</t>
  </si>
  <si>
    <t>Revise wiring diagram to resolve defect with Rakesh Pandey</t>
  </si>
  <si>
    <t>check test case IDs 5-20 of GGS026_FWTCAS</t>
  </si>
  <si>
    <t>Integration and integration testing</t>
  </si>
  <si>
    <t>Milestone Review of validation phase</t>
  </si>
  <si>
    <t>Team meeting for defect analysis</t>
  </si>
  <si>
    <t>Team meeting : Defect analysis</t>
  </si>
  <si>
    <t>Team meeting for defect analysis.</t>
  </si>
  <si>
    <t>As Auditee present in Audit of integration phase</t>
  </si>
  <si>
    <t>To resolve integration phase audit NC revised project plan</t>
  </si>
  <si>
    <t>Metrics Report make upto Integration phase</t>
  </si>
  <si>
    <t>check test case ID 13 with new firmware rev. 3.5KVA Surja R1.elf.S</t>
  </si>
  <si>
    <t xml:space="preserve"> self Review of pcb</t>
  </si>
  <si>
    <t>Milestone review of integration phase with SM</t>
  </si>
  <si>
    <t>Team meeting(Project learning)</t>
  </si>
  <si>
    <t>Discussion and submitting project learnings</t>
  </si>
  <si>
    <t>Team meeting for discuss about project learning.</t>
  </si>
  <si>
    <t>(GGE063, C and R): Participated in project closure meeting, discussed and logged project learnings.</t>
  </si>
  <si>
    <t>Prepare closure report and release note</t>
  </si>
  <si>
    <t>(GGE063, C and R): Review of Release note.</t>
  </si>
  <si>
    <t>(GGE063, C and R): Assistance in preparation of Project closure report.</t>
  </si>
  <si>
    <t>(GGE063, C and R): Updation of master list of Firmware Modules Library.</t>
  </si>
  <si>
    <t>review of release note and closure report</t>
  </si>
  <si>
    <t>Updated Master Library of Mechanical modules.</t>
  </si>
  <si>
    <t>system test case preparation</t>
  </si>
  <si>
    <t>Audit of closure phase</t>
  </si>
  <si>
    <t>Review of validation test case</t>
  </si>
  <si>
    <t>System test case review by peer (sobhag prajapat)</t>
  </si>
  <si>
    <t>Validation defect analysis</t>
  </si>
  <si>
    <t>Review of system test case and fill the check list and fill the log</t>
  </si>
  <si>
    <t>(GGE063, C and R): Validation defects' analysis.</t>
  </si>
  <si>
    <t>Root cause analysis of validation defects</t>
  </si>
  <si>
    <t>system test case updated or correct after defect findings in peer review</t>
  </si>
  <si>
    <t>Review on resolve review log</t>
  </si>
  <si>
    <t>peer review defect closure for system case 0.2</t>
  </si>
  <si>
    <t>closed to all defect review log</t>
  </si>
  <si>
    <t>updated system test case after defect resolve</t>
  </si>
  <si>
    <t>validation start, checked system parameters as per system test case</t>
  </si>
  <si>
    <t>validation done for switching time and charging current at different voltage. it has been observed that both id result is not ok</t>
  </si>
  <si>
    <t>validation for system bypass, easy to manufacture, easy to transport done...result is ok</t>
  </si>
  <si>
    <t>new revision of software GGE064_1.elf.S received and checked for charging current  and changeover time</t>
  </si>
  <si>
    <t>all test case id checked other than DOC_1(BOM)</t>
  </si>
  <si>
    <t>for bom costing used SAP resource with Mr jalaj Mathur</t>
  </si>
  <si>
    <t>component cost verification from SAP for BOM cost.</t>
  </si>
  <si>
    <t>final system test case report validated against specifications</t>
  </si>
  <si>
    <t>team meeting for defect analysys</t>
  </si>
  <si>
    <t>RTT UPDATE</t>
  </si>
  <si>
    <t>defect analysis</t>
  </si>
  <si>
    <t>(GGE064, Validation): Data back up and restoration testing with Project Manager.</t>
  </si>
  <si>
    <t>prepared and upload validation report</t>
  </si>
  <si>
    <t>Validation phase audit attend as auditee</t>
  </si>
  <si>
    <t>Metrics Report preparation upto validation phase.</t>
  </si>
  <si>
    <t>Milestone review for validation phase with Tarun sir.</t>
  </si>
  <si>
    <t>Team meeting: Project learning</t>
  </si>
  <si>
    <t>team meeting attend for project learning</t>
  </si>
  <si>
    <t>Team meetings for project learning.</t>
  </si>
  <si>
    <t>Team Meeting- Project learning</t>
  </si>
  <si>
    <t>(GGE064, C and R): Review of release note and project's data back and restoration testing on sample basis with project manager.</t>
  </si>
  <si>
    <t>Revised Release Note with modification required during review</t>
  </si>
  <si>
    <t>Team meeting . discuss learning of project</t>
  </si>
  <si>
    <t>Made Project closure report</t>
  </si>
  <si>
    <t>(GGE064, C and R): Assistance to project manager in preparation of project closure report.</t>
  </si>
  <si>
    <t>As auditee attend audit of release and closure phase.</t>
  </si>
  <si>
    <t>Discussion on further road map for PEG working. Goals for 2016-17 discussed.</t>
  </si>
  <si>
    <t>Discussion with Mr. Vaibhav for SCAMPI-A findings and its action plan for next.</t>
  </si>
  <si>
    <t>PEG annual plan (16-17) preparation.</t>
  </si>
  <si>
    <t>Other</t>
  </si>
  <si>
    <t>Planned : Firmware change request make in excel and provide to dndhip for generate in SAP.</t>
  </si>
  <si>
    <t>Other (Unplanned)</t>
  </si>
  <si>
    <t>Reply to Ankur (Purchase) regarding vendor MPN of mains lead as they mail w/o top MPN but we require W/H Top MPN.</t>
  </si>
  <si>
    <t>Other (Planned)</t>
  </si>
  <si>
    <t>Web server demo preparation for customer visit (Export).</t>
  </si>
  <si>
    <t>Working on action plan and PEG Plan</t>
  </si>
  <si>
    <t>Meeting with Director Sir.</t>
  </si>
  <si>
    <t>New release and withdraw products since 2007 sheet verified</t>
  </si>
  <si>
    <t>Discussion on Resource Planning</t>
  </si>
  <si>
    <t>checking All ECN follow up and corrected till oct 2015 to present day</t>
  </si>
  <si>
    <t>check and update scrap list according to design release note</t>
  </si>
  <si>
    <t>IDP fill</t>
  </si>
  <si>
    <t>Discussion regarding TQM QMS merging in CMMI QMS with Pawan sir and Shweta.</t>
  </si>
  <si>
    <t>IDP fill and send to Rajkumar (Training Coordinator)</t>
  </si>
  <si>
    <t>Develop Firmware code of CCU and test with hardware.</t>
  </si>
  <si>
    <t>10KVA BOM updation</t>
  </si>
  <si>
    <t>Team meeting for SAP problem, discussion with IT</t>
  </si>
  <si>
    <t>take charging profile after changing LED resistance 330 ohm to 100 ohm. (double battery bank, load - 0, top cover = covered, dsp temp taken from IR gun)</t>
  </si>
  <si>
    <t>field support on phone for 900 surja</t>
  </si>
  <si>
    <t>PPQA</t>
  </si>
  <si>
    <t>for ppqa member reading documents</t>
  </si>
  <si>
    <t>Review of PEG plan with Vaibhav ji</t>
  </si>
  <si>
    <t>charging discharging profile in heat chamber in order to take observation after changing LED resistance value.observation mailed</t>
  </si>
  <si>
    <t>PEG plan review feedback incorporate</t>
  </si>
  <si>
    <t>PEG meeting for PEG plan and status update</t>
  </si>
  <si>
    <t>Close all the NCS and close the project</t>
  </si>
  <si>
    <t>Close the GSM051</t>
  </si>
  <si>
    <t>Charge Control Unit (CCU-120) B.O.M. finalization and layout consideration.</t>
  </si>
  <si>
    <t>Charge Control Unit (CCU-120) Testing with firmware designer.</t>
  </si>
  <si>
    <t>Test the 2.5KVA 36V proton Q</t>
  </si>
  <si>
    <t>Charge Control Unit (CCU-120) Test final revision develop pcb.</t>
  </si>
  <si>
    <t>Prepared the transformer drawing as per requirment</t>
  </si>
  <si>
    <t>Charge Control Unit (CCU-120) test pcb for AC Charger section.</t>
  </si>
  <si>
    <t>Firmware testing for CCU , Mains high  ,low , charging indication</t>
  </si>
  <si>
    <t>Testing of 10KVA-120 SUPS.</t>
  </si>
  <si>
    <t>Chassis Design and Chassis improvement with Bharat kakra and sundeep sir</t>
  </si>
  <si>
    <t>chassis design and chassis improvement with bharat and sundeep sir</t>
  </si>
  <si>
    <t>SMPS testing Used in Booster circuit (shiyo ji provide this circuit)</t>
  </si>
  <si>
    <t>Meeting with Jalaj and Pawan sir regarding QMS merger.</t>
  </si>
  <si>
    <t>Team meeting for WBS structure discusssion</t>
  </si>
  <si>
    <t>Make MPP for PEG action plan and release plan</t>
  </si>
  <si>
    <t>Meeting with SAP and purchase regarding follow-up implementation in SAP</t>
  </si>
  <si>
    <t>MOM preparation of 23.05.2016</t>
  </si>
  <si>
    <t>Meeting with CFT for WBS finalization</t>
  </si>
  <si>
    <t>WBS structure modification as per latest budget requirements given.</t>
  </si>
  <si>
    <t>WBS structure modification</t>
  </si>
  <si>
    <t>PEG Meeting for PEG plan and status update</t>
  </si>
  <si>
    <t>plan and schedule updated for new members, pending projects.</t>
  </si>
  <si>
    <t>Production of 40KVA in SAP</t>
  </si>
  <si>
    <t>validation of thermistor samples and work on booster</t>
  </si>
  <si>
    <t>Develop Firmware and test with Hardware CCU</t>
  </si>
  <si>
    <t>Remove Firmware Bug , of CCU</t>
  </si>
  <si>
    <t>Chassis 3D design with Bharat Kakra</t>
  </si>
  <si>
    <t>Battery Booster Testing</t>
  </si>
  <si>
    <t>Typed mail and give to HR for announcement as GIL now CMMI L-3</t>
  </si>
  <si>
    <t>Taking data from SAP and start making sheet of domestic running models with BOM cost whichever available.</t>
  </si>
  <si>
    <t>Make export running models sheet and also put released dates in fron t of domestic and export models</t>
  </si>
  <si>
    <t>10KVA-120V SUPS Testing</t>
  </si>
  <si>
    <t>charging cycle to take observation for temp effect on dsp</t>
  </si>
  <si>
    <t>Testing 10KVA-120V SUPS</t>
  </si>
  <si>
    <t>Testing of 10KVA-120V SUPS and assembled 5KVA 48V with 3.5KVA power transformer,Testing of 5KVA-48V</t>
  </si>
  <si>
    <t>optimize firmware code and test with hardware</t>
  </si>
  <si>
    <t>CCU Efficiency test</t>
  </si>
  <si>
    <t>Mail draft for SAP related issues to IT team.</t>
  </si>
  <si>
    <t>Make chassis sheet and discuss with tarun sir</t>
  </si>
  <si>
    <t>ppqa introduction training by shweta aggarwal</t>
  </si>
  <si>
    <t>PPQA introduction training by shweta aggarwal</t>
  </si>
  <si>
    <t>as trainer for PPQA to new team members.</t>
  </si>
  <si>
    <t>as trainer to PPQA new team members</t>
  </si>
  <si>
    <t>charging cycle to take reading for temp effect on dsp</t>
  </si>
  <si>
    <t>Test Firmware with New developed PCB.</t>
  </si>
  <si>
    <t>CCU NEW PCB TESTING</t>
  </si>
  <si>
    <t>BOM cost sheet made for Jagdish ji of about 16 FGs</t>
  </si>
  <si>
    <t>Provide sheets and files for TSEC tender to sundeep sir.</t>
  </si>
  <si>
    <t>Put release dates in front of domestic models in consolidated domestic sheet.</t>
  </si>
  <si>
    <t>mailing regarding clarity on how to block FG codes so that CFT should not hamper along with requirement.</t>
  </si>
  <si>
    <t>Heat run test of 5KVA-48V SUPS with 3.5KVA Transformer(Discharging Cycle)</t>
  </si>
  <si>
    <t>Heat run test of 5KVA-48V SUPS with 3.5KVA Transformer(Charging Cycle)</t>
  </si>
  <si>
    <t>Tune 5KVA -48V SUPS with 3.5KVA Transformer.Testing of 5KVA-48V SUPS.</t>
  </si>
  <si>
    <t>Testing of 10KVA SUPS(Mosfet) with New Firmware.</t>
  </si>
  <si>
    <t>charging discharging profile for dsp temp.</t>
  </si>
  <si>
    <t>reading of documents for audit</t>
  </si>
  <si>
    <t>reading of documents</t>
  </si>
  <si>
    <t>Battery Booster_Schematic Capture for Delay Circuit</t>
  </si>
  <si>
    <t>Battery BOOST System_Schematic Capture for SMPS Circuit</t>
  </si>
  <si>
    <t>making Change note</t>
  </si>
  <si>
    <t>Testing of CCU-120.</t>
  </si>
  <si>
    <t>Scrap note recovery details preparation</t>
  </si>
  <si>
    <t>changes notes checking</t>
  </si>
  <si>
    <t>Scrap note recovery details finalization</t>
  </si>
  <si>
    <t>Team meeting with commerce for WBS configuration finalization</t>
  </si>
  <si>
    <t>mails and change notes check</t>
  </si>
  <si>
    <t>mail draft for stock creation of instruments to concerns</t>
  </si>
  <si>
    <t>sign and again checking of ECN</t>
  </si>
  <si>
    <t>discussion on PCB and chassis ECN for HKVA</t>
  </si>
  <si>
    <t>Block implementation in SAP. (X8 and X7)</t>
  </si>
  <si>
    <t>Team meeting for month May'16</t>
  </si>
  <si>
    <t>Block X7 removal at mass level.</t>
  </si>
  <si>
    <t>ECN discussion with CS for HKVA (PCB and chassis updation)</t>
  </si>
  <si>
    <t>Change note implementation</t>
  </si>
  <si>
    <t>Change note approval and mail to all concern people</t>
  </si>
  <si>
    <t>PR making in SAP</t>
  </si>
  <si>
    <t xml:space="preserve"> design detailed activities for developing android application</t>
  </si>
  <si>
    <t>update Price in SAP of material</t>
  </si>
  <si>
    <t>senior management review</t>
  </si>
  <si>
    <t>pcb 976 stablizer test..</t>
  </si>
  <si>
    <t>CCU Testing</t>
  </si>
  <si>
    <t>CCU Testing short circuit protection</t>
  </si>
  <si>
    <t>firmware development for CCU and test with hardware</t>
  </si>
  <si>
    <t>discussion with Tarun sir to correct all SAP codes of TP running series.</t>
  </si>
  <si>
    <t>Material pull out TP002 series for data correction purpose. (material and attached document)</t>
  </si>
  <si>
    <t>CRM data updation for 5KVA/96V MOSFET model.</t>
  </si>
  <si>
    <t>discussion with IT for project specific MPN/alternate possibility</t>
  </si>
  <si>
    <t>Sr. mgmt. review</t>
  </si>
  <si>
    <t>I did study of quality assurance in  QMS 2.3 regarding PPQA.</t>
  </si>
  <si>
    <t>solar codes TP002 series material categorization.</t>
  </si>
  <si>
    <t>MOM, sr. mgmt review checklist, audit schedule and audit reports are updated on sharepoint.</t>
  </si>
  <si>
    <t>CCU  Batt level Testing</t>
  </si>
  <si>
    <t>develop firmware for CCU and Test with hardware</t>
  </si>
  <si>
    <t>develop firmware and test with hardware . CCU</t>
  </si>
  <si>
    <t>functional testing done.</t>
  </si>
  <si>
    <t>transformer replaced and setup preparation for heat run in heat chamber for 700 plus, pcb 976, tx - 2.35inch</t>
  </si>
  <si>
    <t>heat run test for new 2.34 stack size transformer with system.</t>
  </si>
  <si>
    <t>report preparation for 2.35 stack size tx heat rune test.report mailed to relevent person.</t>
  </si>
  <si>
    <t>Today i changed  API of android application.configuration also changed according to different type of mobiles.</t>
  </si>
  <si>
    <t>I studied QMS 2.3 configuration management.</t>
  </si>
  <si>
    <t>I tried to resolve some issues regarding android application but could not resolved .</t>
  </si>
  <si>
    <t>develop firmware of CCU and test with hardware</t>
  </si>
  <si>
    <t>problem finding and finding og root couse of 3.5kva 48V mosfet burnt in stabilizer test</t>
  </si>
  <si>
    <t>Solar DC panal PCB Design</t>
  </si>
  <si>
    <t>help to siyoji for SMPS circuit</t>
  </si>
  <si>
    <t>Solar DC panal Pcb design</t>
  </si>
  <si>
    <t>Solar DC panal PCB design with Shayam</t>
  </si>
  <si>
    <t>Solar DC Panal PCB Design</t>
  </si>
  <si>
    <t>Soalr DC Panal PCB design</t>
  </si>
  <si>
    <t>Audit of PPQA function</t>
  </si>
  <si>
    <t>audit logs, time sheets, schedule updated, NC solve, relevant mails done.</t>
  </si>
  <si>
    <t>Testing of user status/WBS approval flow is done on quality server</t>
  </si>
  <si>
    <t>Mailed testing finding to IT person for further solution</t>
  </si>
  <si>
    <t>Checked details of all solar codes with DD, given instruction and mailed for further action.</t>
  </si>
  <si>
    <t>Mail reply for solar panel BOM changes and wrong SPQs updated in SAP</t>
  </si>
  <si>
    <t>CRM data (May updation)</t>
  </si>
  <si>
    <t>Discussion with Tarun sir on WBS possibilities of working for many manufacturers of a thing. and understanding of work flow for WBS creation.</t>
  </si>
  <si>
    <t>Flow chart preparation for WBS working</t>
  </si>
  <si>
    <t>CRM data updation for MAY'2016</t>
  </si>
  <si>
    <t>discussion with Tarun sir on sr. numbering for U4V2 series</t>
  </si>
  <si>
    <t>Discussion with Rajeev Bhardwaj for MRP issues faced by him</t>
  </si>
  <si>
    <t>Discussion with Sundeep sir on sticker details/drawing and updated in SAP</t>
  </si>
  <si>
    <t>updation of CRM data for May month</t>
  </si>
  <si>
    <t>Followup to external auditor and resolved issue of getting done external audit within deptt. this time</t>
  </si>
  <si>
    <t>updated CRM data for 5/48 MOSFET model and 7.5 MOSFET model</t>
  </si>
  <si>
    <t>tracing and mail draft for PCB decision of HKVA to DD</t>
  </si>
  <si>
    <t>discussion with IT team, for WBS working for many manufacturer option for a item</t>
  </si>
  <si>
    <t>CRM data updation</t>
  </si>
  <si>
    <t>[Solar DC Panel_12V/10A SMD Charger]---PCB Design started</t>
  </si>
  <si>
    <t>[Solar DC Panel_12V/10A SMD Charger]----PCB Design continue</t>
  </si>
  <si>
    <t>CRM data for rest of the products</t>
  </si>
  <si>
    <t>Discussion with Tarun sir on Flow chart for WBS working, and solar panel BOM changes</t>
  </si>
  <si>
    <t>heat run test on 2.35 inch stack tx, pcb 976, 700plus systm.report preparationdone. report mailed to tarun sir</t>
  </si>
  <si>
    <t>cold start t est and waveform capture in 700 plus tx with pcb 976 and 2.35 stack tx</t>
  </si>
  <si>
    <t>sukam brainy vs genus surja comparision sheet preparation and study</t>
  </si>
  <si>
    <t>sukam brainy vs genus surja comparision sheet preparation</t>
  </si>
  <si>
    <t>cold start and waveform capture for 700 plus pcb 976 tx 2.35 stack</t>
  </si>
  <si>
    <t>Collect PVCON 40A documents from team</t>
  </si>
  <si>
    <t>Collect data of 5KVA 96V SUPS MOSFET base complaints from CSS and make fishbone analysis and make PPT</t>
  </si>
  <si>
    <t>Plan finalize and send for approval to SM.</t>
  </si>
  <si>
    <t>Calculated tentative BOM cost of PVCON 20A LCD model</t>
  </si>
  <si>
    <t>700 plus, pcb 976, tx 2.35 stack system testing, cold start, and s/c waveform captured</t>
  </si>
  <si>
    <t>700 plus with pcb 976, tx-3.25 stack system testing</t>
  </si>
  <si>
    <t>Store---HIP stock segregated so as to facilitate sale of segregated items.</t>
  </si>
  <si>
    <t>GGS034_CCU---Start making Block/Wiring Diagram.</t>
  </si>
  <si>
    <t>GGS034_CCU---Block/Wiring Diagram preparation work continue.</t>
  </si>
  <si>
    <t>GGS034_CCU---Block/Wiring Diagram preparation work done.</t>
  </si>
  <si>
    <t>testing of dragon driver card, pin configuration discussion</t>
  </si>
  <si>
    <t>stablizer test for 700 plus, tx - 2.35 stack, pcb 976, new driver card</t>
  </si>
  <si>
    <t>dragon driver card testing</t>
  </si>
  <si>
    <t>stablizer test for 700 plus new, 43.5 amp maximum peak observed...for 20 minutes system stopped due to sparking in mcb box</t>
  </si>
  <si>
    <t>training to 4 ppl, new joining in solar departmenst</t>
  </si>
  <si>
    <t>700 plus with pcb 976, tx-3.25 stack system testing, discussion and meeting regarding product</t>
  </si>
  <si>
    <t>battery charging for meter dept....they want one inverter and battery for their work.</t>
  </si>
  <si>
    <t>battery charging, explaining the details to mr jagdish meter em team member, other things arrangement. challan help</t>
  </si>
  <si>
    <t>pcb 950k assembling by munsh, provide needful data and other thing</t>
  </si>
  <si>
    <t>stablizer test for 700 plus</t>
  </si>
  <si>
    <t>inverter battery arrangement for meter dept</t>
  </si>
  <si>
    <t>pcb bom creation. and other thing evalution for 700 plus</t>
  </si>
  <si>
    <t>helped shyoji sharma for stablizer test</t>
  </si>
  <si>
    <t>700 plus preparation as per pcb and transformer</t>
  </si>
  <si>
    <t>computer was not working.window clashed.cleaning and providing the same to it dept</t>
  </si>
  <si>
    <t>assembled 700 surja system with latest pcb and 700 ctg alu tx</t>
  </si>
  <si>
    <t>assembled and arrange and systema and pcb, 900 surja,900 ctg alu tx, pcb 976 for 900, pcb 939 for new product</t>
  </si>
  <si>
    <t>helped meter person jagdish ji for discharging the meter and connection setup</t>
  </si>
  <si>
    <t>computer not operating ok, so configure setups and other</t>
  </si>
  <si>
    <t>prepared material needful list with ramashish</t>
  </si>
  <si>
    <t>pcb 939+tx 2.35 stack , 700 plus new model evaluation, tunning, boost, float</t>
  </si>
  <si>
    <t>Stuck up inventory of chassis and transformer sheet working</t>
  </si>
  <si>
    <t>pcb 939 not working, pcb drivar card was faulty, bug finding and pcb ok testing</t>
  </si>
  <si>
    <t>report preparation .report no 816</t>
  </si>
  <si>
    <t>control card 849 search from store.provide needful data to pawan sharma for control card preparation for surja</t>
  </si>
  <si>
    <t>wire testing.report 817</t>
  </si>
  <si>
    <t>700 prton q plus system discharging and other functional testing</t>
  </si>
  <si>
    <t>700 prton q plus system discharging on mixed load and other functional testing</t>
  </si>
  <si>
    <t>700 surja aluminum transformer tunning and other things evaluate</t>
  </si>
  <si>
    <t>harness drawing with jalaj sir</t>
  </si>
  <si>
    <t>TSEC CCU Validation test cases document making.</t>
  </si>
  <si>
    <t>1500 surja lcd model harness and other discussion , drawing preapration and team meeting</t>
  </si>
  <si>
    <t>pcb 939 with 2 nos mosfet stp105 and 2.35 stack tx..stablizer test preparation and general testing</t>
  </si>
  <si>
    <t>700 / 900 surja lcd model, harness, control card, team meeting, discussion done.pcb track decesion painding</t>
  </si>
  <si>
    <t>stablizer test for 700 plus new pcb 939 2 nos stp105 mosfet, 2.35 stack tx</t>
  </si>
  <si>
    <t>1500 lcd software testing, as per 16x2 lcd module, harnessing</t>
  </si>
  <si>
    <t>TSEC CCU120 Validation test case making.</t>
  </si>
  <si>
    <t>stablizer test for 700 plus ..pcb 939...2 nos mosfet stp105, 2.35 stack tx</t>
  </si>
  <si>
    <t>1500 surja lcd software testing</t>
  </si>
  <si>
    <t>1500 surja lcd software testing, led discussion, harness layout</t>
  </si>
  <si>
    <t>wire testing and discussion</t>
  </si>
  <si>
    <t>700 plus new pcb 939 2 nos mosfet, 2.35 stack tx stablizer test, max peak =260amp</t>
  </si>
  <si>
    <t>1500 surja lcd model firmaware checking, harnessing, lcd checking</t>
  </si>
  <si>
    <t>1500 surja lcd model s/w 18 to 20 check</t>
  </si>
  <si>
    <t>1500 surja lcd model s/w 21 to 21 check</t>
  </si>
  <si>
    <t>1500 surja lcd model s/w check and lcd programming check.</t>
  </si>
  <si>
    <t>1500 surja lcd testing...lcd fault finding and trying to redolve with help of rajkumar</t>
  </si>
  <si>
    <t>sales person will come on 5 july....700 surja arrangement on shyoji table</t>
  </si>
  <si>
    <t>Training of solar to Sales team</t>
  </si>
  <si>
    <t>Sacha souda WBS making in SAP</t>
  </si>
  <si>
    <t>BBNL GR compiance sheet making.</t>
  </si>
  <si>
    <t>1500 surja led problem resolving work done continupusly, lcd prgramming, pcb track cutting...some improvements found but still to evaluate(switch)</t>
  </si>
  <si>
    <t>1500 surja lcd working, fault found and tried to resolve with rajkumar</t>
  </si>
  <si>
    <t>surja handover to mr umesh likhitkar</t>
  </si>
  <si>
    <t>surja handover to mr umesh likhitkar and helped in testing points and other things in order to make sure that new person will be able to do all the things easily.</t>
  </si>
  <si>
    <t>preapred surja protection visual mannual</t>
  </si>
  <si>
    <t>helped syoji sharma for pcb 747 system tunning and other things</t>
  </si>
  <si>
    <t>performed normal discharging of system in stablizer test location.lcd behaviour was ok,  not disturbed due to heat or transformer.</t>
  </si>
  <si>
    <t>performed solar charging of system in stablizer test location.lcd behaviour was ok,  not disturbed due to heat or transformer.</t>
  </si>
  <si>
    <t>lcd protection and battery charging status as  animation and  stable checked...create so many case and done the testing as tarun sir said</t>
  </si>
  <si>
    <t>checked functional testing and software, solar charging , cut and recovery other things</t>
  </si>
  <si>
    <t>lcd protection and battery charging status as animation and stable checked...create so many case and done the testing</t>
  </si>
  <si>
    <t>Maintaning SAP code in 5121 PLANT</t>
  </si>
  <si>
    <t>Maintaining SAP Code in 5121 plant</t>
  </si>
  <si>
    <t>Making change note</t>
  </si>
  <si>
    <t>Solar training of service persons</t>
  </si>
  <si>
    <t>Manufacturing process made for CCU</t>
  </si>
  <si>
    <t>CCU BOM cost calculation.</t>
  </si>
  <si>
    <t>Validation test cases for CCU making.</t>
  </si>
  <si>
    <t>1. Validation test cases for CCU making</t>
  </si>
  <si>
    <t>CRM data for july 2016 download from CRM and make mothly summary report and mail.</t>
  </si>
  <si>
    <t>Project initiation and kick-off meeting part-1</t>
  </si>
  <si>
    <t>BOM comparison and competitors analysis</t>
  </si>
  <si>
    <t>Kick-off meeting part-2</t>
  </si>
  <si>
    <t>Kick of Meeting Part 2</t>
  </si>
  <si>
    <t>DRM folder preparation</t>
  </si>
  <si>
    <t>MPP prepare for RD phase</t>
  </si>
  <si>
    <t>BOM cost and competitors analysis with team</t>
  </si>
  <si>
    <t>Validation test cases of CCU making</t>
  </si>
  <si>
    <t>Project Initiation and Kick Off meeting.</t>
  </si>
  <si>
    <t>BOM Comparision and Competitor products analysis</t>
  </si>
  <si>
    <t>Kick off meeting Part 2</t>
  </si>
  <si>
    <t>DAR Planning and Costing.</t>
  </si>
  <si>
    <t>BOM Cost and Competitor Analysis with team.</t>
  </si>
  <si>
    <t>Kick OFF meeting</t>
  </si>
  <si>
    <t>BOM Comparison and Competitor analysis</t>
  </si>
  <si>
    <t>kick off meeting :2</t>
  </si>
  <si>
    <t>BOM data collection of Competitor product for presentation.</t>
  </si>
  <si>
    <t>BOM data collection of competitor product for presentation.</t>
  </si>
  <si>
    <t>Discussion on CCU chassis, with Mukesh ji points considering.</t>
  </si>
  <si>
    <t>BOM data collection of competitor product for presentation with team</t>
  </si>
  <si>
    <t>BOM data collection</t>
  </si>
  <si>
    <t>Functional Comparison between competitor and Genus.</t>
  </si>
  <si>
    <t>Kick Off meeting part-2</t>
  </si>
  <si>
    <t>Features comparison add in presentation</t>
  </si>
  <si>
    <t>Apply DAR on Inverter selection Topologies</t>
  </si>
  <si>
    <t>FS Preparation</t>
  </si>
  <si>
    <t>Review of FS</t>
  </si>
  <si>
    <t>Design Review meeting attend with CEO sir.</t>
  </si>
  <si>
    <t>BOM cost (approx.) of Microtek 900VA calculation.</t>
  </si>
  <si>
    <t>Modification of FUNSPC after review.</t>
  </si>
  <si>
    <t>Re-review of Functional specifications</t>
  </si>
  <si>
    <t>1500 SURJA LCD chassis color discussion</t>
  </si>
  <si>
    <t>PCB 990 for LCD driver BOM making.</t>
  </si>
  <si>
    <t>Modification  in need id 23,24 and add need id 28 of FUNSPC after review.</t>
  </si>
  <si>
    <t>Review and closed resolve defects of revised FS.</t>
  </si>
  <si>
    <t>RD: Creation of Project Configuration libraray</t>
  </si>
  <si>
    <t>Correct function specification and upload in server</t>
  </si>
  <si>
    <t>Made sample evaluation report of copper enamelled wires</t>
  </si>
  <si>
    <t>BOM of 2.5KVA 36V PQ A review</t>
  </si>
  <si>
    <t>Report made for Lelon make capacitor</t>
  </si>
  <si>
    <t>Validation test case made of CCU</t>
  </si>
  <si>
    <t>Attend kaizen as backup support for inventory control</t>
  </si>
  <si>
    <t>Prepare FS After change Request</t>
  </si>
  <si>
    <t>Review of FS done.</t>
  </si>
  <si>
    <t>Changein FS</t>
  </si>
  <si>
    <t>Change in FS</t>
  </si>
  <si>
    <t>Resolve Defects</t>
  </si>
  <si>
    <t>update RTT and Find related Requirements</t>
  </si>
  <si>
    <t>Review of RTT (related ids)</t>
  </si>
  <si>
    <t>Repair RTT for related IDs</t>
  </si>
  <si>
    <t>RTT Preparation</t>
  </si>
  <si>
    <t>Auditee in Audit of RD phase</t>
  </si>
  <si>
    <t>RD Phase audit done</t>
  </si>
  <si>
    <t>Metrics Report made for RD phase</t>
  </si>
  <si>
    <t>Audit of Metrics Report as Auditee</t>
  </si>
  <si>
    <t>RD Phase_Metrics Report Audit Done.</t>
  </si>
  <si>
    <t>Milestone review with SM for RD phase</t>
  </si>
  <si>
    <t>Complexity Estimation</t>
  </si>
  <si>
    <t>Effort Estimation using wide band Delphi method</t>
  </si>
  <si>
    <t>Planning: Participated in Firmware Estimation using WBD.</t>
  </si>
  <si>
    <t>Participant in Wide band delphi.</t>
  </si>
  <si>
    <t>Team Meeting for Discussion on measurement goals, Next phase road map, Size estimation,Introduce tester and validation member</t>
  </si>
  <si>
    <t>Wide Band Delphi for effort estimation.</t>
  </si>
  <si>
    <t>Estimate Complexity of Hardware with hardware designer</t>
  </si>
  <si>
    <t>estimation revised as per tailoring</t>
  </si>
  <si>
    <t>MPP revised as per end date</t>
  </si>
  <si>
    <t>Project Plan made and reviewed.</t>
  </si>
  <si>
    <t>Team Meeting for Planning</t>
  </si>
  <si>
    <t>Team meeting for schedule and risk discuss.</t>
  </si>
  <si>
    <t>Team Meeting. Discuss Project Status, Risks and other project related concerns.</t>
  </si>
  <si>
    <t>Team meeting : 1. Project plan share 2. Project status 3. Risk identification 4. Any issues and concerns 5. Validation Phase Inclusion Information</t>
  </si>
  <si>
    <t>Team meeting for  Project plan share, Project status, Risk identification.</t>
  </si>
  <si>
    <t>Correct overhead percentage in final estimation sheet to resolve NC 586.</t>
  </si>
  <si>
    <t>GGE072_Phase-Planning: Audit of Planning Phase done(Before Metrics Report).</t>
  </si>
  <si>
    <t>Resolve NCs and Upload Audit Checklist.</t>
  </si>
  <si>
    <t>Prepare Metrics Report up-to Planning Phase</t>
  </si>
  <si>
    <t>Auditee in audit of Metrics Report for planning phase.</t>
  </si>
  <si>
    <t>GGE072_Phase-Planning: Planning Phase Metrics Report Audit done and update Checklist.</t>
  </si>
  <si>
    <t>Planning for Module testing and integration testing.</t>
  </si>
  <si>
    <t>Validation Plan made in project plan</t>
  </si>
  <si>
    <t>Making Sales and Production Data Sheet</t>
  </si>
  <si>
    <t>Making New code list</t>
  </si>
  <si>
    <t>*Anonymous*</t>
  </si>
  <si>
    <t>CCU BOM Updation</t>
  </si>
  <si>
    <t>CCU120 BOM Updation</t>
  </si>
  <si>
    <t>As validation manager and as Configuration administrator attend kick off meeting, discussed the needs and information of the project</t>
  </si>
  <si>
    <t>Library creation and rights distribution on share point about project GGS037</t>
  </si>
  <si>
    <t>Participate in Project Kick off meeting</t>
  </si>
  <si>
    <t>As a firmware designer in kick off meeting  understand the  needs of customer.</t>
  </si>
  <si>
    <t>Kick off Meeting and discussion on customer requirement with stake Holder.</t>
  </si>
  <si>
    <t>Market feedback for Functional Specification</t>
  </si>
  <si>
    <t>Functional specification prepared.</t>
  </si>
  <si>
    <t>Functional Specification preparation.</t>
  </si>
  <si>
    <t>FS reviewed.</t>
  </si>
  <si>
    <t>FS Review with Tarun Gupta</t>
  </si>
  <si>
    <t>Closure of defect log of First review of FS.</t>
  </si>
  <si>
    <t>audit of RD phase</t>
  </si>
  <si>
    <t>Project Initiation.</t>
  </si>
  <si>
    <t>Project Initiate</t>
  </si>
  <si>
    <t>RD Phase Audit.</t>
  </si>
  <si>
    <t>RD Phase NC Close.</t>
  </si>
  <si>
    <t>RD Phase audit NC re-closure.</t>
  </si>
  <si>
    <t>RD Phase audit re-closure.</t>
  </si>
  <si>
    <t>Audit NC log. (RD phase)</t>
  </si>
  <si>
    <t>Matrix report preparation.</t>
  </si>
  <si>
    <t>Matrix report audit.</t>
  </si>
  <si>
    <t>metrics report audit</t>
  </si>
  <si>
    <t>Review of Matrix Report</t>
  </si>
  <si>
    <t>Review of RD Phase with SM.</t>
  </si>
  <si>
    <t>Discussion on planning and assign project estimation.</t>
  </si>
  <si>
    <t>Final Hardware estimation with Hardware Team.</t>
  </si>
  <si>
    <t>Estimate the complexity of firmware.</t>
  </si>
  <si>
    <t>Final Hardware Estimation with Hardware Team</t>
  </si>
  <si>
    <t>With bharti estimate total effort by using wide band delphi method.</t>
  </si>
  <si>
    <t>By using wide band delphi method estimate the effort for firmware.</t>
  </si>
  <si>
    <t>Preparation of Effort estimation</t>
  </si>
  <si>
    <t>Preparation of Effort Estimation</t>
  </si>
  <si>
    <t>Audit RD Phase GGE064
As Auditor</t>
  </si>
  <si>
    <t xml:space="preserve">Status Review Meeting </t>
  </si>
  <si>
    <t>Team meeting Status Review Estimator Team discussion</t>
  </si>
  <si>
    <t>Audit RD Phase Metrics Report GGE064 As Auditor</t>
  </si>
  <si>
    <t>Review of Release Note</t>
  </si>
  <si>
    <t>Closure Audit done.</t>
  </si>
  <si>
    <t>Review of System test case</t>
  </si>
  <si>
    <t>Audit Integration Phase GGE058 As Auditor</t>
  </si>
  <si>
    <t>Team Meeting. estimation team selection</t>
  </si>
  <si>
    <t>Resolve validation testing defects</t>
  </si>
  <si>
    <t>Determine the complexity</t>
  </si>
  <si>
    <t xml:space="preserve"> Participated in wide band delphi process for effort estimation</t>
  </si>
  <si>
    <t>Add integration test ID against the integartion</t>
  </si>
  <si>
    <t>Kick-Off Meeting GGS026
Attended Meeting on behalf of PPQA Head
Shyam Krishan Soni will be the Auditor for the Project</t>
  </si>
  <si>
    <t>Team Meeting (Integration Phase) GGE058
Discussion on Audit Schedule for Validation Phase</t>
  </si>
  <si>
    <t>Audit Integration Phase GGE058 as Auditor</t>
  </si>
  <si>
    <t>Audit Validation Phase GSM052 as Auditor</t>
  </si>
  <si>
    <t>With validation manager review the system test cases.</t>
  </si>
  <si>
    <t>Milestone review with senior management at the end of integration phase.</t>
  </si>
  <si>
    <t>Validate the BOM,User manual and other points.</t>
  </si>
  <si>
    <t>Team Meeting Closure and Release Phase GSM052 Project Learning Discussion</t>
  </si>
  <si>
    <t>Team meeting for project learning &amp; defect route cause analysis.</t>
  </si>
  <si>
    <t>prepared Function Specification of GGS026 with firmware &amp; mechanical designer</t>
  </si>
  <si>
    <t>participated in Effort Estimation-Wide band Delphi &amp; Final Complexity Estimation</t>
  </si>
  <si>
    <t>validate the system GGE058.
System is in charging stage so identify the float volatge and boost voltage in next day</t>
  </si>
  <si>
    <t>Team Meeting Project Status Review
Discussion on Project Audit Schedule With Project Manager
 </t>
  </si>
  <si>
    <t>validation for review boost and float voltage and efficiency of system. changed voltage range also evaluated(customer change req )</t>
  </si>
  <si>
    <t>Team Meeting D&amp;I</t>
  </si>
  <si>
    <t>Proejct lerning</t>
  </si>
  <si>
    <t>Project Planning: Scope &amp; Vision Tailoring Budget  Training Resource Configuration &amp; Data Management Backup &amp; Restoration Audit Plan</t>
  </si>
  <si>
    <t>Team Meeting GGE058 Validation Phase Meeting for Project Learning with Team Members</t>
  </si>
  <si>
    <t>Audit Validation Phase GGE058
As Auditor</t>
  </si>
  <si>
    <t>Team Meeting Project Status Review GGE064 Discussion related to Project Audit Schedule</t>
  </si>
  <si>
    <t>Team Meeting : Status Review Schedule convey and discuss Risk identification Test &amp; Validation Plan Issues regarding</t>
  </si>
  <si>
    <t>Project Planning : Risk matrix &amp; Management Plan</t>
  </si>
  <si>
    <t xml:space="preserve">Update the RTT, </t>
  </si>
  <si>
    <t>Review the (C&amp;R) with CA</t>
  </si>
  <si>
    <t>With auditor audit the RD phase</t>
  </si>
  <si>
    <t>Audit Closure GGE058
As Auditor</t>
  </si>
  <si>
    <t>Audit Closure Phase GSM052 As Auditor</t>
  </si>
  <si>
    <t>Prepare Design document for Hardware</t>
  </si>
  <si>
    <t>Team meeting of GGS026 Before planning</t>
  </si>
  <si>
    <t>Team Meeting after RD Phase Milestone Review.  Metrics Report Audit of RD Phase was not conducted, so identified as action Item to be done on priority today.</t>
  </si>
  <si>
    <t>Revised FS after change in requirement .</t>
  </si>
  <si>
    <t>Present as an author in FS review</t>
  </si>
  <si>
    <t>Hardware estimation and RTT updated</t>
  </si>
  <si>
    <t>Final estimation revise Schedule revise and plan revise after change in requirement</t>
  </si>
  <si>
    <t>Participated in wide band Delphi</t>
  </si>
  <si>
    <t>Audit Planning Phase GGE064 As Auditor</t>
  </si>
  <si>
    <t>Complexity and effort estimation</t>
  </si>
  <si>
    <t>chassis check against the test case.</t>
  </si>
  <si>
    <t>Plan the R&amp;R Matrix Project Monitoring Audit Backup C&amp;D Resource</t>
  </si>
  <si>
    <t>Team Meeting D&amp;I Phase Project Status Review GGE063 Audit Schedule Change of the Project</t>
  </si>
  <si>
    <t>PCB Schematic &amp;layout design</t>
  </si>
  <si>
    <t>Team Meeting- Project Status Review GGE063 D&amp;I Audit Schedule on 4 April, 2016 Process facilitation done</t>
  </si>
  <si>
    <t>Re estimation of hardware section efforts.</t>
  </si>
  <si>
    <t>Team Meeting for Risk Indentification</t>
  </si>
  <si>
    <t>Planning the schedule variance risks and other</t>
  </si>
  <si>
    <t>Prepare Hard ware design document</t>
  </si>
  <si>
    <t>Planning Phase Audit (Before Metrics Report) done.</t>
  </si>
  <si>
    <t>DAR implimentation on SMPS topology selection</t>
  </si>
  <si>
    <t>Kick of meeting</t>
  </si>
  <si>
    <t>Prepare interface and  Integration design document</t>
  </si>
  <si>
    <t>Prepare Integation design document</t>
  </si>
  <si>
    <t>Prepare Hardware test cases and updated RTT</t>
  </si>
  <si>
    <t>prepare the metrics &amp;With auditor audit the metrics report</t>
  </si>
  <si>
    <t>Review of Mechanical Design Document</t>
  </si>
  <si>
    <t>Team meeting --&gt; As Validation Manager</t>
  </si>
  <si>
    <t>Present as author for Integration design document</t>
  </si>
  <si>
    <t>Correction of  the review points is done in  Integration design and integration test case document</t>
  </si>
  <si>
    <t>Present as a author in design document of hardware review</t>
  </si>
  <si>
    <t>Updated Hardware design document</t>
  </si>
  <si>
    <t>Make  Function Specifications  wrt Requirements</t>
  </si>
  <si>
    <t>Team Meeting : Status Review Risk Monitoring Test Plan Issue Regarding</t>
  </si>
  <si>
    <t>Status review meet</t>
  </si>
  <si>
    <t>Meeting with Mechnical designer for Trx weight analysis</t>
  </si>
  <si>
    <t>RTT updatedwith hardware design IDs</t>
  </si>
  <si>
    <t>Firmware design document preparation</t>
  </si>
  <si>
    <t>Team Meeting Project Status Review Integration Phase GGE063 Project Audit Schedule &amp; facilitation</t>
  </si>
  <si>
    <t>PCB G0449P0967 tested</t>
  </si>
  <si>
    <t>Prepared RTT up to RD phase</t>
  </si>
  <si>
    <t>Status Review Meet</t>
  </si>
  <si>
    <t>PCB Verification 967 Rev 1.0
PCB Verification 969 Rev 1.0
PCB Verification 972 Rev 1.0</t>
  </si>
  <si>
    <t>PCB Assembled &amp; Testing 967 Rev 1.0
PCB  Assembled &amp;  Testing 969 Rev 1.0
PCB  Assembled &amp;  Testing 972 Rev 1.0</t>
  </si>
  <si>
    <t>PCB Verification 967 Rev 1.0
PCB Verification 969 Rev 1.0
PCB Verification 972 Rev 1.0</t>
  </si>
  <si>
    <t xml:space="preserve">  PCB Verification 967 Rev 1.0 PCB Verification 969 Rev 1.0 PCB Verification 972 Rev 1.0</t>
  </si>
  <si>
    <t>Schematic 968 Rev 1.0 prepared</t>
  </si>
  <si>
    <t>Schematic 966 Rev 1.0 prepared</t>
  </si>
  <si>
    <t>Testing of Battery Charger PCB 967 done at 2.5A charging current</t>
  </si>
  <si>
    <t>Audit RD-Phase GSM051
as Auditor</t>
  </si>
  <si>
    <t>Schematic made of 966</t>
  </si>
  <si>
    <t>Regular Team Meeting discussed about planning design improvement</t>
  </si>
  <si>
    <t>Team Meeting - Project Status Review Audit Schedule &amp; Process Facilitation</t>
  </si>
  <si>
    <t>Team Meeting Before planning Action items are effort estimation</t>
  </si>
  <si>
    <t>Team meeting of planning phase  1. complexity and effort estimation</t>
  </si>
  <si>
    <t>Regarding to effort estimation in planing phase.</t>
  </si>
  <si>
    <t>DAR applied on core selection for power transformer</t>
  </si>
  <si>
    <t>Participated in DAR for UI and EI core selection of power transformer</t>
  </si>
  <si>
    <t>Revise PCB layout of 966 &amp; 968 to resolve the defects.</t>
  </si>
  <si>
    <t>Present as author for PCB layout of 968 review</t>
  </si>
  <si>
    <t>Present as author for PCB layout 966 review</t>
  </si>
  <si>
    <t>give feedback and present for Revise PCB layout of 966 &amp; 968 to resolve the defects.</t>
  </si>
  <si>
    <t>Effort estimation w.r.t. planning phase</t>
  </si>
  <si>
    <t>Interfacing and intergration design document</t>
  </si>
  <si>
    <t>Review the BOM and integration document</t>
  </si>
  <si>
    <t>Prepare interface and integration design document</t>
  </si>
  <si>
    <t>Prepare Module test cases for hardware.</t>
  </si>
  <si>
    <t>Kick-Off Meeting GGE061 Project RD phase Audit Scheduled on 12 April, 2016</t>
  </si>
  <si>
    <t>Training given on PPQA Audit Activities &amp; about good PPQA Audit Habits Members Name: Manindera Singh (Trainer) &amp; Shyam Krishan Soni (Trainee)</t>
  </si>
  <si>
    <t>Review  Design Document &amp; 2D Drawing of power Trans.</t>
  </si>
  <si>
    <t>Done review of GGE064_INTDSN,GGE064_INTCAS and GGE064_HDWCAS.</t>
  </si>
  <si>
    <t>Present as an author for review of GGE064_INTDSN;GGE064_INTCAS and GGE064_HDWCAS document</t>
  </si>
  <si>
    <t>Updated hardware module test case document after review</t>
  </si>
  <si>
    <t>Prepare LT&amp;QA documents and update hardware design document.</t>
  </si>
  <si>
    <t xml:space="preserve"> To make Functional Specification w.r.t RD phase</t>
  </si>
  <si>
    <t>User manual design</t>
  </si>
  <si>
    <t>Packing box design</t>
  </si>
  <si>
    <t>Audit Integration Phase GGE063 as Auditor</t>
  </si>
  <si>
    <t>Serial no. correction in hardware module test document</t>
  </si>
  <si>
    <t>Audit Integration Phase GGE063 As Auditor</t>
  </si>
  <si>
    <t>QA ,LTand BOM prepared.</t>
  </si>
  <si>
    <t>RTT PREPARED &amp; UPLOADED</t>
  </si>
  <si>
    <t>Audit of RD Phase</t>
  </si>
  <si>
    <t>Resolve Audit  NC</t>
  </si>
  <si>
    <t>Validate test case id 1&amp; 2(input voltage, output voltage)</t>
  </si>
  <si>
    <t>Team Meeting - Project Status Review Validation Phase Audit Schedule of Validation Phase on 18th April, 2016</t>
  </si>
  <si>
    <t>Team Meeting - Project Status Review, Validation Phase, Audit Schedule of Validation Phase on 18th April, 2016</t>
  </si>
  <si>
    <t>Status review meeting present as design team member for D and I phase hardware releted updates</t>
  </si>
  <si>
    <t>Team meeting : Status review (Monitor and control) Issue discussion and resolvement Risk monitoring Defect analysis</t>
  </si>
  <si>
    <t>Metrics Report Preparation</t>
  </si>
  <si>
    <t>Update RTT &amp; Test case IDs</t>
  </si>
  <si>
    <t>Schematic Prepare</t>
  </si>
  <si>
    <t>planning phase initiation team meeting effort estimation</t>
  </si>
  <si>
    <t>Resolved issue in hardware module testing :output THD =4%</t>
  </si>
  <si>
    <t>Updated Master library for Hardware 
RTT   updation</t>
  </si>
  <si>
    <t>Team meeting Backup restoration review Master library updation RTT Review</t>
  </si>
  <si>
    <t>Master list of library for mechanical updated  RTT review and update.</t>
  </si>
  <si>
    <t>Team Meeting(discuss about D&amp;I phase,schedule &amp; risks)</t>
  </si>
  <si>
    <t>Team meeting In D&amp;I phase Monitor risk Discussed on issue or any co ordination issue Work progress</t>
  </si>
  <si>
    <t>Team Meeting. D&amp;I Phase audit to be conducted on 18/4/2016.</t>
  </si>
  <si>
    <t xml:space="preserve"> Defect log number 334 -Components are missing for control card is check against test case ID 13 and no defect is found.</t>
  </si>
  <si>
    <t>Defect log no 302(increase the delay time between operation of two relay) is checked against test case ID 16 &amp; 17.There is no defect found. Defect log no 271(1.Specify Charging time in controlling section. 2. SMPS Module Specify efficiency Details. 3. In the fuse protection module also add MOV.) is checked against test case ID 17 &amp; 19 and no defect is found.</t>
  </si>
  <si>
    <t>Audit Design and Implementation Phase GGE064 as Auditor</t>
  </si>
  <si>
    <t>As auditee attend audit of D&amp;I phase, and resolve the NCs.</t>
  </si>
  <si>
    <t>Metrics report made upto D&amp;I phase</t>
  </si>
  <si>
    <t>Milestone Review of D&amp;I phase with Metrics report did with Tarun</t>
  </si>
  <si>
    <t xml:space="preserve">  Re check input voltage, efficiency, output voltage, charging profile,relay change over, charging status, charging time, all indications and protections. charging current etc. with Munesh tripathi</t>
  </si>
  <si>
    <t>Check test case ID 4&amp;5(heat run test and efficiency) of GGS026_HWTCAS</t>
  </si>
  <si>
    <t>Risk Status Review meeting</t>
  </si>
  <si>
    <t>Team meeting: Status review Risk monitoring</t>
  </si>
  <si>
    <t>Audit of validation phase</t>
  </si>
  <si>
    <t>Audit Integration Phase GGE064 as Auditor</t>
  </si>
  <si>
    <t>Prepare RTT.</t>
  </si>
  <si>
    <t>GGS026_Design and Implementation Phase_Audit done. Incomplete. To be continue on 21 april 2016</t>
  </si>
  <si>
    <t>team meeting  log project learning  review RTT</t>
  </si>
  <si>
    <t>Team meeting(Project learning) &amp; Project Closure Audit Schedule</t>
  </si>
  <si>
    <t>Audit Project Closure Phase GGE063 as Auditor</t>
  </si>
  <si>
    <t>peer review of system test case done by sobhag prajapat .</t>
  </si>
  <si>
    <t>Remaining Audit of "GGS026_D&amp;I Phase" done.</t>
  </si>
  <si>
    <t>"GGS026_D&amp;I Phase_Audit NCs" logged in "Audit Non-Conformance Log".</t>
  </si>
  <si>
    <t>By mistake fill Audit NC Logs from Auditee's Log.  Delete old Logs and Refill.</t>
  </si>
  <si>
    <t>resolve validation defects</t>
  </si>
  <si>
    <t>validation done of  MECH_3 MECH_4 MECH_5 MECH_6 WIR_1 ES_1 PRT_8</t>
  </si>
  <si>
    <t>validation done for REL_1,BUT_1</t>
  </si>
  <si>
    <t>validation done for DOC_2 DOC_3 MECH_1 MECH_2</t>
  </si>
  <si>
    <t>Team Meeting Validation Phase GGE064 Project Audit Schedule kept the same</t>
  </si>
  <si>
    <t>Team meeting: Status Review Defect Analysis Audit date confirmation</t>
  </si>
  <si>
    <t>Defect Analysis sheet update RTT Review</t>
  </si>
  <si>
    <t>Backup Restoration Review done of following files : GGE064_1.elf GGE064_PRDBOM with Rajkumar and found OK.</t>
  </si>
  <si>
    <t>team meeting  root cause analysis of validation defects</t>
  </si>
  <si>
    <t>Audit Validation Phase GGE064 As Auditor</t>
  </si>
  <si>
    <t>to resolve NC system test case modified</t>
  </si>
  <si>
    <t>Team meeting Status review Project Learnings consolidation Budget status review</t>
  </si>
  <si>
    <t>Prepare Release Note</t>
  </si>
  <si>
    <t>Team Meeting on Project Learnings &amp; Audit schedule confirmation.</t>
  </si>
  <si>
    <t>Team meeting for project learnings.</t>
  </si>
  <si>
    <t>Review of Release Note with rajkumar Backup restoration with rajkumar of files 2027_00, GGE064_PRDBOM</t>
  </si>
  <si>
    <t>Audit Closure Phase GGE064 As Auditor</t>
  </si>
  <si>
    <t>Unplanned : Discussion with Tarun sir regarding Genus innovation business evaluation sheet action identified : List out released models from 2007 to 2016 List out withdraw models from 2007 to 2016</t>
  </si>
  <si>
    <t>Provide R&amp;D remarks on packing box inventory list to Rajeev via mail</t>
  </si>
  <si>
    <t>Discussion with Narayan Todi sir regarding below : 1. Exchange / Upgrade option of Genus Inverter 2. EMI option for Genus Inverter</t>
  </si>
  <si>
    <t>Discussed timesheet and resource management tool with Tarun sir. And PEG budget and resources for year 16-17 also discussed.</t>
  </si>
  <si>
    <t>Discussion with organizational level training co-coordinator regarding this year 16-17 training plan and needs.</t>
  </si>
  <si>
    <t>Meeting with IT (Pankaj Ag.) &amp; Purchase (Umesh) regarding Followup materials options in MRP</t>
  </si>
  <si>
    <t>30KVA-360VInverter Test Low Battery Cutoff.  40KVA Tune parameters and check.</t>
  </si>
  <si>
    <t>10KVA -120V SUPS BOM correct  sap and reassembled system(10KVA SUPS)</t>
  </si>
  <si>
    <t>audit the closure report with auditor &amp; metrics report</t>
  </si>
  <si>
    <t>Closed NCs of D&amp;I Phase, Audit Metrics Report and "Closure Report"</t>
  </si>
  <si>
    <t>Discussion on following  1. PCB 964 implementation 2. 5KVA 96V MOSFETs SUPS field faliure 3. PCB 976 report 4. 3.5KVA new</t>
  </si>
  <si>
    <t>Project Closure Audit of GSM051</t>
  </si>
  <si>
    <t>PEG periodic meeting. Introduced new member of PEG.</t>
  </si>
  <si>
    <t>Discussion on following 1. PCB 964 implementation 2. 5KVA 96V MOSFETs SUPS field faliure  with Tarun sir.</t>
  </si>
  <si>
    <t>1KW Grid feed LCD issuse discusion with raj kumar</t>
  </si>
  <si>
    <t>making PR</t>
  </si>
  <si>
    <t>Discussion on pre kaizen sheet and understand what we have to do and provide for this kaizen</t>
  </si>
  <si>
    <t>Show domestic running models list sheet and discuss for next,  as more requirement came : same do for export put released dates</t>
  </si>
  <si>
    <t>Discuss made sheet with Tarun sir, he conveyed that total produced quantity and sales quantity till date also include also make pareto chart. And also discuss about next sheet of items standardization.</t>
  </si>
  <si>
    <t>Start making sheet of items standardization.</t>
  </si>
  <si>
    <t>Put total produced and sales qty in product sheet</t>
  </si>
  <si>
    <t>CCU120W PCB DESIGN--  LED PCB MODIFIED  GERBER SENT TO SUPPLIER</t>
  </si>
  <si>
    <t>Grid feed inv.1kw-- PCB Design and sent to supplier</t>
  </si>
  <si>
    <t>ccu dc OVER VOLTAGE  testing &amp; other functional testing</t>
  </si>
  <si>
    <t>Data preparation for R&amp;D cost</t>
  </si>
  <si>
    <t>Review to get direction regarding data preparation for R&amp;D cost.</t>
  </si>
  <si>
    <t>R&amp;D cost data</t>
  </si>
  <si>
    <t>R&amp;D cost data preparation</t>
  </si>
  <si>
    <t>Consolidated and make pareto chart for : Domestic produced models Domestic sales models Export produced models Export sales models</t>
  </si>
  <si>
    <t>With Sundeep sir discuss about item standardization sheet</t>
  </si>
  <si>
    <t>Make item standardization sheet with Sundeep sir</t>
  </si>
  <si>
    <t>Make item standardization sheet with pareto  of following : Transformer PCBs Heat-sink MOSFETs Controllers Drivers User Manual</t>
  </si>
  <si>
    <t>BOM cost sheet made for 2.5 &amp; 3.5 Surja and PVCON 20A and sent to Anand ji.</t>
  </si>
  <si>
    <t>Software list updated and send to D&amp;D for SAP updation</t>
  </si>
  <si>
    <t>Heat sink standardization sheet again made as per extrusion size wise and pareto also,</t>
  </si>
  <si>
    <t>Block codes sheet preparation to update X8 &amp; X7</t>
  </si>
  <si>
    <t>Low battery boost system testing</t>
  </si>
  <si>
    <t>Low battery Booster  - one issuse observed  (system not work properly when mains off and on suddenly.)</t>
  </si>
  <si>
    <t>Observing issuse and system behavior . first increase relay delay time - not solve. second- change output capacitor . (decreses) - not solve.</t>
  </si>
  <si>
    <t>Low battery Booster system issuse generated due to slow discharged of output capacitor. so apply resistance at output of smps for fast discharged. prblem solved. but mains relay demaged. rework ok. then smps relay damaged. rework ok system work properly</t>
  </si>
  <si>
    <t>Low battery booster system SMPS circuit  damaged properly (viper ic,opto,all diode,input capacitor etc) reson - no confirm (may be manual problem) desidn new circuit on new zero pcb.</t>
  </si>
  <si>
    <t>Low battery booster system SMPS not working so try to proper function.</t>
  </si>
  <si>
    <t>PCB - 976, TX - 700 va alu genus CTG Driver card - BARE PCB G0449P0877 REV 1.1, Driver IC SM72295 SOIC-28 S/W-GGE062_REV1_700_PQPLUS 23-02-16.elf.S (Tunning Needed)     This system is running on stablizer test , where following observaion observed   38A(from one wire)  X 6(no of wire) = 228 amp (Total running Time = 1:30 hr)</t>
  </si>
  <si>
    <t>scrap note approval, ADTPLN approval discussion for stock of instruments for power supplies repairing</t>
  </si>
  <si>
    <t>all buttons design related to products  in Android application design &amp; development</t>
  </si>
  <si>
    <t>to study checklist  of different activities related to Support function in QMS2.3</t>
  </si>
  <si>
    <t>Team teaming for month may 2016</t>
  </si>
  <si>
    <t>Making ECN of 5.5 and 7KVA mosfet model</t>
  </si>
  <si>
    <t>Test firmware of CCU with hardware and resolve bugs</t>
  </si>
  <si>
    <t>Discussion with Tarun sir regarding new WBS creation for 200 KW &amp; 25KW projects. (Alternate/MPN for different make things)</t>
  </si>
  <si>
    <t>mails for WBS clarification. (alternate/MPN) attachment possibility.</t>
  </si>
  <si>
    <t>600 &amp; 800VA BOM check for resistance value to check gain.</t>
  </si>
  <si>
    <t>ECn approval (res change to solve TV issue in 700 &amp; 900) and creation (HKVA PCB &amp; chassis implementation) follow-up</t>
  </si>
  <si>
    <t>RREC project's BOM downloaded for all sites. attached document check</t>
  </si>
  <si>
    <t>Discussion with Tarun sir on 5/96 MOSFET CRM data, Solar codes standardization.</t>
  </si>
  <si>
    <t>Senior Management review</t>
  </si>
  <si>
    <t xml:space="preserve"> some modifications like according to screen size adjust button size  in android application</t>
  </si>
  <si>
    <t>resolved issues related android application &amp; design</t>
  </si>
  <si>
    <t>mosfet replace in PCB 976, 700 plus, and take charging profile at different voltage level.</t>
  </si>
  <si>
    <t>CCU Testing of Battery level</t>
  </si>
  <si>
    <t>charging cycle of 700 plus with 2.35 inch stack tx and 976 pcb</t>
  </si>
  <si>
    <t xml:space="preserve">  Charging profile heat run test has been done,  Project 2.35 inch stack tx with pcb 976 in 900 plus tx and report preparation</t>
  </si>
  <si>
    <t>Store---Material Consumption Record update in excel for "May 2016".</t>
  </si>
  <si>
    <t>SAP Process discussion with DD (DRN, sales, production data, code open) Review with Tarun sir. and Mailed to concerns.</t>
  </si>
  <si>
    <t>Read and reply pending mails PO-57 models SAP codes send to team</t>
  </si>
  <si>
    <t>Calculated tentative BOM cost of following models : 700 SURJA LCD 900 SURJA LCD 1500 SURJA LCD</t>
  </si>
  <si>
    <t>Do following activity : 1. Stuck up sensing transformer mail 2. 2.5KVA PQA packing box design check and give feedback 3. Check Brainy of Rahul Sharma 4. Put existing surja models BOMs in sheet 5. CCU 120 BOM cost calculated.</t>
  </si>
  <si>
    <t>Done following tasks : 1. EUPEC and Fuji IGBTs alternation identified and instruct to remove fuji from alternate sheet. 2. BIS online submission preparation 3. CCU 120 BOM cost revised 4. 10KW Packing box ECN convey mail.</t>
  </si>
  <si>
    <t>Do following : 1. BIS online submission preparation 2. KRA sheet for MRM made 3. 5KVA 96V SUPS MOSFETs base complaints why why analysis revised.</t>
  </si>
  <si>
    <t>Do following tasks : 1. Prepare sample evaluation report of less stack size Al. power transformer of 600VA and send to corresponding persons. 2. Revised ppt of 5KVA SUPS as required. 3. Data analysis and ppt made for 3KW PCU MPPT.</t>
  </si>
  <si>
    <t>Do following tasks : 1. Sales and production data of May 2016 filled in DRM sheet. 2. 5KVA 96V SUPS new firmware report review with CSS. 3. Write up made for SURJA for Nepal as mains option removed and re-connect later.</t>
  </si>
  <si>
    <t>Following do tasks : 1. Prepare DRM folder. 2. Made change request for 5KVA/48V 5KVA/96V provide to deendayal to generate in SAP. 3. Report of 5KVA/48V &amp; 5KVA/96 Firmware made and send with firmware to haridwar. 4. Software list for internal update. 5. Physical verify stock of Enertech &amp;  Goodwee solar PCU, and LG &amp; samsung li.ion battery and make sheet as required by Tarun sir and send.</t>
  </si>
  <si>
    <t>Do following tasks : 1. DRM folder 2. Capacitor 2.2mfd chip analysis  3. Test 900VA Booster</t>
  </si>
  <si>
    <t>mains sensing transformer issure resolve when put ols shivani tx,  stablizer test for 700 plus, tx - 2.35 stack, pcb 976, new driver card</t>
  </si>
  <si>
    <t>stablizer test for 700 plus, tx - 2.35 stack, pcb 976, new driver card, but problem occured in sensing transformer</t>
  </si>
  <si>
    <t>Made  report of Noida Electronics and send to corresponding persons</t>
  </si>
  <si>
    <t>Made report of NK metals samples Scan of solar panel PID reports Deemed export : Genus proposals made and send</t>
  </si>
  <si>
    <t>Agriculture business development plan discussion. DRM folder discussion 950 PK TV issue discussion DRM folder preparation</t>
  </si>
  <si>
    <t>DRM folder preparation 950 PK modified PCB send to resolve TV issue</t>
  </si>
  <si>
    <t>PVCON issue discussion PVCON issue resolvement mail made and send Discussion with Vaibhav ji DRM folder preparation</t>
  </si>
  <si>
    <t>Did following tasks : 1. DRM folder preparation 2. 700 Proton Q Plus kaizen model option wise BOM costs calculated</t>
  </si>
  <si>
    <t>Do following : 1. Discussion on Send 700 PQ plus kaizen option with Tarun sir 2. Discussion on SURJA in Al. T/R and Al. wires 3. Discussion on 5KVA SURJA problem. 4. Work on Stuck Up CHS &amp; TRF sheet</t>
  </si>
  <si>
    <t>Work on Stuck Up CHS &amp; TRF sheet DRM folder making</t>
  </si>
  <si>
    <t>Do following: 1. BOM cost &amp; details of 1KW again conveyed to Tarun sir. 2. BOM cost &amp; details of CHIRAG conveyed to Tarun sir and Anand ji. 3. Capacitor 4.7mfd issue of 3.5KVA SURJA  resolved and communicated. 4. Discussion with Anukram ji regarding Grid feed Solar inverter. 5. Made specs of 1KW and send to Anukram ji.</t>
  </si>
  <si>
    <t>Do followings : 1. Specs of SUKAM Grid feed solar inverter send to Anukram ji. 2. Read all datasheets of Edge electronics products which send by Anukram ji. 3. CCU BOM send to Sandeep ji. 4. PCB BOMs of 700 &amp; 900 PQ plus arrange for Jagdish as required.</t>
  </si>
  <si>
    <t>Do followings : 1. Resend report of Elcom fuse holder after getting datasheet 2. 2.5KVA 48V packing followup 3. 850VA BIS model BOM followup</t>
  </si>
  <si>
    <t>1. DRM folder 2. Stuck up inventory of chassis and transformer sheet working</t>
  </si>
  <si>
    <t>Do following : 1. Stuck up inventory of chassis and transformer sheet working 2. Made report of 1500 SURJA and 3.5KVA SURJA and send with their firmwares to production.</t>
  </si>
  <si>
    <t>Do following : 1. Firmware change request made for generation in SAP. 2. Internal software list with details update</t>
  </si>
  <si>
    <t>Do following : 1. Spare list for 5KW MPPT PCU send. 2. Specs for 10KVA OLU read and understand. 3. Follow-up regarding query resolve mail to Rajeev ji</t>
  </si>
  <si>
    <t>Do following : 1. Follow-up process clarification to Rajeev ji via mail. 2. Check problem of 700 Al. T/R with 3  winding of 2.35 stack size. 3. RVPN tender related 10KVA OLU requirement mail reply to GPIL mktg. 4. Read the GR of CCU120</t>
  </si>
  <si>
    <t>Do following : 1. BBNL_TSEC_Test_cases_SPV Power Supply System preparation. 2. Discussion regarding LKVA SURJA in LCD. 3. Discussion on 1500VA 12V low battery problem</t>
  </si>
  <si>
    <t>Do following  : 1. TSEC CCU Validation test cases document making. 2. Discussion regarding SUJA LCD model 3. Make pin to pin configuration and propose harness draft drawings for SURJA LCD (NEW).</t>
  </si>
  <si>
    <t xml:space="preserve"> 1. TSEC CCU Validation test cases document making.</t>
  </si>
  <si>
    <t>TSEC CCU Validation test cases document making. Discussion on LKVA SURJA LCD models, 8025 DSM decided.</t>
  </si>
  <si>
    <t>TSEC CCU120 Validation test case making. Discussion on 700 Proton Q Plus new kaizen model. Comaprision of old price with new price and with production order price.</t>
  </si>
  <si>
    <t>TSEC CCU120 Validation test case making. Discussion on Solar PPT for sales team. Specs of SURJA PCU send to Arun saxena</t>
  </si>
  <si>
    <t>TSEC CCU120 Validation test case making.  SURJA leaflet check and modification convey.</t>
  </si>
  <si>
    <t>TSEC CCU120 Validation test case making. Firmware list update. 2.5KVA PQ PCB discussion.</t>
  </si>
  <si>
    <t>TSEC CCU120 Validation test case making. Wires samples report made and send to Sanjay ji.</t>
  </si>
  <si>
    <t>TSEC CCU120 Validation test case making and send to review and support for next. PVCON mains fuse blown issue : talked to Mukesh ji, rajkumar and munesh and Yetendar.</t>
  </si>
  <si>
    <t>PVCON mains fuse blown indication issue discussion and resolvement. Discussion on Premium and Eco description Discussion on and send scrap list</t>
  </si>
  <si>
    <t>Discussion on Premium and Eco description. Discussion on solar projects and solar plant related SAP codes and alternatives.</t>
  </si>
  <si>
    <t>Discussion about solar projects code make change request for screw change</t>
  </si>
  <si>
    <t>2.5KVA Proton Q Packing box finalization. MRM sheet preparation.</t>
  </si>
  <si>
    <t>1500 surja lcd model s/w check and lcd programming check. identify problem of mains cut in float</t>
  </si>
  <si>
    <t>1500 surja lcd model s/w check and lcd programming check. identify problem of mains cut in float and resolved</t>
  </si>
  <si>
    <t>Discussion on Solar PPT Made Solar PPT for sales team</t>
  </si>
  <si>
    <t>Made Solar PPT for sales team Discussion with Harshvardhan and Tarun regarding this PPT</t>
  </si>
  <si>
    <t>Made Solar PPT for sales  Discussion on CCU documentation</t>
  </si>
  <si>
    <t>Made Solar PPT for sales</t>
  </si>
  <si>
    <t>Discussion on CCU documentation Training of solar to Sales team</t>
  </si>
  <si>
    <t>1. CCU daily meeting. 2. MRM (QRM) sheet made 3. 700 SURJA LCD discussion with Deepesh, Munesh, Rahul</t>
  </si>
  <si>
    <t>1. Relicel 7.5AH battery report made 2. BBNL GR compiance sheet making</t>
  </si>
  <si>
    <t>1. CCU daily meeting. 2. BBNL GR compiance sheet making 3. Discussion regarding new LCD models SURJA chassis.</t>
  </si>
  <si>
    <t>1. BBNL GR compiance sheet making. 2. List out Sales, production data of FGs. 3. Discussion regarding LCD SURJA next works</t>
  </si>
  <si>
    <t>1. CCU daily meeting. 2. BBNL GR compiance sheet making. 3. Bobbing drawing related discussion and mail</t>
  </si>
  <si>
    <t>1. BBNL GR compiance sheet making. 2. SURJA 900 compaints analysis, talked to service engineer.</t>
  </si>
  <si>
    <t>Give presentation of Solar IBD team DRM folder making</t>
  </si>
  <si>
    <t>mail received from tarun sir, regarding surja issue raised by kanpur sales person mr gaurav srivastava.  understand the problem, tickets and other formalities done.</t>
  </si>
  <si>
    <t>Making Change note</t>
  </si>
  <si>
    <t>1. Read all mails. 2. Winner LCD datasheet comparison with existing. 3. Read and forward 3.5KVA surja pilot feedbacks.</t>
  </si>
  <si>
    <t>1. Attend meeting for CCU120 2. Review LCD interface PCB new with SMD purpose. 3. Arrange photos of setup for CCU 120 test cases purpose.</t>
  </si>
  <si>
    <t>1. Validation test cases made with Shanshank 2. Made CRM summary sheet updated till june 2016.</t>
  </si>
  <si>
    <t>1. Making Validation set up pics in test cases of CCU. 2. Draft firmwares of 5.5KVA 96V &amp; 7.5KVA 120V send to Haridwar. 3. MPPT PCU solar card testing procedure send to Ashok Dhyani. 4. 1500 SURJA  charging current zero issue analyse and resolve</t>
  </si>
  <si>
    <t>1. Making Validation set up pics in test cases of CCU. 2. Kaizen PPT  send to Tarun sir</t>
  </si>
  <si>
    <t>1. Making Validation set up pics in test cases of CCU.  2. 1500 SURJA problem in production solving.</t>
  </si>
  <si>
    <t>1500 SURJA problem in production solving. SURJA LCD model sticker option analysis</t>
  </si>
  <si>
    <t>Change request made for IQC feedbacks drawing change of heat-sink HW_1604, metal tag HW_2025 and bobbins HW_2023 &amp; 2024.</t>
  </si>
  <si>
    <t>1. Discuss about new 700 proton q plus what have to make in production. 2. Discuss about PVCON &amp; CCU DFMA activity with production. 3. Calculate tentative BOM cost of new 15KVA 360V 3P OLU.</t>
  </si>
  <si>
    <t>1. LED case discuss and mail to jagdish ji for make. 2. Validation test cases making for CCU</t>
  </si>
  <si>
    <t>1. Validation test case making of CCU 2. BOM cost of 600 SB UPS</t>
  </si>
  <si>
    <t>1. 600VA SB UPS BOM cost calculation. 2. CCU Validation test case making.</t>
  </si>
  <si>
    <t>1. Discuss about 1050VA Square wave luminous test report. 2. 1400VA Al. Power transformer  report and comparision with existing RMS make trnasformer made. 3. Validation test cases for CCU making.</t>
  </si>
  <si>
    <t>1. Validation test cases for CCU making 2. Discuss proton Q plus models feedback with Maharashtra region distributor. 3. PVCON manufacturing regarding discussion with Mukesh ji.</t>
  </si>
  <si>
    <t>1. Feedback regarding PVCON manfacturing issues conveyed to Tarun &amp; Sundeep &amp; Pawan sirs. 2. CCU manufacturing and testing process discuss with Mukeah ji and Shashank.</t>
  </si>
  <si>
    <t>Feedback regarding CCU sent to all concern. Report out the 1400VA Al. T/R as rejected.</t>
  </si>
  <si>
    <t>1. Discussion luminous square wave models. 2. Discussion on CCU documentation</t>
  </si>
  <si>
    <t>1. Discussion on CRM data 2. Discussion on Square wave models. 3. Verification of humming noise comparison of Genus and Luminous square wave model. 4. Software list update.</t>
  </si>
  <si>
    <t>Documentation of CCU : 1. List out the required documentation 2. Validation test cases making 3. Solar panel related convey to Alok ji &amp; Manoj</t>
  </si>
  <si>
    <t>Documentation of CCU :  1. Validation test cases 2. Installation manual of Panel 3. Installation,  operation, maintenance manual of CCU</t>
  </si>
  <si>
    <t>Documentation of CCU :  1. Validation test cases 2. Installation manual of Panel 3. Installation,  operation, maintenance manual of CCU 4. Manufacturing and troubleshooting manual of CCU</t>
  </si>
  <si>
    <t>1. Meeting regarding CCU  2. Validation test cases</t>
  </si>
  <si>
    <t>Documentation of CCU : 1. Validation test cases 2. Installation, operation, maintenance manual of CCU</t>
  </si>
  <si>
    <t>Validation test cases for CCU &amp; Panel making</t>
  </si>
  <si>
    <t>1. Validation test cases for CCU &amp; Panel making 2. MRM sheet preparation</t>
  </si>
  <si>
    <t>1. DAR planning 2. Cost regarding support from SAP to team</t>
  </si>
  <si>
    <t xml:space="preserve">  1. DAR planning 2. Cost regarding support from SAP to team</t>
  </si>
  <si>
    <t>BOM Data Collection</t>
  </si>
  <si>
    <t>1. BOM data collection of competitor product for presentation with team. 2. Genus BOM item segregation</t>
  </si>
  <si>
    <t>1. Components counting and segregation of competitors products &amp; Genus product. 2. Make BOM comparison chart. 3. Make presentation for square wave models comparisons.</t>
  </si>
  <si>
    <t>1. Make BOM comparison chart. 2. Make presentation for square wave models comparisons.</t>
  </si>
  <si>
    <t>SURJA field complaints analysis : 1. Complaints data captured of Months April to July 2016. 2. List out the repetitive complaints. 3. Production qty month wise captured.</t>
  </si>
  <si>
    <t>1. Give demo of 1500VA 12V LCD and 900 SURJA to distributors. 2. Discussion regarding 900 SURJA filed problems.</t>
  </si>
  <si>
    <t>Project Initiation &amp; Kick Off Meeting Part-1</t>
  </si>
  <si>
    <t>BOM Comparison &amp; Competitor Analysis</t>
  </si>
  <si>
    <t>Prepare Feature Comparison sheet</t>
  </si>
  <si>
    <t>Meeting with Senior Management : 1. Competitors products comparison demo. 2. BOM comparison demo 3. Our limitations  4. Options offered.</t>
  </si>
  <si>
    <t>1. Discussion regarding 900 SURJA process from pilot release to mass production. 2. Discuss regarding 1500 SURJA LCD model progress status. 3. Discuss regarding 2.5KVA 36V PQ A model progress status. 4. List out the processes from pilot release to mass production of 900 SURJA model. 5. Discuss regarding color of 1500 SURJA LCD model chassis using shade card of vendor. 6. Proton Q and Proton K models specification share with marketing.</t>
  </si>
  <si>
    <t>1. Discussion regarding new PCB of LCD driver (PCB 990) testing and release. 2. Stuck up assembled PCBs of old HUPS and DLX  models regarding discussion and made list out where it were used and list out the options to convert it for running models. 3. PCB 990 made for testing in LKVA LCD models. 4. Discussion regarding 2.5KVA 36V PQ A models validation report and further actions.</t>
  </si>
  <si>
    <t>1. Made Report of Relicell 12V 200AH SMF battery and send. 2. Made arrangement of seating of solar guys. 3. Compare relay of Helishun which we tested and approved and which we are getting now. 4. Start testing of new PCB 990 of LCD interface with 1500VA 12V LCD model.</t>
  </si>
  <si>
    <t>1. Testing of new PCB 990 for LCD driver with 1500VA 12V LCD model. 2. Went to Genus service center to see SURJA problems in PCBs. 3. List out the options to use stuck up assembled PCBs of DLX model in existing models.</t>
  </si>
  <si>
    <t>1. SURJA 900 setup for heat-run and solar current testing.</t>
  </si>
  <si>
    <t>1. LCD PCB 990 BOM making. 2. 1450VA  Proton Q A New complaints city wise w.r.t sales qty city wise.</t>
  </si>
  <si>
    <t>1. 1450 VA Proton Q complaints state wise. 2. 1450 VA Proton Q components change list analysis</t>
  </si>
  <si>
    <t>1. Discussion regarding report out of 2.5KVA 36V Proton Q A LCD model. 2. Discussion regarding report out of 1500VA SURJA LCD model. 3. Discussion regarding validation process and further roadmap. 4. List out the missed reports and finding.</t>
  </si>
  <si>
    <t>1. Project start intimation given 2. Instruction given (as kick off meeting).</t>
  </si>
  <si>
    <t>1. Preliminary planning done for RD phase. 2. MPP made for RD phase.</t>
  </si>
  <si>
    <t>1. Change request made 2. MPP Revised 3. Project plan revised 4. Share all with team</t>
  </si>
  <si>
    <t>1. Give back support to kaizen team (inventory control) 2. 2.5KVA 36V PQ A documents collect and review</t>
  </si>
  <si>
    <t>Meeting for  1.       Discussion on measurement goals.  2.       Next phase roadmap  3.       Size estimation  4.       Introduce tester and validation member</t>
  </si>
  <si>
    <t>Team meeting. Decide Measurement of projects. commit to estimation</t>
  </si>
  <si>
    <t>Planning Team Meeting</t>
  </si>
  <si>
    <t>Periodic Team meeting : 1. Measurement Goals 2. Planning 3. Size Estimation</t>
  </si>
  <si>
    <t>Team Meeting- Discussion over Agendas related to planning</t>
  </si>
  <si>
    <t>Estimate the complexity of hardwrae</t>
  </si>
  <si>
    <t>After discussion with firmware designer re estimate the complexity of hardware.</t>
  </si>
  <si>
    <t>With the help of wide band delphi method final effort estimation of hardware completed.</t>
  </si>
  <si>
    <t>Final estimation made as per each vertical estimation Tailoring proposal send</t>
  </si>
  <si>
    <t>Final estimation revised Do scheduling (MPP made)</t>
  </si>
  <si>
    <t>Team meeting : 1. Project plan share 2. Project status 3. Risk identification 4. Any issues and concerns</t>
  </si>
  <si>
    <t>Team meeting: Project planning discussed and commitment
Project status
 </t>
  </si>
  <si>
    <t>team meating</t>
  </si>
  <si>
    <t>Auditee in audit of Planning phase</t>
  </si>
  <si>
    <t>During D&amp;I phase tentative BOM cost impact review with team.</t>
  </si>
  <si>
    <t>As a firmware designer prepared the functional specification.</t>
  </si>
  <si>
    <t>With the functional head of hardware and mechanical designer prepared the functional specification</t>
  </si>
  <si>
    <t>Discussed on Planning &amp; Effort Estimation</t>
  </si>
  <si>
    <t>Final Hardware Estimation with Hardware Team mates</t>
  </si>
  <si>
    <t>Changing Current tune in  new revision of firmware 0.2. and tuning tool is not in our scope.</t>
  </si>
  <si>
    <t>it is defined and one time procedure and it is not in our scope.</t>
  </si>
  <si>
    <t>tune in revesion 0.2</t>
  </si>
  <si>
    <t>GGE063_HDWDSN  &amp;  0.3</t>
  </si>
  <si>
    <t>GGE064_REQTRT, 0.1</t>
  </si>
  <si>
    <t>GDB00_RELNOT (0.1)</t>
  </si>
  <si>
    <t>GDB00_RELNOT (0.2)</t>
  </si>
  <si>
    <t>GGE058_SYSCAS, 0.2</t>
  </si>
  <si>
    <t>Test case id IN_1 : in input cell only mains supply written, battery should also there.</t>
  </si>
  <si>
    <t>add battery in input.</t>
  </si>
  <si>
    <t>GGE058_SYSCAS, 0.3</t>
  </si>
  <si>
    <t>In all test case id testing steps not clear, as there is no mention of where we check waveform, where we check voltage or current.</t>
  </si>
  <si>
    <t>relevent steps added</t>
  </si>
  <si>
    <t>There are two times the same id MAN_1</t>
  </si>
  <si>
    <t>MAN_1 and MAN_2 id created. now there will be no repetition of same id.</t>
  </si>
  <si>
    <t>The testing steps an tools missing for MAN_1, BOM_1, IND_1</t>
  </si>
  <si>
    <t>For need id 19 there is no test case id to check BOM cost</t>
  </si>
  <si>
    <t>test case id created to check bom cost</t>
  </si>
  <si>
    <t>GSM052_REQTRT (2.1)</t>
  </si>
  <si>
    <t>NO Finding.</t>
  </si>
  <si>
    <t>2.1</t>
  </si>
  <si>
    <t>3.5KVA/48V</t>
  </si>
  <si>
    <t>GGS026_FUNSPC</t>
  </si>
  <si>
    <t>Template version is wrong.</t>
  </si>
  <si>
    <t>Change template version</t>
  </si>
  <si>
    <t>.1</t>
  </si>
  <si>
    <t>GGE058_SYSCAS.xlsx ver 1.4</t>
  </si>
  <si>
    <t>At float voltage current not become zero. it is continuously taking current.</t>
  </si>
  <si>
    <t>during checking of this defect in second system, no such issue found it may be observed due to some other problem like battery condition, tool malfunctuning etc</t>
  </si>
  <si>
    <t>GGE058_SYSCAS.xlsx ver 1.5</t>
  </si>
  <si>
    <t>GGE058_SYSCAS, 1.5</t>
  </si>
  <si>
    <t>No defects</t>
  </si>
  <si>
    <t xml:space="preserve"> GGE058_REQTRT &amp;1.3</t>
  </si>
  <si>
    <t>Review found no nay defect</t>
  </si>
  <si>
    <t>GGE063 SVN 508</t>
  </si>
  <si>
    <t>ISR Variable and external dependent not define volatile</t>
  </si>
  <si>
    <t>Variables types modified for the same.</t>
  </si>
  <si>
    <t>GGE063 SVN 509</t>
  </si>
  <si>
    <t>Nomenclatures modified for the same.</t>
  </si>
  <si>
    <t>Code and comment ration is not maintain</t>
  </si>
  <si>
    <t>Commenting corrected and updated as per code flow.</t>
  </si>
  <si>
    <t>GSM052_RELNOT (0.1)</t>
  </si>
  <si>
    <t>Artefacts names, version and version date mismatch for some of the artefacts so these should be correct.</t>
  </si>
  <si>
    <t>Correct version and version date in release note.</t>
  </si>
  <si>
    <t>GSM052_RELNOT (0.2)</t>
  </si>
  <si>
    <t>GGE058_RELNOT (0.1)</t>
  </si>
  <si>
    <t>BOM is not there in release note. Release note must include BOM.</t>
  </si>
  <si>
    <t>BOM added in the release note with location</t>
  </si>
  <si>
    <t>GGE058_RELNOT (0.3)</t>
  </si>
  <si>
    <t>Typographical error should be avoided while preparing document.</t>
  </si>
  <si>
    <t>GGE064_PRJPLN Version0.4</t>
  </si>
  <si>
    <t>Grammatical mistakes corrected</t>
  </si>
  <si>
    <t>GGE064_PRJPLN Version0.5</t>
  </si>
  <si>
    <t>SAP (CK11N transaction) plan in Project plan and MPP</t>
  </si>
  <si>
    <t>GGE064_RSKMTX Version0.1</t>
  </si>
  <si>
    <t>Mitigation plan elaborate as weight estimation mentioned</t>
  </si>
  <si>
    <t>GGE064_RSKMTX Version0.2</t>
  </si>
  <si>
    <t>Threshold limit change to 6</t>
  </si>
  <si>
    <t>GGE064_FUNSPC, 1.1</t>
  </si>
  <si>
    <t>GGE063_HWTCAS &amp; 0.2</t>
  </si>
  <si>
    <t>increase the delay time between operation of two relay.</t>
  </si>
  <si>
    <t>GGE064_PRJPLN, 0.6</t>
  </si>
  <si>
    <t>GGE063_MCHTCS</t>
  </si>
  <si>
    <t>No Defect Found</t>
  </si>
  <si>
    <t>GGE064.MPP Version 0.7</t>
  </si>
  <si>
    <t>SAP resource not mention.</t>
  </si>
  <si>
    <t>Mention SAP as resource</t>
  </si>
  <si>
    <t>GGE064.MPP Version 0.8</t>
  </si>
  <si>
    <t>GGE063_HWTCAS &amp; V1.2</t>
  </si>
  <si>
    <t>GGE063_HWTCAS &amp; V1.3</t>
  </si>
  <si>
    <t>GGS026_PRJPLN</t>
  </si>
  <si>
    <t>Need Source is not mentioned.</t>
  </si>
  <si>
    <t>Updated MPP is not link in Share Point but available in offline.</t>
  </si>
  <si>
    <t>Linked with Share point</t>
  </si>
  <si>
    <t>GGE064_PRJPLN, 1.1</t>
  </si>
  <si>
    <t>Not required</t>
  </si>
  <si>
    <t>GGE063_INTDSN  &amp;  REV0.1</t>
  </si>
  <si>
    <t>Rev 0.2</t>
  </si>
  <si>
    <t>GGE064_MCHDSN(0.1)</t>
  </si>
  <si>
    <t>GGE063_INTCAS  &amp; REV0.1</t>
  </si>
  <si>
    <t>GGE064_HDWDSN  &amp; REV 0.1</t>
  </si>
  <si>
    <t>GGE063_REQTRT 5</t>
  </si>
  <si>
    <t>Hardware Implementation ID is not map</t>
  </si>
  <si>
    <t>update RTT and map hardware implementation ID</t>
  </si>
  <si>
    <t>5.1</t>
  </si>
  <si>
    <t>GGE064_PRJPLN, 2.1</t>
  </si>
  <si>
    <t>PCB G0449P0967</t>
  </si>
  <si>
    <t>GSM051_FUNSPC &amp;0.2</t>
  </si>
  <si>
    <t>Low battery voltage not mentioned in the functional specification. mention it</t>
  </si>
  <si>
    <t>GGS051_FUNSPC &amp; 0.2</t>
  </si>
  <si>
    <t>It was mistake now corrected.</t>
  </si>
  <si>
    <t>GSM051_REQTRT</t>
  </si>
  <si>
    <t>.2</t>
  </si>
  <si>
    <t>GGE064_FRWDSN (0.1)</t>
  </si>
  <si>
    <t>Add Battery Boost and Float voltage in battery selection switch module</t>
  </si>
  <si>
    <t>GGE064_FRWDSN (0.2)</t>
  </si>
  <si>
    <t>correct typographical mistake and change serial number</t>
  </si>
  <si>
    <t>GGS026_FRWDSN (0.1)</t>
  </si>
  <si>
    <t>Display module should include parameters changes which are different from existing 2.5 KVA model.</t>
  </si>
  <si>
    <t>add system capacity and system name in graphical indication.</t>
  </si>
  <si>
    <t>GGS026_FRWDSN (0.2)</t>
  </si>
  <si>
    <t>PCB 967 Charing current testing done</t>
  </si>
  <si>
    <t>GGE064_PRJPLN, 3.1</t>
  </si>
  <si>
    <t>GGE064_PCB_G0449P0968</t>
  </si>
  <si>
    <t>C5 should be closed to Vcc pin of U1.</t>
  </si>
  <si>
    <t>GGE064_PCB_G0449P0966</t>
  </si>
  <si>
    <t>1. F1,F2,F3 should be parallel to heat sink for proper current flowing. 2. Legend of output connector is missing. 3. DSP Component side should be mentioned on PCB.</t>
  </si>
  <si>
    <t>GGS026_HDWDSN  &amp; REV0.2</t>
  </si>
  <si>
    <t>Point No. 3.18.9 : Components selection details are missing.</t>
  </si>
  <si>
    <t>Components selection with description</t>
  </si>
  <si>
    <t>GGS026_HDWDSN  &amp;  0.3</t>
  </si>
  <si>
    <t>Spelling correct</t>
  </si>
  <si>
    <t>GGE063_INTDSN &amp; .1</t>
  </si>
  <si>
    <t>Reviewed and found no any defect</t>
  </si>
  <si>
    <t>GGE063_PRDBOM &amp; 0.1</t>
  </si>
  <si>
    <t>Components are missing for control card</t>
  </si>
  <si>
    <t>Added</t>
  </si>
  <si>
    <t>GGE063_PRDBOM &amp; .1</t>
  </si>
  <si>
    <t>Template name Corrected.</t>
  </si>
  <si>
    <t>GGE063_SYSTCS, 0.2</t>
  </si>
  <si>
    <t>The template version which used to make system test case was old.</t>
  </si>
  <si>
    <t>Update with New Template Version</t>
  </si>
  <si>
    <t>GGE063_SYSCAS, 0.1</t>
  </si>
  <si>
    <t>Test id WIR_1 : in tools required multimeter mentioned, but testing steps and expected results does not show use of that.</t>
  </si>
  <si>
    <t>The test case id WOR_1 not fulfill the requirement and not understandable.</t>
  </si>
  <si>
    <t>correct in new template version</t>
  </si>
  <si>
    <t>Test id WOR_2 : The testing steps and expected results not clear about what to and how to do, what should be results</t>
  </si>
  <si>
    <t>Correct in new template Version</t>
  </si>
  <si>
    <t>There are lot off defects observed in test case as product understanding still not clear, re-training must require.</t>
  </si>
  <si>
    <t>Training provided,After provide The Training System test case updated with new Template version</t>
  </si>
  <si>
    <t>GGS026_HDWDSN  &amp; REV0.3</t>
  </si>
  <si>
    <t>There is no any defect in this document.</t>
  </si>
  <si>
    <t>REV0.3</t>
  </si>
  <si>
    <t>GGE064_INTDSN</t>
  </si>
  <si>
    <t>GGE064_INTCAS</t>
  </si>
  <si>
    <t>GGE064_HWTCAS</t>
  </si>
  <si>
    <t>GGE064 (SVN 518)</t>
  </si>
  <si>
    <t>NO defects found. Most of the modules reusable.</t>
  </si>
  <si>
    <t>GGS026 (SVN 519)</t>
  </si>
  <si>
    <t>No defects found. As source code is being referenced from existing 2.5 KVA SURJA Model.</t>
  </si>
  <si>
    <t>GGE064_MCTCAS(0.1)</t>
  </si>
  <si>
    <t>Update in test case.</t>
  </si>
  <si>
    <t>GGE064_MCTCAS(1.0)</t>
  </si>
  <si>
    <t>GGE061_FUNSPC 0.1</t>
  </si>
  <si>
    <t>correct the unit.</t>
  </si>
  <si>
    <t>correct the external interfaces</t>
  </si>
  <si>
    <t>Project description is not written</t>
  </si>
  <si>
    <t>GGE061_REQTRT 0.1</t>
  </si>
  <si>
    <t>Remove That Requirement</t>
  </si>
  <si>
    <t>HW_2027_00</t>
  </si>
  <si>
    <t>GGE063_03.txt</t>
  </si>
  <si>
    <t>GGE063_04.txt</t>
  </si>
  <si>
    <t xml:space="preserve">G0449P0972_REV.1.0 </t>
  </si>
  <si>
    <t>Equalization time is not defined.</t>
  </si>
  <si>
    <t>GGE064_FWTCAS (0.1)</t>
  </si>
  <si>
    <t>Tools Required section must include battery voltage specs and expected result must include tolerance limit for battery voltage.</t>
  </si>
  <si>
    <t>GGE064_FWTCAS (0.2)</t>
  </si>
  <si>
    <t>Battery equalizer Rev 1.0</t>
  </si>
  <si>
    <t>Minimum AH of battery is not defined.</t>
  </si>
  <si>
    <t>System is designed for 12V/7AH to 12V/200AH battery. so there is not any requirement to specify this parameter.because charger is adjusted its current as per the requirement of the battery.</t>
  </si>
  <si>
    <t>G0449P0968REV1.0, GGE064_PRDBOM 0.0</t>
  </si>
  <si>
    <t>Output voltage fluctuation and heating of capacitor 1mfd 63V are due to voltage rating 40V of diode 1N5819, that is at margin as 50V, now diode of same package is changed of high rating SBR 31505B-13 in BOM at D1 location in G0449P0968 assy PCB.</t>
  </si>
  <si>
    <t>G0449P0968REV1.0, GGE064_PRDBOM 0.1</t>
  </si>
  <si>
    <t>G0449P0966_REV.1.0 &amp; GGE064_PRDBOM</t>
  </si>
  <si>
    <t>Relay is not on when base signal is 0.8V</t>
  </si>
  <si>
    <t>As base resistance R8 value 3K with 5% tolerance, so it changed to 1% tolerance resistance to resolve this defect.</t>
  </si>
  <si>
    <t>G0449P0966_REV.1.0 &amp; GGE064_PRDBOM 0.2</t>
  </si>
  <si>
    <t>HW_2027_00, AW_0061_03</t>
  </si>
  <si>
    <t>Burrs are there in slots, so difficult to mount MCB and TB, filing done to mount both, finishing required from vendor end.</t>
  </si>
  <si>
    <t>I talk to vender for this problem and he ensure, this problem is solve in next lot.</t>
  </si>
  <si>
    <t>AW_0166_00.rtf</t>
  </si>
  <si>
    <t>Find mistake in specification of user manual.Operating voltage is not correct.</t>
  </si>
  <si>
    <t>Corrected and informed to project manager also.</t>
  </si>
  <si>
    <t>AW_0166_1.docx</t>
  </si>
  <si>
    <t>Spelling mistake in point no. 3 of user manual specification.</t>
  </si>
  <si>
    <t>G DD-HIP PROD LT FOR-GGE063 REV 00.xls</t>
  </si>
  <si>
    <t>Input voltage range is not correct in LT.</t>
  </si>
  <si>
    <t>Corrected.</t>
  </si>
  <si>
    <t>G DD-HIP PROD LT FOR-GGE063 REV 1.xls</t>
  </si>
  <si>
    <t>G DD-HIP PROD QA FOR-GGE063 REV 00.xls</t>
  </si>
  <si>
    <t>G DD-HIP PROD QA FOR-GGE-063 REV 01.xls</t>
  </si>
  <si>
    <t>GGS026_HWTCAS &amp; 0.1</t>
  </si>
  <si>
    <t>Test Case ID-1 : Describe Voltage in the description also.</t>
  </si>
  <si>
    <t>Voltage range is now 42V to 49V</t>
  </si>
  <si>
    <t>GGS026_INTCAS &amp; 0.1</t>
  </si>
  <si>
    <t>Battery Voltage Range should have proper range with tolerance.</t>
  </si>
  <si>
    <t>Test Case ID 2 having proper range</t>
  </si>
  <si>
    <t>Range is now 42V to 49V</t>
  </si>
  <si>
    <t>Test Case ID 15 - Mains Range Have tolerance</t>
  </si>
  <si>
    <t>Provide proper mains range</t>
  </si>
  <si>
    <t>Specify tolerance in test case id 23.</t>
  </si>
  <si>
    <t>Now testing parameters have proper tolerance</t>
  </si>
  <si>
    <t>Testing steps need elaboration in test case id 25.</t>
  </si>
  <si>
    <t>Elaborate the test case ID 25</t>
  </si>
  <si>
    <t>Correct spelling in test case id 25,28.</t>
  </si>
  <si>
    <t>Correct all the spelings</t>
  </si>
  <si>
    <t>GGE064_PRDBOM 0.2</t>
  </si>
  <si>
    <t>GGE064_PRDBOM 0.3</t>
  </si>
  <si>
    <t>GGE064_0.elf</t>
  </si>
  <si>
    <t>No defects found</t>
  </si>
  <si>
    <t>GGE064_REQTRT, 3.1</t>
  </si>
  <si>
    <t>Project name not mentioned</t>
  </si>
  <si>
    <t>Project name mentioned</t>
  </si>
  <si>
    <t>GGE064_REQTRT, 3.2</t>
  </si>
  <si>
    <t xml:space="preserve"> GGE063_SYSCAS, 2.5</t>
  </si>
  <si>
    <t>G DD-HIP PROD QA FOR-GGE-063 REV 01,G DD-HIP PROD LT FOR-GGE063 REV 1,AW_0166_1,GGE063_PRDBOM Rev1.0</t>
  </si>
  <si>
    <t>Root cause analysis 1.0</t>
  </si>
  <si>
    <t>GGE063_SYSCAS 3.0</t>
  </si>
  <si>
    <t>Burrs found on slot of switch, so filing done to proper mounting of that switch, otherwise tight to mount.</t>
  </si>
  <si>
    <t>talk to vender for this problem and he ensure, this problem is solve in next lot</t>
  </si>
  <si>
    <t>Wiring diagram 1.0</t>
  </si>
  <si>
    <t>Wiring diagram revised as routing of transformer change.</t>
  </si>
  <si>
    <t>Wiring diagram 1.1</t>
  </si>
  <si>
    <t>GGS026_HWTCAS,1.2</t>
  </si>
  <si>
    <t>No defect is found</t>
  </si>
  <si>
    <t>GGS026_HWTCAS</t>
  </si>
  <si>
    <t>GGE064_PRJPLN, 4.1</t>
  </si>
  <si>
    <t>3.5KVA Surja R0.elf.S</t>
  </si>
  <si>
    <t>Reduce changeover time and program file update in project repository 3.5KVA Surja R0.elf.S</t>
  </si>
  <si>
    <t>3.5KVA Surja R1.elf.S</t>
  </si>
  <si>
    <t>GGE064_PRJPLN, 5.1</t>
  </si>
  <si>
    <t>GGE064_PRJPLN, 6.1</t>
  </si>
  <si>
    <t>GGS026_FWTCAS,1.3</t>
  </si>
  <si>
    <t>GGS026_REQTRT &amp; 1.1</t>
  </si>
  <si>
    <t>GGE063_RELNOT (0.1)</t>
  </si>
  <si>
    <t>GGE063_REQTRT 7.0</t>
  </si>
  <si>
    <t>No Defect found</t>
  </si>
  <si>
    <t>7.0</t>
  </si>
  <si>
    <t>GGE064_SYSCAS.xls</t>
  </si>
  <si>
    <t>THD Must be less than 3%</t>
  </si>
  <si>
    <t>done as per specs.</t>
  </si>
  <si>
    <t>GGE064_SYSCAS.xls REV 0.2</t>
  </si>
  <si>
    <t>Battery Boost and Float voltage must accorging to referance docs.</t>
  </si>
  <si>
    <t>BV and FV changed as per specs</t>
  </si>
  <si>
    <t>Charging current not according to reference specification doc.</t>
  </si>
  <si>
    <t>charging current updated as per spec</t>
  </si>
  <si>
    <t>GGE064_SYSCAS.xls REV 0.1</t>
  </si>
  <si>
    <t xml:space="preserve"> </t>
  </si>
  <si>
    <t>instead of mains fuse , mains mcb added</t>
  </si>
  <si>
    <t>no any test ID for easy to service</t>
  </si>
  <si>
    <t>test case id now added</t>
  </si>
  <si>
    <t>no any test id for transportation</t>
  </si>
  <si>
    <t>id added for transportation</t>
  </si>
  <si>
    <t>changes done</t>
  </si>
  <si>
    <t>GGE064_SYSCAS.xls REV 0.3</t>
  </si>
  <si>
    <t>charging current must be in range</t>
  </si>
  <si>
    <t>charging current now changed as per specs</t>
  </si>
  <si>
    <t>GGE064_0.elf.S</t>
  </si>
  <si>
    <t>In between 190V to 270V the charging current is not coming under specs. instead of 12.5A it is coming 14.5 A</t>
  </si>
  <si>
    <t>GGE064_1.elf.S</t>
  </si>
  <si>
    <t>mains to ups changover time checked on different mains i/p, and some times it has been observed that changeover time is not coming in specs. it is coming 14 ms instead of 12ms</t>
  </si>
  <si>
    <t>GGE064_REQTRT, 4.1</t>
  </si>
  <si>
    <t>GGE064_RELNOT (0.1)</t>
  </si>
  <si>
    <t>GGE071_FUNSPC 0.1</t>
  </si>
  <si>
    <t>In need id 15 : The elaboration not complete, as it shows output voltage without tolerance or limit and also not indicating what happened at full load and low battery type conditions.</t>
  </si>
  <si>
    <t>Elaboration is done in FUNSPC.</t>
  </si>
  <si>
    <t>In need id 20 : The information proposed to give on installation and user manual only. It is highly recommend also give some critical and important information at packing box as printing and on model itself via sticker.</t>
  </si>
  <si>
    <t>All above information captured in FUNSPC.</t>
  </si>
  <si>
    <t>In need id 21 : Recommend to give user interface information on user manual also.</t>
  </si>
  <si>
    <t>User interface information captured in FUNSPC.</t>
  </si>
  <si>
    <t>GGE071_FUNSPC 0.2</t>
  </si>
  <si>
    <t xml:space="preserve"> modify Elaboration (Through hole power PCB, detachable SMD diver PCB and Controller PCB will make easy manufacturing) in need ID 23 .</t>
  </si>
  <si>
    <t>GGE071_FUNSPC, 0.3</t>
  </si>
  <si>
    <t>Modify Elaboration(Through hole power PCB, detachable SMD diver PCB and Controller PCB will help to easy servicing) in need ID 24</t>
  </si>
  <si>
    <t>GGE07_FUNSPC, 0.2</t>
  </si>
  <si>
    <t>As team applied DAR for selecting topology, but Functional specification does not have any information regarding the result of that DAR.</t>
  </si>
  <si>
    <t>add need id 28 and  it's elaboration</t>
  </si>
  <si>
    <t>GGE072_FUNSPC; 0.1</t>
  </si>
  <si>
    <t>GGE072_FUNSPC; 1.4</t>
  </si>
  <si>
    <t>In need id 8 : The BOM cost written as arround 1930INR, that not seems testable, it should have some tolerance in percentage or in amount</t>
  </si>
  <si>
    <t>GGE072_FUNSPC; 1.5</t>
  </si>
  <si>
    <t>In need id 8 : the spelling of shall is wrong.</t>
  </si>
  <si>
    <t>GGE072_REQTRT; 0.1</t>
  </si>
  <si>
    <t>Re-Review the all Requirement and Re-define All Related Requirement</t>
  </si>
  <si>
    <t>GGE072_REQTRT; 0.2</t>
  </si>
  <si>
    <t>In need id 16 the related id mentioned 9 but it not seems related; whereas it seems that other like 10 can related that and vice versa also.</t>
  </si>
  <si>
    <t>GGE072_PRJPLN; 0.4</t>
  </si>
  <si>
    <t>GGE072_PRJPLN; 1.2</t>
  </si>
  <si>
    <t>There is no defect in RTT.</t>
  </si>
  <si>
    <t>NO Defect</t>
  </si>
  <si>
    <t>tuning tool is not in out scope.</t>
  </si>
  <si>
    <t>1. Revision history should be there. 2. File name of BOM should be same as actuals.</t>
  </si>
  <si>
    <t>1. Mentioned version 1.0 and history as first release 2. file name corrected as GDB003_BOM</t>
  </si>
  <si>
    <t>test case id SER_1 : tools and testing steps missing Expected result not measurable as easy not defined.</t>
  </si>
  <si>
    <t>test case id SER_1 : tools and testing steps added and now  Expected results are measurable.</t>
  </si>
  <si>
    <t>testings steps added</t>
  </si>
  <si>
    <t>variable and function nomenclature is not proper according to coding standard</t>
  </si>
  <si>
    <t>Grammatical mistake in Scope,Rationale and Work Environment.</t>
  </si>
  <si>
    <t>Resource Plan is not as per scope.Cost measurment resource missing.</t>
  </si>
  <si>
    <t>Mitigation plan and project manager understanding is not align.</t>
  </si>
  <si>
    <t>Threshold for documenting the rationale for RPN Change limit so large.</t>
  </si>
  <si>
    <t>Delay has been modified and new MCU image file is kept at below path:" file name: GGE063_03 \\192.168.100.9\processdoc\R&amp;D Data\GGE063\Prog_Files</t>
  </si>
  <si>
    <t>Test condition should be written. Mention use of all instruments.</t>
  </si>
  <si>
    <t>Test condition are written. Use of all instruments indicate.</t>
  </si>
  <si>
    <t>Need source is senior management. update in the plan</t>
  </si>
  <si>
    <t>Hardware Design SME Review is not aligned with Risk ID 1 Mitigation Plan</t>
  </si>
  <si>
    <t>During preparation of design document &amp; After completion of design document</t>
  </si>
  <si>
    <t>Schedule variance Metrics is not aligned with Project schedule Escalation Paln is not aligned project schedule</t>
  </si>
  <si>
    <t>Escalation plan: Schedule deviation &gt; 15% -  Senior Management  Schedule deviation &gt; 20% - Customer Schedule variance measurement goal:10%</t>
  </si>
  <si>
    <t>PCB Designer not mentioned and Validation Member name and column is repeated</t>
  </si>
  <si>
    <t>Add rakesh pandey as PCB designer Remove the repeated name</t>
  </si>
  <si>
    <t>Point No. 7: Spelling mistake "selp". It shopuld be "self".</t>
  </si>
  <si>
    <t>Spelling correction is done and document uploaded</t>
  </si>
  <si>
    <t>Point No. 12: Spelling mistake "Syetem".</t>
  </si>
  <si>
    <t>Spelling correction is done</t>
  </si>
  <si>
    <t>Point No. 3.1: Mention "Power supply" in place of "Buck Converter". Point No. 3.1.6: Provide design alternate solution. Point No. 3.2.9: Components selection details should be explained. Point No. 3.3.2: Logic flow should be explained. Point No. 3.3.9: Components selection details should be explained.</t>
  </si>
  <si>
    <t>All correction is completed .</t>
  </si>
  <si>
    <t>PCB G0449P0967 verified , assembled and tested .
No defect found</t>
  </si>
  <si>
    <t>Low battery voltage10.5V and low battery indication 11.V also updating in RTT</t>
  </si>
  <si>
    <t>S.No. is wrong in s. No check after 13</t>
  </si>
  <si>
    <t>Battery switch selection must include battery voltage reference values for TT and FT mode.</t>
  </si>
  <si>
    <t>Project code field removed from template. Some typographical errors in introduction section for e.g. 'realy 'instead of 'relay' Section number should be 4 instead of 1 for off the shelf components.</t>
  </si>
  <si>
    <t>Project code should not be removed from document. Date at the end should be same as actual.</t>
  </si>
  <si>
    <t>add project code as per template</t>
  </si>
  <si>
    <t>Charing current 2.5A (change request from customer side) set changing shunt resistance R8,R9,R15 and R16 value 0.2E 1/8W in place of 0.5E 1/8 W in PCB 967 Rev 1.0 .Testing result is OK .</t>
  </si>
  <si>
    <t>C5 is now closed to Vcc of U1.</t>
  </si>
  <si>
    <t>Fuse is now parallel with heat sink.
Legend J2 is added in layout
DSP component side is mentioned on PCB layout for control section.</t>
  </si>
  <si>
    <t>Point No. 3.18.2: Correct word "generates" in place of "creates". Point No. 3.18.2: Initialize sentence with Capital letter. Point No. 3.18.3: Correct spelling "with" in place of "wioth". Point No. 3.18.8: Correct spelling "installed" in place of "inatalled".</t>
  </si>
  <si>
    <t>Template name is wrong  it should be GGE063_PRDBOM</t>
  </si>
  <si>
    <t>Correct in testing steps &amp; expected results</t>
  </si>
  <si>
    <t>Reviewed and found no defects.</t>
  </si>
  <si>
    <t>Revieded no defect found</t>
  </si>
  <si>
    <t>Tolerance should mention in expected result</t>
  </si>
  <si>
    <t>Tolerance mentioned.</t>
  </si>
  <si>
    <t>User Manual &amp; Sticker Test cases not found</t>
  </si>
  <si>
    <t>Charging current unit is wrong. it should be in Ampere.</t>
  </si>
  <si>
    <t>External Interfaces in Not identified clearly</t>
  </si>
  <si>
    <t>write the project description</t>
  </si>
  <si>
    <t>Requirement is Repeated. the Product warranty requirement has cover in Reference product specification.</t>
  </si>
  <si>
    <t>Charging time is not as per specification. system is charge the battery more than half hour and battery voltge is not reached at 14.5V within half hour</t>
  </si>
  <si>
    <t>Charging time modified. Modified Prog. file is kept at  \\192.168.100.9\processdoc\R&amp;D Data\GGE063\Prog_Files</t>
  </si>
  <si>
    <t>System is designed for different type of batteries so equalization time is not possible to define for designer. Instead of this charging time is defined for a battery.</t>
  </si>
  <si>
    <t>Add battery voltage and add tolerance limit</t>
  </si>
  <si>
    <t>Date format should be as given in instructions for use. Prepared by field should not be empty. If possible then Firmware version should be there.</t>
  </si>
  <si>
    <t>1.Output voltage fluctuation on CRO and Heating of capacitor 1uF ,63V  when running on full load</t>
  </si>
  <si>
    <t>SR. NO. 11 &amp; Sr. no. 16 Input voltage range is incorrect.</t>
  </si>
  <si>
    <t>Change the battery voltage range. it is now 42+/-0.2V to 49V+/-1V</t>
  </si>
  <si>
    <t>Output THD&gt;3% founded</t>
  </si>
  <si>
    <t>Output filter capacitor value changed . </t>
  </si>
  <si>
    <t>Transformer and toggle switch very close mounted, and wiring of transformer touch to toggle switch, transformer wiring must route another way.</t>
  </si>
  <si>
    <t>At UPS Mode some times change over time comes approx 28ms so it not work properly. it should be under 12ms always in UPS Mode.</t>
  </si>
  <si>
    <t>Self review the RTT  found no nay defect</t>
  </si>
  <si>
    <t>All PCB Layouts and Mechanical drawings should include (Module name or part name along with their numbers).</t>
  </si>
  <si>
    <t>change over time in UPS mode must be &lt; 12msec.</t>
  </si>
  <si>
    <t>change over time in UPS mode changed to &lt; 12msec.</t>
  </si>
  <si>
    <t>mains Fuse not applicable , it must be MCB</t>
  </si>
  <si>
    <t>id was present and now id is more elaborate</t>
  </si>
  <si>
    <t>no any test id for manufacturing</t>
  </si>
  <si>
    <t>Change at every test as discharging and charging</t>
  </si>
  <si>
    <t>increase charging current multiplier.  if charging current not tune perfectly after this update, than tune charging current from tuning tool</t>
  </si>
  <si>
    <t>reduce mains off checking counter program file update in repository location with rev 1</t>
  </si>
  <si>
    <t>No such defects found. Some suggestion as below: 1. Project code and name of reviewer should come in new line. 2. PCB layouts and drawing fields should include name of layout such as power circuit, control circuit, enclosure drawing etc.</t>
  </si>
  <si>
    <t>There is no elaboration found of need id 23. --&gt;The elaboration is not testable and traceable, please do it so that can test.</t>
  </si>
  <si>
    <t>There is no elaboration found of need id 24. --&gt; The mentioned elaboration not traceable and not testable, please do it so that can test.</t>
  </si>
  <si>
    <t>In need id 5 the related id mentioned only 2; whereas it seems that 3,5,9&amp;14 also related that and vice versa also.</t>
  </si>
  <si>
    <t>In need id 8 the related ids mentioned only 1,10 &amp; 14; whereas it seems that more ids related to that like 23,17,15,14,12,11,9 &amp; 5 also related that and vice versa also.</t>
  </si>
  <si>
    <t>User selectable Energy Saver Voltage option should be  11.3 / 11.5 / 11.8V in place of 11.5V.</t>
  </si>
  <si>
    <t>User selectable Energy Saver Voltage option 11.3 / 11.5 / 11.8V has been added in updated version (1.1) of FS.</t>
  </si>
  <si>
    <t>Charu Sharma</t>
  </si>
  <si>
    <t>Mentioned review defect log as no  defects found and also filled time sheet for this review.</t>
  </si>
  <si>
    <t>In CI list of GGS058_ PRJPLN add the location of support documents</t>
  </si>
  <si>
    <t>Now maintained the revision history in process.</t>
  </si>
  <si>
    <t>Now filled test IDs against the integration design document</t>
  </si>
  <si>
    <t>Update the action item and pending to resolved items in the MOM</t>
  </si>
  <si>
    <t>Name of Tarun Gupta added as Sr Management.</t>
  </si>
  <si>
    <t>Review OF RTT was done but forget to fill Log due to No finding.So fill Log.</t>
  </si>
  <si>
    <t>Project Code correct in Test case Review Checklist.</t>
  </si>
  <si>
    <t>Update the schedule</t>
  </si>
  <si>
    <t>Audit Report not Gathered for Identifying Process Improvement Opportunities.</t>
  </si>
  <si>
    <t>As PPQA team didn't send the Audit report on defined schedules , so from now we will coordinate with PPQA team and ask them for audit reports periodically.</t>
  </si>
  <si>
    <t>Understanding of workflow of local computer, share point, configuration management, risk management is poor.</t>
  </si>
  <si>
    <t>Sr. management added in roles and responsibility matrix.</t>
  </si>
  <si>
    <t>Involvement edited as per schedule instead of as and when needed.</t>
  </si>
  <si>
    <t>Schedule updated for sr. management review.</t>
  </si>
  <si>
    <t>resource plan edited for audit tools.</t>
  </si>
  <si>
    <t>Training plan and skills of both trainees are updated.</t>
  </si>
  <si>
    <t>Awareness of skill matrix location and updation is missing.</t>
  </si>
  <si>
    <t>Auditees were provided awareness about skills matrix at sharepoint.</t>
  </si>
  <si>
    <t>Team meeting is missing in audit schedule.</t>
  </si>
  <si>
    <t>Schedule updated for team meeting.</t>
  </si>
  <si>
    <t>Team meetings are not done on defined frequency.</t>
  </si>
  <si>
    <t>Team meeting done for march. it will be taken care to do on defined frequency.</t>
  </si>
  <si>
    <t>Team meeting agenda is ad-hoc.</t>
  </si>
  <si>
    <t>Team meeting agenda is now added in MOM (by PEG).</t>
  </si>
  <si>
    <t>PPQA activities doesn't have an escalation plan.</t>
  </si>
  <si>
    <t>Escalation plan added in PPQA plan.</t>
  </si>
  <si>
    <t>Senior management review MOM is missing.</t>
  </si>
  <si>
    <t>MOM is updated for performed sr. management review.</t>
  </si>
  <si>
    <t>ADTRPT is missing.</t>
  </si>
  <si>
    <t>ADTRP is updated for march and sent to PEG, now will be taken care to do every month</t>
  </si>
  <si>
    <t>Updated schedule is missing for post January activities.</t>
  </si>
  <si>
    <t>Risk matrix sent to PEG, upload mail at Emails folder.</t>
  </si>
  <si>
    <t>As already conveyed that risk matrix review also done and one defects logged, but name written of project plan, so corrected the artefact name</t>
  </si>
  <si>
    <t>As already conveyed that schedule with project plan also reviewed and same NC as for project plan regarding resource missing, applicable for this , now separately mentioned.</t>
  </si>
  <si>
    <t>Risk Matrix Contingency Action is not clear</t>
  </si>
  <si>
    <t>It needs to be more elaborated.</t>
  </si>
  <si>
    <t>As already conveyed that mail send but not archived, now archived.</t>
  </si>
  <si>
    <t>Agenda Item- Pending Action Item in team meeting doesn't contains entries thus it is not clear on which pending action item discussed</t>
  </si>
  <si>
    <t>Links to the Artefacts's location in Configuration Plan are not to the point.</t>
  </si>
  <si>
    <t>The link should be such that when it is clicked it directly open the desired document.</t>
  </si>
  <si>
    <t>Audit Planning Phase Metrics Report GGE064</t>
  </si>
  <si>
    <t>It was a clerical mistake now corrected in the plan.</t>
  </si>
  <si>
    <t>It was a clerical mistake now updated in the plan.</t>
  </si>
  <si>
    <t>Resource mentioned as Syoji Ram Sharma Raghvendra Thakur in validation phase.</t>
  </si>
  <si>
    <t>Update in MPP as 3D designing resource : Bharat Kakra</t>
  </si>
  <si>
    <t>Alok is resonsible for user support document</t>
  </si>
  <si>
    <t>Shashank kumar's name was missed in MPP, now update in the MPP</t>
  </si>
  <si>
    <t>Hyperlink is updated in CI plan</t>
  </si>
  <si>
    <t>Nomenclature updated in CI Plan for implemented CI</t>
  </si>
  <si>
    <t>RTT Review done and update implementation ID of hardware</t>
  </si>
  <si>
    <t>Hardware designer needs peer review and it is discussed with hardware designer but not updated in project plan. now updated in project plan</t>
  </si>
  <si>
    <t>Add the name TG as Firmware PK as Hardware SJ as mechanical SA as PPQA Jalaj as validation</t>
  </si>
  <si>
    <t>It was a mistake Now correcteed</t>
  </si>
  <si>
    <t>Audit Metrics Report RD Phase GSM051</t>
  </si>
  <si>
    <t>update user support document history</t>
  </si>
  <si>
    <t>schedule is not updated in MPP</t>
  </si>
  <si>
    <t>update shcedule</t>
  </si>
  <si>
    <t>Risk Matrix is not updated with the Completion of Risk status as risk already has been over.</t>
  </si>
  <si>
    <t>update risk matrix mitigation plan and contingency status</t>
  </si>
  <si>
    <t>Now link functional spec</t>
  </si>
  <si>
    <t>update same</t>
  </si>
  <si>
    <t>update action item status</t>
  </si>
  <si>
    <t>fill and close to review log</t>
  </si>
  <si>
    <t>The Template name is not changed with Project Code prefix it is yet TMPL_INTDSN</t>
  </si>
  <si>
    <t>Header corrected as GGE064_INTDSN.</t>
  </si>
  <si>
    <t>The version history maintained for documents in processdoc should contain the hyperlinks to the file so that they can be tracked easily</t>
  </si>
  <si>
    <t>The Firmware Design document Module no. 3.9 does not contain the output parameters or return value field filled</t>
  </si>
  <si>
    <t>As already conveyed we did testing of firmware module and filled actual results, but version number and pass/fail left to mentioned by mistake, now filled.</t>
  </si>
  <si>
    <t>The Template name is not changed with Project Code prefix it is yet TMPL_HDWDSN</t>
  </si>
  <si>
    <t>Header corrected as GGE064_HDWDSN</t>
  </si>
  <si>
    <t>GGE064_REQTRT Formatting is changed due to different office suite use other than Microsoft office</t>
  </si>
  <si>
    <t>Review and defect logged  for validation of GGE063_SYSCAS 3.0 is wrongly logged as functional. (It should be non-functional if no defect found)</t>
  </si>
  <si>
    <t>Correct log type</t>
  </si>
  <si>
    <t>GGE064_REQTRT Review defect not logged.</t>
  </si>
  <si>
    <t>Review Defect Log filled</t>
  </si>
  <si>
    <t>GGE063_VALRPT the report does not contains the checked by column filled</t>
  </si>
  <si>
    <t>correct in validation report and re approved by validation head</t>
  </si>
  <si>
    <t>According to CM plan in GGE064_PRJPLN the Dar document should be in the Planning folder but it is found in the DI folder.</t>
  </si>
  <si>
    <t>The CI DAR document location changed in CI list section of project plan, and this revised plan approved by Tarun.</t>
  </si>
  <si>
    <t>Update the project planed date in project information section.</t>
  </si>
  <si>
    <t>It was tracked but not mentioned the closure date in the issue log, now actual completion date now mention in issue log.</t>
  </si>
  <si>
    <t>Update the test plan</t>
  </si>
  <si>
    <t>update the rtt</t>
  </si>
  <si>
    <t>Now name is GGS026_Core type selection of power transformer_DARGEN</t>
  </si>
  <si>
    <t>closed as per decision by senior mangment</t>
  </si>
  <si>
    <t>Defect Analysis not done for Defects identified during Reviews and Testings.</t>
  </si>
  <si>
    <t>We will do it in next team meeting</t>
  </si>
  <si>
    <t>It was a mistake now corrected by relevant person</t>
  </si>
  <si>
    <t>uploaded on share point</t>
  </si>
  <si>
    <t>BOM Updated at share point</t>
  </si>
  <si>
    <t>already planned</t>
  </si>
  <si>
    <t>It was in the pending stage now approved</t>
  </si>
  <si>
    <t>The system test case relooked and corrected the  typographical errors and mismatch.</t>
  </si>
  <si>
    <t>Version of the work products at the repository location on server processdoc does not follow a common version number format.</t>
  </si>
  <si>
    <t>Date of the Team Meeting Held on 28 april 2016, is wrongly entered 27 April, 2016 in the MOM GGE064_MINMET.</t>
  </si>
  <si>
    <t>The Process Defect density is wrongly written product defect density in the Process Defect  density analysis.</t>
  </si>
  <si>
    <t>Wrongly written product Defect density in the Process Defect density analysis corrected.</t>
  </si>
  <si>
    <t>Archived in SVN.</t>
  </si>
  <si>
    <t>GGE055 Project Metrics Report not archived.</t>
  </si>
  <si>
    <t>Archived in Share point (Measurement Rep.)</t>
  </si>
  <si>
    <t>GGE063 Project Metrics Report not archived. Please Archive</t>
  </si>
  <si>
    <t>we'll take suggestions, and improve this from next time.</t>
  </si>
  <si>
    <t>plan corrected for all things.</t>
  </si>
  <si>
    <t>Approved audit plan should be circulated to all concerns.</t>
  </si>
  <si>
    <t>mailed to all relevant stakeholders about updated CIs of PPQA</t>
  </si>
  <si>
    <t>we'll analyze old data and will correct from future accordingly.</t>
  </si>
  <si>
    <t>RD Phase Audit Done. No Findings.</t>
  </si>
  <si>
    <t>RD Phase Metrics Report Audit done. No Findings.</t>
  </si>
  <si>
    <t>In version 2.0 of GGE072_ESTFNL sheet, the overhead percentage corrected, as per approved project plan.</t>
  </si>
  <si>
    <t>GGE072_PRJPLN_Section-Risk Management Plan: Risk Matrix Link is Wrong.</t>
  </si>
  <si>
    <t>As no risk identified yet, so whenever the risk identified and due to that updation required in project plan or if any other updation require in project plan in future , then I'll correct the link.</t>
  </si>
  <si>
    <t>Planning Phase Metrics Report Audit Done. No Findings.</t>
  </si>
  <si>
    <t>Project Manager name corrected in MOM.</t>
  </si>
  <si>
    <t>Attachment of artefact sent for review purpose in mail, can lead to false interpratation. better check and review at sharepoint.</t>
  </si>
  <si>
    <t>no time sheet is available for discussion on project initiation.</t>
  </si>
  <si>
    <t>Time sheet is updated for Project Initiation.</t>
  </si>
  <si>
    <t>all planning contents are in action item, may not necessary.</t>
  </si>
  <si>
    <t>FS is initially approved without review.</t>
  </si>
  <si>
    <t>We will take care from next phase.</t>
  </si>
  <si>
    <t>Defect description has been corrected and clearly mentioned Artefact 1.0.</t>
  </si>
  <si>
    <t>Correction of effort variance language is corrected and date is also mentioned in matrix report.</t>
  </si>
  <si>
    <t>Audit RD Phase - GGE064 RTT Review by Project Manager not done</t>
  </si>
  <si>
    <t>Audit RD Phase GGE064  Action Item Given in MOM should be same with same description everywhere so that they can be tracked easily.</t>
  </si>
  <si>
    <t>Audit RD Phase GGE064 FS Reviewed and Approved but should be done as given in procedure i.e. use Now Baseline Text in comments while approval or baselining</t>
  </si>
  <si>
    <t>Production Support Documents not available in CI List or the Link to the documents is not available in Project Plan or in any other document</t>
  </si>
  <si>
    <t>The Revision History of CI in R&amp;D data folder location not maintained</t>
  </si>
  <si>
    <t>Project Closure Audit done. No NC Found.</t>
  </si>
  <si>
    <t>Test Cases IDs not filled in the Integration Design Document in Integration Table</t>
  </si>
  <si>
    <t>There is no link given to the Production Support Documents in the Integration Design Document</t>
  </si>
  <si>
    <t>MOM is not updated , Action Items status shows pending while they are completed</t>
  </si>
  <si>
    <t>The Decision/Action Item/Issue column contains entries which doesn't shows the type whether they are decision or action item or issue.</t>
  </si>
  <si>
    <t>In Roles &amp; Responsibility matrix in Senior Management Inlcude HOD D&amp;D instead of CEO</t>
  </si>
  <si>
    <t>The Links to the artefacts in CM plan section in annual plan shoudl be specific to the document</t>
  </si>
  <si>
    <t>Audit Validation Phase GSM052
RTT Review Evidence not available</t>
  </si>
  <si>
    <t>system test Case review checklist contains wrong project code</t>
  </si>
  <si>
    <t>Audit Validation Phase Metrics Report GSM052  No Findings</t>
  </si>
  <si>
    <t>Audit IT-Infra March 2016 (No Findings)</t>
  </si>
  <si>
    <t>Audit Integration Phase Metrics Report GGE058
as Auditor (No Findings)</t>
  </si>
  <si>
    <t>Audit Validation Phase GGE058
In Review of RTT the defect logged have filled wrong in Defect Found using column it should be Review instead of Validation</t>
  </si>
  <si>
    <t>Audit Validation Phase GGE058
Updated Schedule not available on sharepoint</t>
  </si>
  <si>
    <t>Audit Validation Phase Metrics Report GGE058 as Auditor</t>
  </si>
  <si>
    <t>Review finding not Cloased.
Please close</t>
  </si>
  <si>
    <t>Check Again . As per my finding all the review findings have been closed.</t>
  </si>
  <si>
    <t>Audit Closure GGE058
TMPL_CLOSRE Version used is not the latest one.</t>
  </si>
  <si>
    <t>Upload the closure report with new version</t>
  </si>
  <si>
    <t>Audit Closre GGE058
Risk Matrix not sent to PEG</t>
  </si>
  <si>
    <t>Send to PEG head but it was not archived in share point now archived in share point</t>
  </si>
  <si>
    <t xml:space="preserve">Audit Closure GGE058
TMPL_RELNOT used doesnot contains the name of Reviewer in Reviewed By </t>
  </si>
  <si>
    <t>Audit Closure Metrics Report GGE058 as Auditor</t>
  </si>
  <si>
    <t>PPQA plan Sr. management is missing in roles and responsibilities matrix. (10.)</t>
  </si>
  <si>
    <t>PPQA plan 10. roles and responsibility matrix involvement of stake holder is written as "as and when needed" which is not appropriate.</t>
  </si>
  <si>
    <t>Audit schedule Sr. management review is missing in audit schedule.</t>
  </si>
  <si>
    <t>PPQA plan 5. Resource plan resource plan contains only manpower, while it should includes all necessary other resources too for eg. computer with network and share point, checklist, audit log and audit tool to perform audit.</t>
  </si>
  <si>
    <t>PPQA plan 7. Training plan Earlier provided training to Manindera is now a skill addition to him. also training is provided to Shyam as per mentioned training details which is now a skill addition.</t>
  </si>
  <si>
    <t>PPQA plan 9. Configuration and data management plan hyperlink of location to configuration items will be better.</t>
  </si>
  <si>
    <t>Schedule is updated for FY 2015-16 &amp; FY 2016-17 as on date.</t>
  </si>
  <si>
    <t>Audit Closure GSM052
Project Risk Matrix not sent to PEG</t>
  </si>
  <si>
    <t>Audit Closure &amp; Release Phase Metrics Report GSM052</t>
  </si>
  <si>
    <t>Audit Planning Phase GGE064 Risk Plan Review &amp; Testing defect log filled wrongly against project plan artefact GGE064_PRJPLN</t>
  </si>
  <si>
    <t>Review &amp; Testing Defect Log not filled after review of project schedule in mpp</t>
  </si>
  <si>
    <t>Particular Names of the responsible person &amp; Exact dates used in the when column in the Risk Matrix are used.</t>
  </si>
  <si>
    <t>Instead of that roles of the person &amp; phase should be used</t>
  </si>
  <si>
    <t>Updated schedule intimation Mail not archived</t>
  </si>
  <si>
    <t>RTT Review (in Validation Phase) is not planned/Scheduled in MPP.
Please Include the same in MPP.</t>
  </si>
  <si>
    <t>Preparation &amp; review of RTT updated in MPP</t>
  </si>
  <si>
    <t>Need Source in Project Information section is not Specific.</t>
  </si>
  <si>
    <t>This project is directly got from senior management, so mention in the need source "senior management".</t>
  </si>
  <si>
    <r>
      <t xml:space="preserve">In Tailoring Proposal Artefact Name </t>
    </r>
    <r>
      <rPr>
        <b/>
        <sz val="11"/>
        <color theme="1"/>
        <rFont val="Calibri"/>
      </rPr>
      <t>GGS026_ESTRW</t>
    </r>
    <r>
      <rPr>
        <sz val="11"/>
        <color theme="1"/>
        <rFont val="Calibri"/>
        <family val="2"/>
        <scheme val="minor"/>
      </rPr>
      <t xml:space="preserve"> is not Correct. It should be GGS026_ESTFRW. Please Correct.</t>
    </r>
  </si>
  <si>
    <t>Planned End Date in Project Information Section of Project Plan is Wrong.
Please Correct.</t>
  </si>
  <si>
    <t>Frequency of Project Monitoring Point 6 &amp; 7 are not inline with Point 2.</t>
  </si>
  <si>
    <t>As per planning status review meeting will be conducted twice in a week. Update at point no. 6&amp;7 as status review meeting.</t>
  </si>
  <si>
    <t>Following need to be updated in MPP-
1. Team Meeting Resources are not Mentioned.</t>
  </si>
  <si>
    <t>In  MPP 3D Drawing Prepration Resource not mentioned.</t>
  </si>
  <si>
    <t>In Project Plan-R&amp;R matrix User Support Documentation related Responsibility not mentioned.</t>
  </si>
  <si>
    <t>Following needs to be updated in R&amp;R(Roles and Responsibility) matrix-
1. Project Plan, FS and RTT reviewers are not mentioned among Review Team Members.
2. System Test Cases SME Reviewer are also not mentioned among Review Team Members.
Please Update.</t>
  </si>
  <si>
    <t>FS &amp; RTT review by Rahjvendra Thakur Plan Review by Rahul upadhyay System Test case reviwer is jalaj mathur</t>
  </si>
  <si>
    <t>Plan not updated for Change in Project Plan Reviewer.</t>
  </si>
  <si>
    <t>As per plan jalaj mathur was responsible for review the plan but he was busy with some work so decided rahul will review the plan. it was a mistake that i was not updated resource in MPP. Now update in the MPP</t>
  </si>
  <si>
    <t>Estimators in MPP are not inline with Project Plan R&amp;R Matrix. Update MPP.</t>
  </si>
  <si>
    <t>Review Checklist not found for Mechnanical Design Document review</t>
  </si>
  <si>
    <t>Hyperlink in the CI Plan are not updated and does not direct to the said artefact</t>
  </si>
  <si>
    <t>Work Products of implementation in CI plan doesn't describes what nomenclature to be used while filling in the RTT. </t>
  </si>
  <si>
    <t>Hardware Design Document PEER Review done but was not planned</t>
  </si>
  <si>
    <t>Test Plan section not updated in the Project Plan document with updated dates</t>
  </si>
  <si>
    <t>Audit of Metrics Report D&amp;I Phase GGE063 The Causal analysis &amp; its corrective actions of DI Phase is not proper &amp; to the point.</t>
  </si>
  <si>
    <t>Change the causal analysis and corrective action.</t>
  </si>
  <si>
    <t>Team Meeting in WBS in MPP should be with specific name of the meeting.</t>
  </si>
  <si>
    <t>In Kick-Off meeting the decision/action item for technical Agenda item , contains wrong entry of the Name of CA.</t>
  </si>
  <si>
    <t>Project Code field doesn't contains the project code and pending action item status still shows pending status even if it is completed.</t>
  </si>
  <si>
    <t>Preliminary Planning data doesn't contains the name of the functional head.</t>
  </si>
  <si>
    <t>The Point No. 14 of Functional Specification elaboration is not appropriate.</t>
  </si>
  <si>
    <t>Version No. of the Artefact reviewed (RTT) not there in the log</t>
  </si>
  <si>
    <t>Audit Integration Phase GGE063 User Support Documents are not in version control &amp; their baseline status is not clear.</t>
  </si>
  <si>
    <t>Integration Design Document version is wrongly written in Review &amp; testing defect log for review done of the integration design document GGE063_INTDSN</t>
  </si>
  <si>
    <t>Rev_0.1 was prepared by Naveen Rajpurohit and it's review was done by SME. while updating the document with corrected review findings, he mistakenly deleted the old version and uploaded new document with rev_0.  for authenticity of document, peer review was done by Raghvendra thakur.</t>
  </si>
  <si>
    <t>Reference Project Specifications or Link is not available in developed FS. Please update FS with reference Specifications.</t>
  </si>
  <si>
    <t>Project code is Missing in PROJPLN. Please Correct</t>
  </si>
  <si>
    <t>Action item Status is not Updated. Please Update Status.</t>
  </si>
  <si>
    <t>Review log missing for S.No. 1 of GGE061_REQVAL. Please fill log.</t>
  </si>
  <si>
    <t>Audit Of Integration Phase Metrics Report (GGE063) No Findings</t>
  </si>
  <si>
    <t>The elaboration used for critical design consideration &amp; other fields for modules is not proper it should contain that what &amp; how it is critical or how it is a internal dependency</t>
  </si>
  <si>
    <t>Return value as "NULL"  mentioned in 3.9.8 of GGE064_FRWDSN</t>
  </si>
  <si>
    <t>Firmware Test Case document not filled completely</t>
  </si>
  <si>
    <t>Audit Design and Implementation Phase Metrics Report GGE064 No Findings</t>
  </si>
  <si>
    <t>Audit Validation Metrics Report GGE063 No Findings</t>
  </si>
  <si>
    <t>Audit Integration Phase Metrics Report GGE064 No Findings</t>
  </si>
  <si>
    <t>GGS026_PRJPLN_Project Information_Planned End Date not updated with schedule. Please Update.</t>
  </si>
  <si>
    <t>Audit Closure Phase GGE063 No Findings</t>
  </si>
  <si>
    <t>Issues identified during project are not Tracked to closure. GGS026_Umesh Likhitkar_3/29/2016 and GGS026_Raghvendra Thakur_4/15/2016 Please ensure escalation/Closure.</t>
  </si>
  <si>
    <t>GGS026_PRJPLN_Section12.6_Test Plan_Heading "Test plan will be update during Design and implementation phase." should be removed as test plan has been updated.</t>
  </si>
  <si>
    <t>"GGS026_RTT" not Updated for all Design IDs, Implementation IDs, Test Case IDs and Off the Shelf Components. Please Update RTT for missing entries as identified during Audit.  Please correct Findings for closure.</t>
  </si>
  <si>
    <t>"GGS026_RTT" Please avoid blanks. Blanks should get replaced wherever applicable by- IDs Off the shelf Component Information If Module is already Tested then "Tested module" could be written. etc.</t>
  </si>
  <si>
    <t>Time sheet entry not inline with Procedure/plan-  Prepared mechanical design document. 4/9/2016 11:30 4/9/2016 13:00   make 2D design of power transformer. 4/9/2016 14:35 4/9/2016 15:30   review design document and design of power tx. 4/9/2016 15:30 4/9/2016 16:00</t>
  </si>
  <si>
    <t>We planned for review, and review happens by sme. SME was not available so , designer designer prepared the documents and and design the 2d drawing and after that reviewed document and design .</t>
  </si>
  <si>
    <t>"GGS026_DARGEN" Wrong Naming Convention.  It should be GGS026_[Purpose of DAR]_DARGEN.  Please Correct.</t>
  </si>
  <si>
    <t>Timesheet Log not Available for Prepration of "Firmware Test Cases (GGS026_FWTCAS)".  Please correct Findings for closure.</t>
  </si>
  <si>
    <t>"GGS026_MINMET_Action items" not tracked to closure/status not updated.  Please update Action Items with current Status.</t>
  </si>
  <si>
    <t>Review findings of- GGS026_HWTCAS(Hardware Test Cases) and  GGS026_INTCAS (Integration Test Cases)   are logged wrong on "Review and Testing Defect Log" as defects which are found during REVIEW are logged as TESTING Defects.  Please correct "Defect found using" section of "Review and Testing Defect Log"</t>
  </si>
  <si>
    <t>Review Checklists not available on sharePoint.  Please upload. Please correct Findings for closure.</t>
  </si>
  <si>
    <t>"GGS026_PRDBOM" not archived at Project Repository.  \\192.168.100.9\ProcessDoc/R&amp;D data/GGS026  Please archive BOM.</t>
  </si>
  <si>
    <t>"GGS026_HDWDSN_Project Code" Project Code is Missing. Please enter Project Code.   "GGS026_HDWDSN_Creation Date"=06/03/2016 is wrong.  Please correct refering Timesheet.</t>
  </si>
  <si>
    <t>It was a mistake. Now as per time sheet correct the date.</t>
  </si>
  <si>
    <t>Timesheet entry  "With peer review all the testing documents 4/15/2016 16:35 4/15/2016 17:35"   "All the testing documents"--It should be specific.</t>
  </si>
  <si>
    <t>"GGS026_PRJPLN_12.2-Review Plan&amp; Independent Subject Matter Expert Review Plan"  not Updated for review of Design Documents and Test Cases.   Please Update.Please correct Findings for closure.</t>
  </si>
  <si>
    <t>"GGS026_HWTCAS(Hardware Test Cases)" and "GGS026_FWTCAS(Firmware Test Cases) are not Approved.  Please Approve.</t>
  </si>
  <si>
    <t>Audit Project Closure Metrics Report GGE063 No Findings</t>
  </si>
  <si>
    <t>Backup Plan Applicable period is not defined. It should be there in the plan like whether it is applicable for one financial year or quarter etc.</t>
  </si>
  <si>
    <t>In Backup plan the link to the file which contains the backup history of all backups done of sharepoint should be given in the backup plan so that it can easily be traceable.
 </t>
  </si>
  <si>
    <t>The Restoration of the backups was skipped for one week of april.</t>
  </si>
  <si>
    <t>It was skipped due to network issue on SharePoint server during back up operations. Further we will document the reason if back up is not performed due to some issues.</t>
  </si>
  <si>
    <t>The System Test Case GGE064_SYSCAS contains typographical errors &amp; the system test case IDs, Actual Result &amp; Expected result does not match for some of them.</t>
  </si>
  <si>
    <t>Audit Validation Phase Metrics Report GGE064 No Findings</t>
  </si>
  <si>
    <t>Audit Report not archived. Please Archive</t>
  </si>
  <si>
    <t>GGS026_Closure Audit done.  No findings.</t>
  </si>
  <si>
    <t>Project Closure Audit GSM051 No Observation - Hold Project Closed</t>
  </si>
  <si>
    <t>ADTPLN Training details for past training should be left in plan for status purpose.</t>
  </si>
  <si>
    <t>ADTPLN followings are mismatches with template 1. name of audit report 2. color of table text 3. sr. numbering in table text</t>
  </si>
  <si>
    <t>ADTPLN/ADTSCH estimated efforts should be according to project size</t>
  </si>
  <si>
    <t>Overhead Efforts in "GGE072_PRJPLN" and "GGE072_ESTFNL" do not match.</t>
  </si>
  <si>
    <t>MOM dated 18.05.2017  Project manager name is incorrect.</t>
  </si>
  <si>
    <t>location of MOM can be in planning folder.</t>
  </si>
  <si>
    <t>in MOM dated 19.05.2017 Reference of Project PVCON is written only, this could be specified more properly. also sundeep jain is representing mechanical is missing in discussion side.</t>
  </si>
  <si>
    <t>elaboration of no in checklist should be there. also a typographical error of11/5 (may be 11.5)</t>
  </si>
  <si>
    <t>Defect log of FS review Defect description should be proper identifed. and artefact version should be clearly mentioned.</t>
  </si>
  <si>
    <t>Project code is missing in RTT, no RTT review is there. RTT review can be done with any third party without checklist too.</t>
  </si>
  <si>
    <t>Project code is mentioned in RTT. Project manager will review RTT. In this case, project manager and Designer is same. So, we have review himself and we have filled only review log.</t>
  </si>
  <si>
    <t>corrective action for effort variance language is not appropriate. it is like preventive action only that efforts for metrics report will not be included in RD phase, mention date at metrics report end.</t>
  </si>
  <si>
    <t>Data Collection, Measurement, Analysis and Reporting Tool version 4</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</si>
</sst>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
    <numFmt numFmtId="165" formatCode="[$-409]d\-mmm\-yy;@"/>
    <numFmt numFmtId="166" formatCode="0.0%"/>
  </numFmts>
  <fonts count="12" x14ac:knownFonts="1">
    <font>
      <sz val="11"/>
      <color theme="1"/>
      <name val="Calibri"/>
      <family val="2"/>
      <scheme val="minor"/>
    </font>
    <font>
      <sz val="11"/>
      <color theme="1"/>
      <name val="Calibri"/>
      <family val="2"/>
      <scheme val="minor"/>
    </font>
    <font>
      <b/>
      <sz val="11"/>
      <color theme="3"/>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b/>
      <sz val="18"/>
      <color theme="3"/>
      <name val="Calibri Light"/>
      <family val="2"/>
      <scheme val="major"/>
    </font>
    <font>
      <b/>
      <sz val="13"/>
      <color theme="3"/>
      <name val="Calibri"/>
      <family val="2"/>
      <scheme val="minor"/>
    </font>
    <font>
      <sz val="11"/>
      <color theme="1"/>
      <name val="Calibri"/>
      <family val="2"/>
      <scheme val="minor"/>
    </font>
    <font>
      <sz val="11"/>
      <color theme="1"/>
      <name val="Calibri"/>
      <family val="2"/>
      <scheme val="minor"/>
    </font>
    <font>
      <b/>
      <sz val="11"/>
      <color theme="1"/>
      <name val="Calibri"/>
    </font>
    <font>
      <sz val="11"/>
      <color theme="1"/>
      <name val="Calibri"/>
      <scheme val="minor"/>
    </font>
  </fonts>
  <fills count="5">
    <fill>
      <patternFill patternType="none"/>
    </fill>
    <fill>
      <patternFill patternType="gray125"/>
    </fill>
    <fill>
      <patternFill patternType="solid">
        <fgColor rgb="FFFFCC99"/>
      </patternFill>
    </fill>
    <fill>
      <patternFill patternType="solid">
        <fgColor rgb="FFF2F2F2"/>
      </patternFill>
    </fill>
    <fill>
      <patternFill patternType="solid">
        <fgColor theme="4" tint="0.79998168889431442"/>
        <bgColor theme="4" tint="0.79998168889431442"/>
      </patternFill>
    </fill>
  </fills>
  <borders count="6">
    <border>
      <left/>
      <right/>
      <top/>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theme="4" tint="0.39997558519241921"/>
      </right>
      <top style="thin">
        <color theme="4" tint="0.39997558519241921"/>
      </top>
      <bottom style="thin">
        <color theme="4" tint="0.39997558519241921"/>
      </bottom>
      <diagonal/>
    </border>
    <border>
      <left/>
      <right/>
      <top/>
      <bottom style="thick">
        <color theme="4" tint="0.499984740745262"/>
      </bottom>
      <diagonal/>
    </border>
  </borders>
  <cellStyleXfs count="9">
    <xf numFmtId="0" fontId="0" fillId="0" borderId="0"/>
    <xf numFmtId="9" fontId="1" fillId="0" borderId="0" applyFont="0" applyFill="0" applyBorder="0" applyAlignment="0" applyProtection="0"/>
    <xf numFmtId="0" fontId="2" fillId="0" borderId="1" applyNumberFormat="0" applyFill="0" applyAlignment="0" applyProtection="0"/>
    <xf numFmtId="0" fontId="2" fillId="0" borderId="0" applyNumberFormat="0" applyFill="0" applyBorder="0" applyAlignment="0" applyProtection="0"/>
    <xf numFmtId="0" fontId="3" fillId="2" borderId="2" applyNumberFormat="0" applyAlignment="0" applyProtection="0"/>
    <xf numFmtId="0" fontId="4" fillId="3" borderId="3" applyNumberFormat="0" applyAlignment="0" applyProtection="0"/>
    <xf numFmtId="0" fontId="5" fillId="3" borderId="2" applyNumberFormat="0" applyAlignment="0" applyProtection="0"/>
    <xf numFmtId="0" fontId="6" fillId="0" borderId="0" applyNumberFormat="0" applyFill="0" applyBorder="0" applyAlignment="0" applyProtection="0"/>
    <xf numFmtId="0" fontId="7" fillId="0" borderId="5" applyNumberFormat="0" applyFill="0" applyAlignment="0" applyProtection="0"/>
  </cellStyleXfs>
  <cellXfs count="42">
    <xf numFmtId="0" fontId="0" fillId="0" borderId="0" xfId="0"/>
    <xf numFmtId="49" fontId="0" fillId="0" borderId="0" xfId="0" applyNumberFormat="1" applyAlignment="1"/>
    <xf numFmtId="49" fontId="0" fillId="0" borderId="0" xfId="0" applyNumberFormat="1"/>
    <xf numFmtId="22" fontId="0" fillId="0" borderId="0" xfId="0" applyNumberFormat="1"/>
    <xf numFmtId="14" fontId="0" fillId="0" borderId="0" xfId="0" applyNumberFormat="1"/>
    <xf numFmtId="164" fontId="0" fillId="0" borderId="0" xfId="0" applyNumberFormat="1"/>
    <xf numFmtId="165" fontId="0" fillId="0" borderId="0" xfId="0" applyNumberFormat="1"/>
    <xf numFmtId="0" fontId="0" fillId="0" borderId="0" xfId="0" applyAlignment="1">
      <alignment wrapText="1"/>
    </xf>
    <xf numFmtId="0" fontId="0" fillId="4" borderId="4" xfId="0" applyFont="1" applyFill="1" applyBorder="1"/>
    <xf numFmtId="1" fontId="0" fillId="0" borderId="0" xfId="0" applyNumberFormat="1"/>
    <xf numFmtId="166" fontId="0" fillId="0" borderId="0" xfId="1" applyNumberFormat="1" applyFont="1"/>
    <xf numFmtId="0" fontId="2" fillId="0" borderId="1" xfId="2"/>
    <xf numFmtId="0" fontId="3" fillId="2" borderId="2" xfId="4"/>
    <xf numFmtId="164" fontId="0" fillId="0" borderId="0" xfId="0" applyNumberFormat="1" applyAlignment="1"/>
    <xf numFmtId="0" fontId="0" fillId="0" borderId="0" xfId="0" applyNumberFormat="1"/>
    <xf numFmtId="2" fontId="0" fillId="0" borderId="0" xfId="0" applyNumberFormat="1" applyAlignment="1">
      <alignment horizontal="center"/>
    </xf>
    <xf numFmtId="0" fontId="0" fillId="0" borderId="0" xfId="0" applyAlignment="1">
      <alignment horizontal="center" wrapText="1"/>
    </xf>
    <xf numFmtId="0" fontId="0" fillId="0" borderId="0" xfId="0" applyAlignment="1">
      <alignment horizontal="center"/>
    </xf>
    <xf numFmtId="166" fontId="0" fillId="0" borderId="0" xfId="1" applyNumberFormat="1" applyFont="1" applyAlignment="1">
      <alignment horizontal="center"/>
    </xf>
    <xf numFmtId="0" fontId="2" fillId="0" borderId="0" xfId="3" applyAlignment="1">
      <alignment wrapText="1"/>
    </xf>
    <xf numFmtId="0" fontId="2" fillId="0" borderId="0" xfId="3"/>
    <xf numFmtId="0" fontId="5" fillId="3" borderId="2" xfId="6"/>
    <xf numFmtId="0" fontId="4" fillId="3" borderId="3" xfId="5"/>
    <xf numFmtId="0" fontId="0" fillId="0" borderId="0" xfId="0" applyNumberFormat="1" applyAlignment="1"/>
    <xf numFmtId="2" fontId="0" fillId="0" borderId="0" xfId="0" applyNumberFormat="1" applyAlignment="1"/>
    <xf numFmtId="49" fontId="0" fillId="0" borderId="0" xfId="0" applyNumberFormat="1" applyAlignment="1">
      <alignment horizontal="center"/>
    </xf>
    <xf numFmtId="0" fontId="0" fillId="0" borderId="0" xfId="0" applyNumberFormat="1" applyAlignment="1">
      <alignment horizontal="center"/>
    </xf>
    <xf numFmtId="166" fontId="0" fillId="0" borderId="0" xfId="1" applyNumberFormat="1" applyFont="1" applyAlignment="1"/>
    <xf numFmtId="10" fontId="0" fillId="0" borderId="0" xfId="1" applyNumberFormat="1" applyFont="1" applyAlignment="1"/>
    <xf numFmtId="165" fontId="0" fillId="0" borderId="0" xfId="0" applyNumberFormat="1" applyAlignment="1"/>
    <xf numFmtId="0" fontId="6" fillId="0" borderId="0" xfId="7"/>
    <xf numFmtId="0" fontId="0" fillId="0" borderId="0" xfId="0" quotePrefix="1"/>
    <xf numFmtId="0" fontId="7" fillId="0" borderId="5" xfId="8"/>
    <xf numFmtId="166" fontId="8" fillId="0" borderId="0" xfId="1" applyNumberFormat="1" applyFont="1" applyAlignment="1"/>
    <xf numFmtId="10" fontId="8" fillId="0" borderId="0" xfId="1" applyNumberFormat="1" applyFont="1" applyAlignment="1"/>
    <xf numFmtId="166" fontId="9" fillId="0" borderId="0" xfId="1" applyNumberFormat="1" applyFont="1" applyAlignment="1"/>
    <xf numFmtId="10" fontId="9" fillId="0" borderId="0" xfId="1" applyNumberFormat="1" applyFont="1" applyAlignment="1"/>
    <xf numFmtId="22" fontId="0" fillId="0" borderId="0" xfId="0" applyNumberFormat="1"/>
    <xf numFmtId="14" fontId="0" fillId="0" borderId="0" xfId="0" applyNumberFormat="1"/>
    <xf numFmtId="0" fontId="7" fillId="0" borderId="0" xfId="8" applyBorder="1" applyAlignment="1">
      <alignment horizontal="center"/>
    </xf>
    <xf numFmtId="166" fontId="11" fillId="0" borderId="0" xfId="1" applyNumberFormat="1" applyFont="1" applyAlignment="1"/>
    <xf numFmtId="10" fontId="11" fillId="0" borderId="0" xfId="1" applyNumberFormat="1" applyFont="1" applyAlignment="1"/>
  </cellXfs>
  <cellStyles count="9">
    <cellStyle name="Calculation" xfId="6" builtinId="22"/>
    <cellStyle name="Heading 2" xfId="8" builtinId="17"/>
    <cellStyle name="Heading 3" xfId="2" builtinId="18"/>
    <cellStyle name="Heading 4" xfId="3" builtinId="19"/>
    <cellStyle name="Input" xfId="4" builtinId="20"/>
    <cellStyle name="Normal" xfId="0" builtinId="0"/>
    <cellStyle name="Output" xfId="5" builtinId="21"/>
    <cellStyle name="Percent" xfId="1" builtinId="5"/>
    <cellStyle name="Title" xfId="7" builtinId="15"/>
  </cellStyles>
  <dxfs count="107">
    <dxf>
      <font>
        <b val="0"/>
        <i val="0"/>
        <strike val="0"/>
        <condense val="0"/>
        <extend val="0"/>
        <outline val="0"/>
        <shadow val="0"/>
        <u val="none"/>
        <vertAlign val="baseline"/>
        <sz val="11"/>
        <color theme="1"/>
        <name val="Calibri"/>
        <scheme val="minor"/>
      </font>
      <numFmt numFmtId="166" formatCode="0.0%"/>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4"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2" formatCode="0.00"/>
      <alignment horizontal="general" vertical="bottom" textRotation="0" wrapText="0" indent="0" justifyLastLine="0" shrinkToFit="0" readingOrder="0"/>
    </dxf>
    <dxf>
      <numFmt numFmtId="165" formatCode="[$-409]d\-mmm\-yy;@"/>
      <alignment horizontal="general" vertical="bottom" textRotation="0" wrapText="0" indent="0" justifyLastLine="0" shrinkToFit="0" readingOrder="0"/>
    </dxf>
    <dxf>
      <numFmt numFmtId="165" formatCode="[$-409]d\-mmm\-yy;@"/>
      <alignment horizontal="general" vertical="bottom" textRotation="0" wrapText="0" indent="0" justifyLastLine="0" shrinkToFit="0" readingOrder="0"/>
    </dxf>
    <dxf>
      <numFmt numFmtId="165" formatCode="[$-409]d\-mmm\-yy;@"/>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1"/>
        <color theme="1"/>
        <name val="Calibri"/>
        <scheme val="minor"/>
      </font>
      <numFmt numFmtId="166" formatCode="0.0%"/>
      <alignment horizontal="general"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dxf>
    <dxf>
      <numFmt numFmtId="30" formatCode="@"/>
    </dxf>
    <dxf>
      <numFmt numFmtId="19" formatCode="m/d/yyyy"/>
    </dxf>
    <dxf>
      <numFmt numFmtId="30" formatCode="@"/>
    </dxf>
    <dxf>
      <numFmt numFmtId="30" formatCode="@"/>
    </dxf>
    <dxf>
      <numFmt numFmtId="30" formatCode="@"/>
    </dxf>
    <dxf>
      <numFmt numFmtId="19" formatCode="m/d/yyyy"/>
    </dxf>
    <dxf>
      <numFmt numFmtId="30" formatCode="@"/>
    </dxf>
    <dxf>
      <numFmt numFmtId="30" formatCode="@"/>
      <alignment horizontal="general" vertical="bottom" textRotation="0" wrapText="0" indent="0" justifyLastLine="0" shrinkToFit="0" readingOrder="0"/>
    </dxf>
    <dxf>
      <numFmt numFmtId="0" formatCode="General"/>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164" formatCode="#,##0.0"/>
      <alignment horizontal="general" vertical="bottom" textRotation="0" wrapText="0" indent="0" justifyLastLine="0" shrinkToFit="0" readingOrder="0"/>
    </dxf>
    <dxf>
      <numFmt numFmtId="0" formatCode="General"/>
    </dxf>
    <dxf>
      <numFmt numFmtId="165" formatCode="[$-409]d\-mmm\-yy;@"/>
    </dxf>
    <dxf>
      <numFmt numFmtId="165" formatCode="[$-409]d\-mmm\-yy;@"/>
    </dxf>
    <dxf>
      <numFmt numFmtId="30" formatCode="@"/>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19" formatCode="m/d/yyyy"/>
    </dxf>
    <dxf>
      <numFmt numFmtId="30" formatCode="@"/>
      <alignment horizontal="general" vertical="bottom" textRotation="0" wrapText="0" indent="0" justifyLastLine="0" shrinkToFit="0" readingOrder="0"/>
    </dxf>
    <dxf>
      <numFmt numFmtId="30" formatCode="@"/>
    </dxf>
    <dxf>
      <numFmt numFmtId="30" formatCode="@"/>
    </dxf>
    <dxf>
      <numFmt numFmtId="30" formatCode="@"/>
    </dxf>
    <dxf>
      <numFmt numFmtId="30" formatCode="@"/>
      <alignment horizontal="general" vertical="bottom" textRotation="0" wrapText="0" indent="0" justifyLastLine="0" shrinkToFit="0" readingOrder="0"/>
    </dxf>
    <dxf>
      <numFmt numFmtId="30" formatCode="@"/>
    </dxf>
    <dxf>
      <numFmt numFmtId="19" formatCode="m/d/yyyy"/>
    </dxf>
    <dxf>
      <numFmt numFmtId="30" formatCode="@"/>
    </dxf>
    <dxf>
      <numFmt numFmtId="30" formatCode="@"/>
    </dxf>
    <dxf>
      <numFmt numFmtId="30" formatCode="@"/>
      <alignment horizontal="general" vertical="bottom" textRotation="0" wrapText="0" indent="0" justifyLastLine="0" shrinkToFit="0" readingOrder="0"/>
    </dxf>
    <dxf>
      <numFmt numFmtId="0" formatCode="General"/>
    </dxf>
    <dxf>
      <numFmt numFmtId="0" formatCode="General"/>
    </dxf>
    <dxf>
      <numFmt numFmtId="0" formatCode="General"/>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27" formatCode="m/d/yyyy\ h:mm"/>
    </dxf>
    <dxf>
      <numFmt numFmtId="27" formatCode="m/d/yyyy\ h:mm"/>
    </dxf>
    <dxf>
      <numFmt numFmtId="30" formatCode="@"/>
    </dxf>
    <dxf>
      <numFmt numFmtId="30" formatCode="@"/>
    </dxf>
    <dxf>
      <numFmt numFmtId="30" formatCode="@"/>
    </dxf>
    <dxf>
      <numFmt numFmtId="30" formatCode="@"/>
      <alignment horizontal="general" vertical="bottom" textRotation="0" wrapText="0" indent="0" justifyLastLine="0" shrinkToFit="0" readingOrder="0"/>
    </dxf>
    <dxf>
      <font>
        <color rgb="FF9C0006"/>
      </font>
      <fill>
        <patternFill>
          <bgColor rgb="FFFFC7CE"/>
        </patternFill>
      </fill>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numFmt numFmtId="30" formatCode="@"/>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6" formatCode="0.0%"/>
    </dxf>
    <dxf>
      <numFmt numFmtId="0" formatCode="General"/>
      <alignment horizontal="center" vertical="bottom" textRotation="0" indent="0" justifyLastLine="0" shrinkToFit="0" readingOrder="0"/>
    </dxf>
    <dxf>
      <numFmt numFmtId="0" formatCode="General"/>
      <alignment horizontal="center" vertical="bottom" textRotation="0" indent="0" justifyLastLine="0" shrinkToFit="0" readingOrder="0"/>
    </dxf>
    <dxf>
      <numFmt numFmtId="166" formatCode="0.0%"/>
      <alignment horizontal="center" vertical="bottom" textRotation="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dxf>
    <dxf>
      <numFmt numFmtId="0" formatCode="General"/>
    </dxf>
    <dxf>
      <numFmt numFmtId="166" formatCode="0.0%"/>
    </dxf>
    <dxf>
      <numFmt numFmtId="1" formatCode="0"/>
    </dxf>
    <dxf>
      <numFmt numFmtId="1" formatCode="0"/>
    </dxf>
    <dxf>
      <numFmt numFmtId="165" formatCode="[$-409]d\-mmm\-yy;@"/>
    </dxf>
    <dxf>
      <numFmt numFmtId="165" formatCode="[$-409]d\-mmm\-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Schedule Variance</a:t>
            </a:r>
          </a:p>
        </c:rich>
      </c:tx>
      <c:layout/>
      <c:overlay val="0"/>
      <c:spPr>
        <a:noFill/>
        <a:ln>
          <a:noFill/>
        </a:ln>
        <a:effectLst/>
      </c:spPr>
    </c:title>
    <c:autoTitleDeleted val="0"/>
    <c:plotArea>
      <c:layout/>
      <c:lineChart>
        <c:grouping val="standard"/>
        <c:varyColors val="0"/>
        <c:ser>
          <c:idx val="0"/>
          <c:order val="0"/>
          <c:tx>
            <c:strRef>
              <c:f>'Schedule Variance(Project)'!$H$6</c:f>
              <c:strCache>
                <c:ptCount val="1"/>
                <c:pt idx="0">
                  <c:v>Variance by phase</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'Schedule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'Schedule Variance(Project)'!$H$7:$H$13</c:f>
              <c:numCache>
                <c:formatCode>0.0%</c:formatCode>
                <c:ptCount val="7"/>
                <c:pt idx="0">
                  <c:v>0</c:v>
                </c:pt>
                <c:pt idx="1">
                  <c:v>-0.125</c:v>
                </c:pt>
                <c:pt idx="2">
                  <c:v>0.1111111111111111</c:v>
                </c:pt>
                <c:pt idx="3">
                  <c:v>0</c:v>
                </c:pt>
                <c:pt idx="4">
                  <c:v>0</c:v>
                </c:pt>
                <c:pt idx="5">
                  <c:v>0</c:v>
                </c:pt>
                <c:pt idx="6">
                  <c:v>-0.33333333333333331</c:v>
                </c:pt>
              </c:numCache>
            </c:numRef>
          </c:val>
          <c:smooth val="0"/>
        </c:ser>
        <c:ser>
          <c:idx val="1"/>
          <c:order val="1"/>
          <c:tx>
            <c:strRef>
              <c:f>'Schedule Variance(Project)'!$J$6</c:f>
              <c:strCache>
                <c:ptCount val="1"/>
                <c:pt idx="0">
                  <c:v>USL</c:v>
                </c:pt>
              </c:strCache>
            </c:strRef>
          </c:tx>
          <c:spPr>
            <a:ln w="0" cap="rnd">
              <a:solidFill>
                <a:schemeClr val="accent2">
                  <a:lumMod val="75000"/>
                </a:schemeClr>
              </a:solidFill>
              <a:round/>
            </a:ln>
            <a:effectLst/>
          </c:spPr>
          <c:marker>
            <c:symbol val="none"/>
          </c:marker>
          <c:cat>
            <c:strRef>
              <c:f>'Schedule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'Schedule Variance(Project)'!$J$7:$J$13</c:f>
              <c:numCache>
                <c:formatCode>General</c:formatCode>
                <c:ptCount val="7"/>
                <c:pt idx="0">
                  <c:v>0.2</c:v>
                </c:pt>
                <c:pt idx="1">
                  <c:v>0.2</c:v>
                </c:pt>
                <c:pt idx="2">
                  <c:v>0.2</c:v>
                </c:pt>
                <c:pt idx="3">
                  <c:v>0.2</c:v>
                </c:pt>
                <c:pt idx="4">
                  <c:v>0.2</c:v>
                </c:pt>
                <c:pt idx="5">
                  <c:v>0.2</c:v>
                </c:pt>
                <c:pt idx="6">
                  <c:v>0.2</c:v>
                </c:pt>
              </c:numCache>
            </c:numRef>
          </c:val>
          <c:smooth val="0"/>
        </c:ser>
        <c:ser>
          <c:idx val="2"/>
          <c:order val="2"/>
          <c:tx>
            <c:strRef>
              <c:f>'Schedule Variance(Project)'!$K$6</c:f>
              <c:strCache>
                <c:ptCount val="1"/>
                <c:pt idx="0">
                  <c:v>LSL</c:v>
                </c:pt>
              </c:strCache>
            </c:strRef>
          </c:tx>
          <c:spPr>
            <a:ln w="3175" cap="rnd">
              <a:solidFill>
                <a:schemeClr val="accent2">
                  <a:lumMod val="75000"/>
                </a:schemeClr>
              </a:solidFill>
              <a:round/>
            </a:ln>
            <a:effectLst/>
          </c:spPr>
          <c:marker>
            <c:symbol val="none"/>
          </c:marker>
          <c:cat>
            <c:strRef>
              <c:f>'Schedule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'Schedule Variance(Project)'!$K$7:$K$13</c:f>
              <c:numCache>
                <c:formatCode>General</c:formatCode>
                <c:ptCount val="7"/>
                <c:pt idx="0">
                  <c:v>-0.2</c:v>
                </c:pt>
                <c:pt idx="1">
                  <c:v>-0.2</c:v>
                </c:pt>
                <c:pt idx="2">
                  <c:v>-0.2</c:v>
                </c:pt>
                <c:pt idx="3">
                  <c:v>-0.2</c:v>
                </c:pt>
                <c:pt idx="4">
                  <c:v>-0.2</c:v>
                </c:pt>
                <c:pt idx="5">
                  <c:v>-0.2</c:v>
                </c:pt>
                <c:pt idx="6">
                  <c:v>-0.2</c:v>
                </c:pt>
              </c:numCache>
            </c:numRef>
          </c:val>
          <c:smooth val="0"/>
        </c:ser>
        <c:ser>
          <c:idx val="3"/>
          <c:order val="3"/>
          <c:tx>
            <c:strRef>
              <c:f>'Schedule Variance(Project)'!$I$6</c:f>
              <c:strCache>
                <c:ptCount val="1"/>
                <c:pt idx="0">
                  <c:v>Total Variance</c:v>
                </c:pt>
              </c:strCache>
            </c:strRef>
          </c:tx>
          <c:spPr>
            <a:ln>
              <a:solidFill>
                <a:schemeClr val="accent2"/>
              </a:solidFill>
            </a:ln>
          </c:spPr>
          <c:marker>
            <c:symbol val="circle"/>
            <c:size val="5"/>
            <c:spPr>
              <a:solidFill>
                <a:schemeClr val="accent1"/>
              </a:solidFill>
              <a:ln>
                <a:solidFill>
                  <a:schemeClr val="tx1"/>
                </a:solidFill>
              </a:ln>
            </c:spPr>
          </c:marker>
          <c:cat>
            <c:strRef>
              <c:f>'Schedule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'Schedule Variance(Project)'!$I$7:$I$13</c:f>
              <c:numCache>
                <c:formatCode>0.0%</c:formatCode>
                <c:ptCount val="7"/>
                <c:pt idx="1">
                  <c:v>-0.125</c:v>
                </c:pt>
                <c:pt idx="2">
                  <c:v>0</c:v>
                </c:pt>
                <c:pt idx="3">
                  <c:v>0</c:v>
                </c:pt>
                <c:pt idx="4">
                  <c:v>0</c:v>
                </c:pt>
                <c:pt idx="5">
                  <c:v>0</c:v>
                </c:pt>
                <c:pt idx="6">
                  <c:v>-2.1739130434782594E-2</c:v>
                </c:pt>
              </c:numCache>
            </c:numRef>
          </c:val>
          <c:smooth val="0"/>
        </c:ser>
        <c:dLbls>
          <c:showLegendKey val="0"/>
          <c:showVal val="0"/>
          <c:showCatName val="0"/>
          <c:showSerName val="0"/>
          <c:showPercent val="0"/>
          <c:showBubbleSize val="0"/>
        </c:dLbls>
        <c:marker val="1"/>
        <c:smooth val="0"/>
        <c:axId val="203453568"/>
        <c:axId val="203455104"/>
      </c:lineChart>
      <c:catAx>
        <c:axId val="203453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55104"/>
        <c:crosses val="autoZero"/>
        <c:auto val="1"/>
        <c:lblAlgn val="ctr"/>
        <c:lblOffset val="100"/>
        <c:noMultiLvlLbl val="0"/>
      </c:catAx>
      <c:valAx>
        <c:axId val="203455104"/>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4535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Effort Variance</a:t>
            </a:r>
          </a:p>
        </c:rich>
      </c:tx>
      <c:layout/>
      <c:overlay val="0"/>
      <c:spPr>
        <a:noFill/>
        <a:ln>
          <a:noFill/>
        </a:ln>
        <a:effectLst/>
      </c:spPr>
    </c:title>
    <c:autoTitleDeleted val="0"/>
    <c:plotArea>
      <c:layout/>
      <c:lineChart>
        <c:grouping val="standard"/>
        <c:varyColors val="0"/>
        <c:ser>
          <c:idx val="0"/>
          <c:order val="0"/>
          <c:tx>
            <c:strRef>
              <c:f>'Effort Variance(Project)'!$F$6</c:f>
              <c:strCache>
                <c:ptCount val="1"/>
                <c:pt idx="0">
                  <c:v>Variance by phase</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'Effort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'Effort Variance(Project)'!$F$7:$F$13</c:f>
              <c:numCache>
                <c:formatCode>0.0%</c:formatCode>
                <c:ptCount val="7"/>
                <c:pt idx="0">
                  <c:v>0</c:v>
                </c:pt>
                <c:pt idx="1">
                  <c:v>-0.19696969698733566</c:v>
                </c:pt>
                <c:pt idx="2">
                  <c:v>0.23601789704223955</c:v>
                </c:pt>
                <c:pt idx="3">
                  <c:v>1.4541387043099525E-2</c:v>
                </c:pt>
                <c:pt idx="4">
                  <c:v>-6.0402684559851857E-2</c:v>
                </c:pt>
                <c:pt idx="5">
                  <c:v>-3.7086684537686876E-2</c:v>
                </c:pt>
                <c:pt idx="6">
                  <c:v>-5.555555566679686E-2</c:v>
                </c:pt>
              </c:numCache>
            </c:numRef>
          </c:val>
          <c:smooth val="0"/>
        </c:ser>
        <c:ser>
          <c:idx val="1"/>
          <c:order val="1"/>
          <c:tx>
            <c:strRef>
              <c:f>'Effort Variance(Project)'!$H$6</c:f>
              <c:strCache>
                <c:ptCount val="1"/>
                <c:pt idx="0">
                  <c:v>USL</c:v>
                </c:pt>
              </c:strCache>
            </c:strRef>
          </c:tx>
          <c:spPr>
            <a:ln w="0" cap="rnd">
              <a:solidFill>
                <a:schemeClr val="accent2">
                  <a:lumMod val="75000"/>
                </a:schemeClr>
              </a:solidFill>
              <a:round/>
            </a:ln>
            <a:effectLst/>
          </c:spPr>
          <c:marker>
            <c:symbol val="none"/>
          </c:marker>
          <c:cat>
            <c:strRef>
              <c:f>'Effort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'Effort Variance(Project)'!$H$7:$H$13</c:f>
              <c:numCache>
                <c:formatCode>General</c:formatCode>
                <c:ptCount val="7"/>
                <c:pt idx="0">
                  <c:v>0.2</c:v>
                </c:pt>
                <c:pt idx="1">
                  <c:v>0.2</c:v>
                </c:pt>
                <c:pt idx="2">
                  <c:v>0.2</c:v>
                </c:pt>
                <c:pt idx="3">
                  <c:v>0.2</c:v>
                </c:pt>
                <c:pt idx="4">
                  <c:v>0.2</c:v>
                </c:pt>
                <c:pt idx="5">
                  <c:v>0.2</c:v>
                </c:pt>
                <c:pt idx="6">
                  <c:v>0.2</c:v>
                </c:pt>
              </c:numCache>
            </c:numRef>
          </c:val>
          <c:smooth val="0"/>
        </c:ser>
        <c:ser>
          <c:idx val="2"/>
          <c:order val="2"/>
          <c:tx>
            <c:strRef>
              <c:f>'Effort Variance(Project)'!$I$6</c:f>
              <c:strCache>
                <c:ptCount val="1"/>
                <c:pt idx="0">
                  <c:v>LSL</c:v>
                </c:pt>
              </c:strCache>
            </c:strRef>
          </c:tx>
          <c:spPr>
            <a:ln w="3175" cap="rnd">
              <a:solidFill>
                <a:schemeClr val="accent2">
                  <a:lumMod val="75000"/>
                </a:schemeClr>
              </a:solidFill>
              <a:round/>
            </a:ln>
            <a:effectLst/>
          </c:spPr>
          <c:marker>
            <c:symbol val="none"/>
          </c:marker>
          <c:cat>
            <c:strRef>
              <c:f>'Effort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'Effort Variance(Project)'!$I$7:$I$13</c:f>
              <c:numCache>
                <c:formatCode>General</c:formatCode>
                <c:ptCount val="7"/>
                <c:pt idx="0">
                  <c:v>-0.2</c:v>
                </c:pt>
                <c:pt idx="1">
                  <c:v>-0.2</c:v>
                </c:pt>
                <c:pt idx="2">
                  <c:v>-0.2</c:v>
                </c:pt>
                <c:pt idx="3">
                  <c:v>-0.2</c:v>
                </c:pt>
                <c:pt idx="4">
                  <c:v>-0.2</c:v>
                </c:pt>
                <c:pt idx="5">
                  <c:v>-0.2</c:v>
                </c:pt>
                <c:pt idx="6">
                  <c:v>-0.2</c:v>
                </c:pt>
              </c:numCache>
            </c:numRef>
          </c:val>
          <c:smooth val="0"/>
        </c:ser>
        <c:ser>
          <c:idx val="3"/>
          <c:order val="3"/>
          <c:tx>
            <c:strRef>
              <c:f>'Effort Variance(Project)'!$G$6</c:f>
              <c:strCache>
                <c:ptCount val="1"/>
                <c:pt idx="0">
                  <c:v>Total Variance</c:v>
                </c:pt>
              </c:strCache>
            </c:strRef>
          </c:tx>
          <c:spPr>
            <a:ln>
              <a:solidFill>
                <a:schemeClr val="accent2"/>
              </a:solidFill>
            </a:ln>
          </c:spPr>
          <c:marker>
            <c:symbol val="circle"/>
            <c:size val="5"/>
            <c:spPr>
              <a:solidFill>
                <a:schemeClr val="accent1"/>
              </a:solidFill>
              <a:ln>
                <a:solidFill>
                  <a:schemeClr val="tx1"/>
                </a:solidFill>
              </a:ln>
            </c:spPr>
          </c:marker>
          <c:cat>
            <c:strRef>
              <c:f>'Effort Variance(Project)'!$C$7:$C$13</c:f>
              <c:strCache>
                <c:ptCount val="7"/>
                <c:pt idx="0">
                  <c:v>Project Start</c:v>
                </c:pt>
                <c:pt idx="1">
                  <c:v>Requirements Development</c:v>
                </c:pt>
                <c:pt idx="2">
                  <c:v>Planning</c:v>
                </c:pt>
                <c:pt idx="3">
                  <c:v>Design and Implementation</c:v>
                </c:pt>
                <c:pt idx="4">
                  <c:v>Integration</c:v>
                </c:pt>
                <c:pt idx="5">
                  <c:v>Validation</c:v>
                </c:pt>
                <c:pt idx="6">
                  <c:v>Closure and Release</c:v>
                </c:pt>
              </c:strCache>
            </c:strRef>
          </c:cat>
          <c:val>
            <c:numRef>
              <c:f>'Effort Variance(Project)'!$G$7:$G$13</c:f>
              <c:numCache>
                <c:formatCode>0.0%</c:formatCode>
                <c:ptCount val="7"/>
                <c:pt idx="1">
                  <c:v>-0.19696969698733569</c:v>
                </c:pt>
                <c:pt idx="2">
                  <c:v>-2.213188801604371E-2</c:v>
                </c:pt>
                <c:pt idx="3">
                  <c:v>2.3937761841912319E-3</c:v>
                </c:pt>
                <c:pt idx="4">
                  <c:v>-5.0145157008939512E-3</c:v>
                </c:pt>
                <c:pt idx="5">
                  <c:v>-1.232681336356134E-2</c:v>
                </c:pt>
                <c:pt idx="6">
                  <c:v>-1.4221702710576323E-2</c:v>
                </c:pt>
              </c:numCache>
            </c:numRef>
          </c:val>
          <c:smooth val="0"/>
        </c:ser>
        <c:dLbls>
          <c:showLegendKey val="0"/>
          <c:showVal val="0"/>
          <c:showCatName val="0"/>
          <c:showSerName val="0"/>
          <c:showPercent val="0"/>
          <c:showBubbleSize val="0"/>
        </c:dLbls>
        <c:marker val="1"/>
        <c:smooth val="0"/>
        <c:axId val="203774208"/>
        <c:axId val="203784192"/>
      </c:lineChart>
      <c:catAx>
        <c:axId val="2037742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84192"/>
        <c:crosses val="autoZero"/>
        <c:auto val="1"/>
        <c:lblAlgn val="ctr"/>
        <c:lblOffset val="100"/>
        <c:noMultiLvlLbl val="0"/>
      </c:catAx>
      <c:valAx>
        <c:axId val="203784192"/>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742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layout/>
      <c:overlay val="0"/>
      <c:spPr>
        <a:noFill/>
        <a:ln>
          <a:noFill/>
        </a:ln>
        <a:effectLst/>
      </c:spPr>
    </c:title>
    <c:autoTitleDeleted val="0"/>
    <c:plotArea>
      <c:layout/>
      <c:lineChart>
        <c:grouping val="standard"/>
        <c:varyColors val="0"/>
        <c:ser>
          <c:idx val="0"/>
          <c:order val="0"/>
          <c:tx>
            <c:strRef>
              <c:f>'Effort Variance (Org)'!$H$2</c:f>
              <c:strCache>
                <c:ptCount val="1"/>
                <c:pt idx="0">
                  <c:v>Effort Variance</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'Effort Variance (Org)'!$B$3:$B$28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'Effort Variance (Org)'!$H$3:$H$28</c:f>
              <c:numCache>
                <c:formatCode>0.0%</c:formatCode>
                <c:ptCount val="26"/>
                <c:pt idx="0">
                  <c:v>-0.16791044776206279</c:v>
                </c:pt>
                <c:pt idx="1">
                  <c:v>-0.80333333333255719</c:v>
                </c:pt>
                <c:pt idx="2">
                  <c:v>0</c:v>
                </c:pt>
                <c:pt idx="3">
                  <c:v>0</c:v>
                </c:pt>
                <c:pt idx="4">
                  <c:v>0</c:v>
                </c:pt>
                <c:pt idx="5">
                  <c:v>-0.38408372828847798</c:v>
                </c:pt>
                <c:pt idx="6">
                  <c:v>-0.6776819923422942</c:v>
                </c:pt>
                <c:pt idx="7">
                  <c:v>0</c:v>
                </c:pt>
                <c:pt idx="8">
                  <c:v>-0.90841049382611849</c:v>
                </c:pt>
                <c:pt idx="9">
                  <c:v>-0.93678160919406417</c:v>
                </c:pt>
                <c:pt idx="10">
                  <c:v>0</c:v>
                </c:pt>
                <c:pt idx="11">
                  <c:v>-0.44258764112507676</c:v>
                </c:pt>
                <c:pt idx="12">
                  <c:v>-0.51908489593256624</c:v>
                </c:pt>
                <c:pt idx="13">
                  <c:v>0.10146252283872463</c:v>
                </c:pt>
                <c:pt idx="14">
                  <c:v>-0.13646788992668041</c:v>
                </c:pt>
                <c:pt idx="15">
                  <c:v>0.12478956230916079</c:v>
                </c:pt>
                <c:pt idx="16">
                  <c:v>-0.11628643853612911</c:v>
                </c:pt>
                <c:pt idx="17">
                  <c:v>-1.4221702710576356E-2</c:v>
                </c:pt>
                <c:pt idx="18">
                  <c:v>-0.53422511448485699</c:v>
                </c:pt>
                <c:pt idx="19">
                  <c:v>2.0916666664590595</c:v>
                </c:pt>
                <c:pt idx="20">
                  <c:v>-3.472222232085187E-2</c:v>
                </c:pt>
                <c:pt idx="21">
                  <c:v>0</c:v>
                </c:pt>
                <c:pt idx="22">
                  <c:v>0</c:v>
                </c:pt>
                <c:pt idx="23">
                  <c:v>0.38888888884685002</c:v>
                </c:pt>
                <c:pt idx="24">
                  <c:v>-0.9688952591395853</c:v>
                </c:pt>
                <c:pt idx="25">
                  <c:v>0.14880952378111292</c:v>
                </c:pt>
              </c:numCache>
            </c:numRef>
          </c:val>
          <c:smooth val="0"/>
        </c:ser>
        <c:ser>
          <c:idx val="1"/>
          <c:order val="1"/>
          <c:tx>
            <c:strRef>
              <c:f>'Effort Variance (Org)'!$I$2</c:f>
              <c:strCache>
                <c:ptCount val="1"/>
                <c:pt idx="0">
                  <c:v>USL</c:v>
                </c:pt>
              </c:strCache>
            </c:strRef>
          </c:tx>
          <c:spPr>
            <a:ln w="0" cap="rnd">
              <a:solidFill>
                <a:schemeClr val="accent2">
                  <a:lumMod val="75000"/>
                </a:schemeClr>
              </a:solidFill>
              <a:round/>
            </a:ln>
            <a:effectLst/>
          </c:spPr>
          <c:marker>
            <c:symbol val="none"/>
          </c:marker>
          <c:cat>
            <c:strRef>
              <c:f>'Effort Variance (Org)'!$B$3:$B$28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'Effort Variance (Org)'!$I$3:$I$28</c:f>
              <c:numCache>
                <c:formatCode>General</c:formatCode>
                <c:ptCount val="26"/>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numCache>
            </c:numRef>
          </c:val>
          <c:smooth val="0"/>
        </c:ser>
        <c:ser>
          <c:idx val="2"/>
          <c:order val="2"/>
          <c:tx>
            <c:strRef>
              <c:f>'Effort Variance (Org)'!$J$2</c:f>
              <c:strCache>
                <c:ptCount val="1"/>
                <c:pt idx="0">
                  <c:v>LSL</c:v>
                </c:pt>
              </c:strCache>
            </c:strRef>
          </c:tx>
          <c:spPr>
            <a:ln w="3175" cap="rnd">
              <a:solidFill>
                <a:schemeClr val="accent2">
                  <a:lumMod val="75000"/>
                </a:schemeClr>
              </a:solidFill>
              <a:round/>
            </a:ln>
            <a:effectLst/>
          </c:spPr>
          <c:marker>
            <c:symbol val="none"/>
          </c:marker>
          <c:cat>
            <c:strRef>
              <c:f>'Effort Variance (Org)'!$B$3:$B$28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'Effort Variance (Org)'!$J$3:$J$28</c:f>
              <c:numCache>
                <c:formatCode>General</c:formatCode>
                <c:ptCount val="26"/>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numCache>
            </c:numRef>
          </c:val>
          <c:smooth val="0"/>
        </c:ser>
        <c:dLbls>
          <c:showLegendKey val="0"/>
          <c:showVal val="0"/>
          <c:showCatName val="0"/>
          <c:showSerName val="0"/>
          <c:showPercent val="0"/>
          <c:showBubbleSize val="0"/>
        </c:dLbls>
        <c:marker val="1"/>
        <c:smooth val="0"/>
        <c:axId val="204968704"/>
        <c:axId val="204970240"/>
      </c:lineChart>
      <c:catAx>
        <c:axId val="204968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70240"/>
        <c:crosses val="autoZero"/>
        <c:auto val="1"/>
        <c:lblAlgn val="ctr"/>
        <c:lblOffset val="100"/>
        <c:noMultiLvlLbl val="0"/>
      </c:catAx>
      <c:valAx>
        <c:axId val="204970240"/>
        <c:scaling>
          <c:orientation val="minMax"/>
        </c:scaling>
        <c:delete val="0"/>
        <c:axPos val="l"/>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496870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layout/>
      <c:overlay val="0"/>
      <c:spPr>
        <a:noFill/>
        <a:ln>
          <a:noFill/>
        </a:ln>
        <a:effectLst/>
      </c:spPr>
    </c:title>
    <c:autoTitleDeleted val="0"/>
    <c:plotArea>
      <c:layout/>
      <c:lineChart>
        <c:grouping val="standard"/>
        <c:varyColors val="0"/>
        <c:ser>
          <c:idx val="0"/>
          <c:order val="0"/>
          <c:tx>
            <c:strRef>
              <c:f>'Schedule Variance(Org)'!$K$2</c:f>
              <c:strCache>
                <c:ptCount val="1"/>
                <c:pt idx="0">
                  <c:v>Schedule Variance</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'Schedule Variance(Org)'!$B$3:$B$28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'Schedule Variance(Org)'!$K$3:$K$28</c:f>
              <c:numCache>
                <c:formatCode>0.00%</c:formatCode>
                <c:ptCount val="26"/>
                <c:pt idx="0">
                  <c:v>0.13235294117647059</c:v>
                </c:pt>
                <c:pt idx="1">
                  <c:v>0.15254237288135594</c:v>
                </c:pt>
                <c:pt idx="2">
                  <c:v>#N/A</c:v>
                </c:pt>
                <c:pt idx="3">
                  <c:v>#N/A</c:v>
                </c:pt>
                <c:pt idx="4">
                  <c:v>#N/A</c:v>
                </c:pt>
                <c:pt idx="5">
                  <c:v>1.7777777777777777</c:v>
                </c:pt>
                <c:pt idx="6">
                  <c:v>1.3650793650793651</c:v>
                </c:pt>
                <c:pt idx="7">
                  <c:v>#N/A</c:v>
                </c:pt>
                <c:pt idx="8">
                  <c:v>0.36538461538461536</c:v>
                </c:pt>
                <c:pt idx="9">
                  <c:v>#N/A</c:v>
                </c:pt>
                <c:pt idx="10">
                  <c:v>#N/A</c:v>
                </c:pt>
                <c:pt idx="11">
                  <c:v>2.6490066225165563E-2</c:v>
                </c:pt>
                <c:pt idx="12">
                  <c:v>7.8431372549019607E-2</c:v>
                </c:pt>
                <c:pt idx="13">
                  <c:v>0.19047619047619047</c:v>
                </c:pt>
                <c:pt idx="14">
                  <c:v>0.1111111111111111</c:v>
                </c:pt>
                <c:pt idx="15">
                  <c:v>-3.7037037037037035E-2</c:v>
                </c:pt>
                <c:pt idx="16">
                  <c:v>0.1702127659574468</c:v>
                </c:pt>
                <c:pt idx="17">
                  <c:v>-2.1739130434782608E-2</c:v>
                </c:pt>
                <c:pt idx="18">
                  <c:v>0.8</c:v>
                </c:pt>
                <c:pt idx="19">
                  <c:v>#N/A</c:v>
                </c:pt>
                <c:pt idx="20">
                  <c:v>#N/A</c:v>
                </c:pt>
                <c:pt idx="21">
                  <c:v>#N/A</c:v>
                </c:pt>
                <c:pt idx="22">
                  <c:v>#N/A</c:v>
                </c:pt>
                <c:pt idx="23">
                  <c:v>#N/A</c:v>
                </c:pt>
                <c:pt idx="24">
                  <c:v>-820.34615384615381</c:v>
                </c:pt>
                <c:pt idx="25">
                  <c:v>#N/A</c:v>
                </c:pt>
              </c:numCache>
            </c:numRef>
          </c:val>
          <c:smooth val="0"/>
        </c:ser>
        <c:ser>
          <c:idx val="1"/>
          <c:order val="1"/>
          <c:tx>
            <c:strRef>
              <c:f>'Schedule Variance(Org)'!$L$2</c:f>
              <c:strCache>
                <c:ptCount val="1"/>
                <c:pt idx="0">
                  <c:v>USL</c:v>
                </c:pt>
              </c:strCache>
            </c:strRef>
          </c:tx>
          <c:spPr>
            <a:ln w="0" cap="rnd">
              <a:solidFill>
                <a:schemeClr val="accent2">
                  <a:lumMod val="75000"/>
                </a:schemeClr>
              </a:solidFill>
              <a:round/>
            </a:ln>
            <a:effectLst/>
          </c:spPr>
          <c:marker>
            <c:symbol val="none"/>
          </c:marker>
          <c:cat>
            <c:strRef>
              <c:f>'Schedule Variance(Org)'!$B$3:$B$28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'Schedule Variance(Org)'!$L$3:$L$28</c:f>
              <c:numCache>
                <c:formatCode>General</c:formatCode>
                <c:ptCount val="26"/>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numCache>
            </c:numRef>
          </c:val>
          <c:smooth val="0"/>
        </c:ser>
        <c:ser>
          <c:idx val="2"/>
          <c:order val="2"/>
          <c:tx>
            <c:strRef>
              <c:f>'Schedule Variance(Org)'!$M$2</c:f>
              <c:strCache>
                <c:ptCount val="1"/>
                <c:pt idx="0">
                  <c:v>LSL</c:v>
                </c:pt>
              </c:strCache>
            </c:strRef>
          </c:tx>
          <c:spPr>
            <a:ln w="3175" cap="rnd">
              <a:solidFill>
                <a:schemeClr val="accent2">
                  <a:lumMod val="75000"/>
                </a:schemeClr>
              </a:solidFill>
              <a:round/>
            </a:ln>
            <a:effectLst/>
          </c:spPr>
          <c:marker>
            <c:symbol val="none"/>
          </c:marker>
          <c:cat>
            <c:strRef>
              <c:f>'Schedule Variance(Org)'!$B$3:$B$28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'Schedule Variance(Org)'!$M$3:$M$28</c:f>
              <c:numCache>
                <c:formatCode>General</c:formatCode>
                <c:ptCount val="26"/>
                <c:pt idx="0">
                  <c:v>-0.2</c:v>
                </c:pt>
                <c:pt idx="1">
                  <c:v>-0.2</c:v>
                </c:pt>
                <c:pt idx="2">
                  <c:v>-0.2</c:v>
                </c:pt>
                <c:pt idx="3">
                  <c:v>-0.2</c:v>
                </c:pt>
                <c:pt idx="4">
                  <c:v>-0.2</c:v>
                </c:pt>
                <c:pt idx="5">
                  <c:v>-0.2</c:v>
                </c:pt>
                <c:pt idx="6">
                  <c:v>-0.2</c:v>
                </c:pt>
                <c:pt idx="7">
                  <c:v>-0.2</c:v>
                </c:pt>
                <c:pt idx="8">
                  <c:v>-0.2</c:v>
                </c:pt>
                <c:pt idx="9">
                  <c:v>-0.2</c:v>
                </c:pt>
                <c:pt idx="10">
                  <c:v>-0.2</c:v>
                </c:pt>
                <c:pt idx="11">
                  <c:v>-0.2</c:v>
                </c:pt>
                <c:pt idx="12">
                  <c:v>-0.2</c:v>
                </c:pt>
                <c:pt idx="13">
                  <c:v>-0.2</c:v>
                </c:pt>
                <c:pt idx="14">
                  <c:v>-0.2</c:v>
                </c:pt>
                <c:pt idx="15">
                  <c:v>-0.2</c:v>
                </c:pt>
                <c:pt idx="16">
                  <c:v>-0.2</c:v>
                </c:pt>
                <c:pt idx="17">
                  <c:v>-0.2</c:v>
                </c:pt>
                <c:pt idx="18">
                  <c:v>-0.2</c:v>
                </c:pt>
                <c:pt idx="19">
                  <c:v>-0.2</c:v>
                </c:pt>
                <c:pt idx="20">
                  <c:v>-0.2</c:v>
                </c:pt>
                <c:pt idx="21">
                  <c:v>-0.2</c:v>
                </c:pt>
                <c:pt idx="22">
                  <c:v>-0.2</c:v>
                </c:pt>
                <c:pt idx="23">
                  <c:v>-0.2</c:v>
                </c:pt>
                <c:pt idx="24">
                  <c:v>-0.2</c:v>
                </c:pt>
                <c:pt idx="25">
                  <c:v>-0.2</c:v>
                </c:pt>
              </c:numCache>
            </c:numRef>
          </c:val>
          <c:smooth val="0"/>
        </c:ser>
        <c:dLbls>
          <c:showLegendKey val="0"/>
          <c:showVal val="0"/>
          <c:showCatName val="0"/>
          <c:showSerName val="0"/>
          <c:showPercent val="0"/>
          <c:showBubbleSize val="0"/>
        </c:dLbls>
        <c:marker val="1"/>
        <c:smooth val="0"/>
        <c:axId val="205219712"/>
        <c:axId val="205221248"/>
      </c:lineChart>
      <c:catAx>
        <c:axId val="205219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221248"/>
        <c:crosses val="autoZero"/>
        <c:auto val="1"/>
        <c:lblAlgn val="ctr"/>
        <c:lblOffset val="100"/>
        <c:noMultiLvlLbl val="0"/>
      </c:catAx>
      <c:valAx>
        <c:axId val="205221248"/>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521971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layout/>
      <c:overlay val="0"/>
      <c:spPr>
        <a:noFill/>
        <a:ln>
          <a:noFill/>
        </a:ln>
        <a:effectLst/>
      </c:spPr>
    </c:title>
    <c:autoTitleDeleted val="0"/>
    <c:plotArea>
      <c:layout/>
      <c:lineChart>
        <c:grouping val="standard"/>
        <c:varyColors val="0"/>
        <c:ser>
          <c:idx val="0"/>
          <c:order val="0"/>
          <c:tx>
            <c:strRef>
              <c:f>'Product Defect Density(Org)'!$H$2</c:f>
              <c:strCache>
                <c:ptCount val="1"/>
                <c:pt idx="0">
                  <c:v>Product Defect Density</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'Product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'Product Defect Density(Org)'!$H$3:$H$28</c:f>
              <c:numCache>
                <c:formatCode>General</c:formatCode>
                <c:ptCount val="26"/>
                <c:pt idx="0">
                  <c:v>1.7937219730960432E-2</c:v>
                </c:pt>
                <c:pt idx="1">
                  <c:v>0.13559322033844795</c:v>
                </c:pt>
                <c:pt idx="2">
                  <c:v>0</c:v>
                </c:pt>
                <c:pt idx="3">
                  <c:v>0</c:v>
                </c:pt>
                <c:pt idx="4">
                  <c:v>0</c:v>
                </c:pt>
                <c:pt idx="5">
                  <c:v>5.3863417763015974E-2</c:v>
                </c:pt>
                <c:pt idx="6">
                  <c:v>2.3774145617020247E-2</c:v>
                </c:pt>
                <c:pt idx="7">
                  <c:v>0</c:v>
                </c:pt>
                <c:pt idx="8">
                  <c:v>4.043807919077836E-2</c:v>
                </c:pt>
                <c:pt idx="9">
                  <c:v>0</c:v>
                </c:pt>
                <c:pt idx="10">
                  <c:v>0</c:v>
                </c:pt>
                <c:pt idx="11">
                  <c:v>5.7561625583773292E-2</c:v>
                </c:pt>
                <c:pt idx="12">
                  <c:v>6.8138801262455237E-2</c:v>
                </c:pt>
                <c:pt idx="13">
                  <c:v>0.16265560166169959</c:v>
                </c:pt>
                <c:pt idx="14">
                  <c:v>9.0305444889044864E-2</c:v>
                </c:pt>
                <c:pt idx="15">
                  <c:v>0.25818521982711967</c:v>
                </c:pt>
                <c:pt idx="16">
                  <c:v>0.120473287917681</c:v>
                </c:pt>
                <c:pt idx="17">
                  <c:v>0.16007905138382275</c:v>
                </c:pt>
                <c:pt idx="18">
                  <c:v>0.2173350582144859</c:v>
                </c:pt>
                <c:pt idx="19">
                  <c:v>6.4690026958521871E-2</c:v>
                </c:pt>
                <c:pt idx="20">
                  <c:v>0.2589928057818589</c:v>
                </c:pt>
                <c:pt idx="21">
                  <c:v>0</c:v>
                </c:pt>
                <c:pt idx="22">
                  <c:v>0</c:v>
                </c:pt>
                <c:pt idx="23">
                  <c:v>0.12000000000363216</c:v>
                </c:pt>
                <c:pt idx="24">
                  <c:v>0.12799999999904632</c:v>
                </c:pt>
                <c:pt idx="25">
                  <c:v>3.1088082902323233E-2</c:v>
                </c:pt>
              </c:numCache>
            </c:numRef>
          </c:val>
          <c:smooth val="0"/>
        </c:ser>
        <c:ser>
          <c:idx val="1"/>
          <c:order val="1"/>
          <c:tx>
            <c:strRef>
              <c:f>'Product Defect Density(Org)'!$I$2</c:f>
              <c:strCache>
                <c:ptCount val="1"/>
                <c:pt idx="0">
                  <c:v>USL</c:v>
                </c:pt>
              </c:strCache>
            </c:strRef>
          </c:tx>
          <c:spPr>
            <a:ln w="0" cap="rnd">
              <a:solidFill>
                <a:schemeClr val="accent2">
                  <a:lumMod val="75000"/>
                </a:schemeClr>
              </a:solidFill>
              <a:round/>
            </a:ln>
            <a:effectLst/>
          </c:spPr>
          <c:marker>
            <c:symbol val="none"/>
          </c:marker>
          <c:cat>
            <c:strRef>
              <c:f>'Product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'Product Defect Density(Org)'!$I$3:$I$28</c:f>
              <c:numCache>
                <c:formatCode>General</c:formatCode>
                <c:ptCount val="26"/>
              </c:numCache>
            </c:numRef>
          </c:val>
          <c:smooth val="0"/>
        </c:ser>
        <c:ser>
          <c:idx val="2"/>
          <c:order val="2"/>
          <c:tx>
            <c:strRef>
              <c:f>'Product Defect Density(Org)'!$J$2</c:f>
              <c:strCache>
                <c:ptCount val="1"/>
                <c:pt idx="0">
                  <c:v>LSL</c:v>
                </c:pt>
              </c:strCache>
            </c:strRef>
          </c:tx>
          <c:spPr>
            <a:ln w="3175" cap="rnd">
              <a:solidFill>
                <a:schemeClr val="accent2">
                  <a:lumMod val="75000"/>
                </a:schemeClr>
              </a:solidFill>
              <a:round/>
            </a:ln>
            <a:effectLst/>
          </c:spPr>
          <c:marker>
            <c:symbol val="none"/>
          </c:marker>
          <c:cat>
            <c:strRef>
              <c:f>'Product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'Product Defect Density(Org)'!$J$3:$J$28</c:f>
              <c:numCache>
                <c:formatCode>General</c:formatCode>
                <c:ptCount val="26"/>
              </c:numCache>
            </c:numRef>
          </c:val>
          <c:smooth val="0"/>
        </c:ser>
        <c:dLbls>
          <c:showLegendKey val="0"/>
          <c:showVal val="0"/>
          <c:showCatName val="0"/>
          <c:showSerName val="0"/>
          <c:showPercent val="0"/>
          <c:showBubbleSize val="0"/>
        </c:dLbls>
        <c:marker val="1"/>
        <c:smooth val="0"/>
        <c:axId val="141437952"/>
        <c:axId val="141452032"/>
      </c:lineChart>
      <c:catAx>
        <c:axId val="1414379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52032"/>
        <c:crosses val="autoZero"/>
        <c:auto val="1"/>
        <c:lblAlgn val="ctr"/>
        <c:lblOffset val="100"/>
        <c:noMultiLvlLbl val="0"/>
      </c:catAx>
      <c:valAx>
        <c:axId val="141452032"/>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4379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I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Chart Title</a:t>
            </a:r>
          </a:p>
        </c:rich>
      </c:tx>
      <c:layout/>
      <c:overlay val="0"/>
      <c:spPr>
        <a:noFill/>
        <a:ln>
          <a:noFill/>
        </a:ln>
        <a:effectLst/>
      </c:spPr>
    </c:title>
    <c:autoTitleDeleted val="0"/>
    <c:plotArea>
      <c:layout/>
      <c:lineChart>
        <c:grouping val="standard"/>
        <c:varyColors val="0"/>
        <c:ser>
          <c:idx val="0"/>
          <c:order val="0"/>
          <c:tx>
            <c:strRef>
              <c:f>'Process Defect Density(Org)'!$I$2</c:f>
              <c:strCache>
                <c:ptCount val="1"/>
                <c:pt idx="0">
                  <c:v>Project's Process Defect Density</c:v>
                </c:pt>
              </c:strCache>
            </c:strRef>
          </c:tx>
          <c:spPr>
            <a:ln w="22225" cap="rnd">
              <a:solidFill>
                <a:schemeClr val="tx1">
                  <a:lumMod val="95000"/>
                  <a:lumOff val="5000"/>
                </a:schemeClr>
              </a:solidFill>
              <a:round/>
            </a:ln>
            <a:effectLst/>
          </c:spPr>
          <c:marker>
            <c:symbol val="circle"/>
            <c:size val="5"/>
            <c:spPr>
              <a:solidFill>
                <a:schemeClr val="accent1"/>
              </a:solidFill>
              <a:ln w="9525">
                <a:solidFill>
                  <a:schemeClr val="tx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'Process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'Process Defect Density(Org)'!$I$3:$I$28</c:f>
              <c:numCache>
                <c:formatCode>General</c:formatCode>
                <c:ptCount val="26"/>
                <c:pt idx="0">
                  <c:v>0.1076233183857626</c:v>
                </c:pt>
                <c:pt idx="1">
                  <c:v>0.40677966101534391</c:v>
                </c:pt>
                <c:pt idx="2">
                  <c:v>25.500000000371074</c:v>
                </c:pt>
                <c:pt idx="3">
                  <c:v>5.3846153851457972</c:v>
                </c:pt>
                <c:pt idx="4">
                  <c:v>2.3762376237568983</c:v>
                </c:pt>
                <c:pt idx="5">
                  <c:v>0.23853799295049929</c:v>
                </c:pt>
                <c:pt idx="6">
                  <c:v>0.4992570579574252</c:v>
                </c:pt>
                <c:pt idx="7">
                  <c:v>0</c:v>
                </c:pt>
                <c:pt idx="8">
                  <c:v>0.36394271271700529</c:v>
                </c:pt>
                <c:pt idx="9">
                  <c:v>12.727272727003337</c:v>
                </c:pt>
                <c:pt idx="10">
                  <c:v>0</c:v>
                </c:pt>
                <c:pt idx="11">
                  <c:v>0.10872751499157178</c:v>
                </c:pt>
                <c:pt idx="12">
                  <c:v>0.38233438486155441</c:v>
                </c:pt>
                <c:pt idx="13">
                  <c:v>0.24564315352991367</c:v>
                </c:pt>
                <c:pt idx="14">
                  <c:v>0.21779548473240232</c:v>
                </c:pt>
                <c:pt idx="15">
                  <c:v>0.23573433114650055</c:v>
                </c:pt>
                <c:pt idx="16">
                  <c:v>0.1419863750458383</c:v>
                </c:pt>
                <c:pt idx="17">
                  <c:v>8.893280632434597E-2</c:v>
                </c:pt>
                <c:pt idx="18">
                  <c:v>0.79172056920991285</c:v>
                </c:pt>
                <c:pt idx="19">
                  <c:v>6.4690026958521871E-2</c:v>
                </c:pt>
                <c:pt idx="20">
                  <c:v>0.34532374104247854</c:v>
                </c:pt>
                <c:pt idx="21">
                  <c:v>0</c:v>
                </c:pt>
                <c:pt idx="22">
                  <c:v>0</c:v>
                </c:pt>
                <c:pt idx="23">
                  <c:v>0</c:v>
                </c:pt>
                <c:pt idx="24">
                  <c:v>6.3999999999523161E-2</c:v>
                </c:pt>
                <c:pt idx="25">
                  <c:v>0.43523316063252526</c:v>
                </c:pt>
              </c:numCache>
            </c:numRef>
          </c:val>
          <c:smooth val="0"/>
        </c:ser>
        <c:ser>
          <c:idx val="1"/>
          <c:order val="1"/>
          <c:tx>
            <c:strRef>
              <c:f>'Process Defect Density(Org)'!$J$2</c:f>
              <c:strCache>
                <c:ptCount val="1"/>
                <c:pt idx="0">
                  <c:v>USL</c:v>
                </c:pt>
              </c:strCache>
            </c:strRef>
          </c:tx>
          <c:spPr>
            <a:ln w="0" cap="rnd">
              <a:solidFill>
                <a:schemeClr val="accent2">
                  <a:lumMod val="75000"/>
                </a:schemeClr>
              </a:solidFill>
              <a:round/>
            </a:ln>
            <a:effectLst/>
          </c:spPr>
          <c:marker>
            <c:symbol val="none"/>
          </c:marker>
          <c:cat>
            <c:strRef>
              <c:f>'Process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'Process Defect Density(Org)'!$J$3:$J$28</c:f>
              <c:numCache>
                <c:formatCode>General</c:formatCode>
                <c:ptCount val="26"/>
              </c:numCache>
            </c:numRef>
          </c:val>
          <c:smooth val="0"/>
        </c:ser>
        <c:ser>
          <c:idx val="2"/>
          <c:order val="2"/>
          <c:tx>
            <c:strRef>
              <c:f>'Process Defect Density(Org)'!$K$2</c:f>
              <c:strCache>
                <c:ptCount val="1"/>
                <c:pt idx="0">
                  <c:v>LSL</c:v>
                </c:pt>
              </c:strCache>
            </c:strRef>
          </c:tx>
          <c:spPr>
            <a:ln w="3175" cap="rnd">
              <a:solidFill>
                <a:schemeClr val="accent2">
                  <a:lumMod val="75000"/>
                </a:schemeClr>
              </a:solidFill>
              <a:round/>
            </a:ln>
            <a:effectLst/>
          </c:spPr>
          <c:marker>
            <c:symbol val="none"/>
          </c:marker>
          <c:cat>
            <c:strRef>
              <c:f>'Process Defect Density(Org)'!$B$3:$B$28</c:f>
              <c:strCache>
                <c:ptCount val="26"/>
                <c:pt idx="0">
                  <c:v>Dummy1</c:v>
                </c:pt>
                <c:pt idx="1">
                  <c:v>Dummy2</c:v>
                </c:pt>
                <c:pt idx="2">
                  <c:v>QMS</c:v>
                </c:pt>
                <c:pt idx="3">
                  <c:v>PEG</c:v>
                </c:pt>
                <c:pt idx="4">
                  <c:v>Training</c:v>
                </c:pt>
                <c:pt idx="5">
                  <c:v>GGS015</c:v>
                </c:pt>
                <c:pt idx="6">
                  <c:v>GSI034</c:v>
                </c:pt>
                <c:pt idx="7">
                  <c:v>SOLHYD</c:v>
                </c:pt>
                <c:pt idx="8">
                  <c:v>GGS020</c:v>
                </c:pt>
                <c:pt idx="9">
                  <c:v>Audit/QA</c:v>
                </c:pt>
                <c:pt idx="10">
                  <c:v>IT INFRA.</c:v>
                </c:pt>
                <c:pt idx="11">
                  <c:v>GSM052</c:v>
                </c:pt>
                <c:pt idx="12">
                  <c:v>GGE055</c:v>
                </c:pt>
                <c:pt idx="13">
                  <c:v>GGS028</c:v>
                </c:pt>
                <c:pt idx="14">
                  <c:v>GGE058</c:v>
                </c:pt>
                <c:pt idx="15">
                  <c:v>GDB003</c:v>
                </c:pt>
                <c:pt idx="16">
                  <c:v>GGE063</c:v>
                </c:pt>
                <c:pt idx="17">
                  <c:v>GGE064</c:v>
                </c:pt>
                <c:pt idx="18">
                  <c:v>GGS026</c:v>
                </c:pt>
                <c:pt idx="19">
                  <c:v>GSM051</c:v>
                </c:pt>
                <c:pt idx="20">
                  <c:v>GGE061</c:v>
                </c:pt>
                <c:pt idx="21">
                  <c:v>Support Function</c:v>
                </c:pt>
                <c:pt idx="22">
                  <c:v>Other Activity</c:v>
                </c:pt>
                <c:pt idx="23">
                  <c:v>GGE071</c:v>
                </c:pt>
                <c:pt idx="24">
                  <c:v>GGE072</c:v>
                </c:pt>
                <c:pt idx="25">
                  <c:v>GGS037</c:v>
                </c:pt>
              </c:strCache>
            </c:strRef>
          </c:cat>
          <c:val>
            <c:numRef>
              <c:f>'Process Defect Density(Org)'!$K$3:$K$28</c:f>
              <c:numCache>
                <c:formatCode>General</c:formatCode>
                <c:ptCount val="26"/>
              </c:numCache>
            </c:numRef>
          </c:val>
          <c:smooth val="0"/>
        </c:ser>
        <c:dLbls>
          <c:showLegendKey val="0"/>
          <c:showVal val="0"/>
          <c:showCatName val="0"/>
          <c:showSerName val="0"/>
          <c:showPercent val="0"/>
          <c:showBubbleSize val="0"/>
        </c:dLbls>
        <c:marker val="1"/>
        <c:smooth val="0"/>
        <c:axId val="142059776"/>
        <c:axId val="142073856"/>
      </c:lineChart>
      <c:catAx>
        <c:axId val="1420597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73856"/>
        <c:crosses val="autoZero"/>
        <c:auto val="1"/>
        <c:lblAlgn val="ctr"/>
        <c:lblOffset val="100"/>
        <c:noMultiLvlLbl val="0"/>
      </c:catAx>
      <c:valAx>
        <c:axId val="142073856"/>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059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2</xdr:col>
      <xdr:colOff>180975</xdr:colOff>
      <xdr:row>14</xdr:row>
      <xdr:rowOff>9524</xdr:rowOff>
    </xdr:from>
    <xdr:to>
      <xdr:col>6</xdr:col>
      <xdr:colOff>895350</xdr:colOff>
      <xdr:row>32</xdr:row>
      <xdr:rowOff>171449</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2</xdr:col>
      <xdr:colOff>1680</xdr:colOff>
      <xdr:row>13</xdr:row>
      <xdr:rowOff>188818</xdr:rowOff>
    </xdr:from>
    <xdr:to>
      <xdr:col>9</xdr:col>
      <xdr:colOff>33617</xdr:colOff>
      <xdr:row>32</xdr:row>
      <xdr:rowOff>160243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333375</xdr:colOff>
      <xdr:row>5</xdr:row>
      <xdr:rowOff>19050</xdr:rowOff>
    </xdr:from>
    <xdr:to>
      <xdr:col>7</xdr:col>
      <xdr:colOff>590550</xdr:colOff>
      <xdr:row>19</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8</xdr:col>
      <xdr:colOff>28575</xdr:colOff>
      <xdr:row>5</xdr:row>
      <xdr:rowOff>19050</xdr:rowOff>
    </xdr:from>
    <xdr:to>
      <xdr:col>12</xdr:col>
      <xdr:colOff>266700</xdr:colOff>
      <xdr:row>19</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438150</xdr:colOff>
      <xdr:row>5</xdr:row>
      <xdr:rowOff>19050</xdr:rowOff>
    </xdr:from>
    <xdr:to>
      <xdr:col>7</xdr:col>
      <xdr:colOff>76200</xdr:colOff>
      <xdr:row>19</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4</xdr:col>
      <xdr:colOff>285750</xdr:colOff>
      <xdr:row>8</xdr:row>
      <xdr:rowOff>85725</xdr:rowOff>
    </xdr:from>
    <xdr:to>
      <xdr:col>7</xdr:col>
      <xdr:colOff>295275</xdr:colOff>
      <xdr:row>22</xdr:row>
      <xdr:rowOff>161925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owssvr (3)" backgroundRefresh="0" connectionId="7" autoFormatId="16" applyNumberFormats="0" applyBorderFormats="0" applyFontFormats="0" applyPatternFormats="0" applyAlignmentFormats="0" applyWidthHeightFormats="0">
  <queryTableRefresh nextId="5">
    <queryTableFields count="4">
      <queryTableField id="1" name="Title" tableColumnId="1"/>
      <queryTableField id="2" name="Project Description" tableColumnId="2"/>
      <queryTableField id="4" name="Item Type" tableColumnId="3"/>
      <queryTableField id="3" name="Path" tableColumnId="4"/>
    </queryTableFields>
  </queryTableRefresh>
</queryTable>
</file>

<file path=xl/queryTables/queryTable2.xml><?xml version="1.0" encoding="utf-8"?>
<queryTable xmlns="http://schemas.openxmlformats.org/spreadsheetml/2006/main" name="owssvr" backgroundRefresh="0" connectionId="1" autoFormatId="16" applyNumberFormats="0" applyBorderFormats="0" applyFontFormats="0" applyPatternFormats="0" applyAlignmentFormats="0" applyWidthHeightFormats="0">
  <queryTableRefresh nextId="15" unboundColumnsRight="3">
    <queryTableFields count="14">
      <queryTableField id="1" name="Title" tableColumnId="1"/>
      <queryTableField id="2" name="Project Code" tableColumnId="2"/>
      <queryTableField id="3" name="Person's Name" tableColumnId="3"/>
      <queryTableField id="4" name="Project Phase" tableColumnId="4"/>
      <queryTableField id="5" name="Task Description" tableColumnId="5"/>
      <queryTableField id="6" name="Start Date and Time" tableColumnId="6"/>
      <queryTableField id="7" name="End Date and Time" tableColumnId="7"/>
      <queryTableField id="9" name="Item Type" tableColumnId="8"/>
      <queryTableField id="8" name="Path" tableColumnId="9"/>
      <queryTableField id="13" name="Modified" tableColumnId="13"/>
      <queryTableField id="14" name="Modified By" tableColumnId="14"/>
      <queryTableField id="10" dataBound="0" tableColumnId="10"/>
      <queryTableField id="11" dataBound="0" tableColumnId="11"/>
      <queryTableField id="12" dataBound="0" tableColumnId="12"/>
    </queryTableFields>
  </queryTableRefresh>
</queryTable>
</file>

<file path=xl/queryTables/queryTable3.xml><?xml version="1.0" encoding="utf-8"?>
<queryTable xmlns="http://schemas.openxmlformats.org/spreadsheetml/2006/main" name="owssvr (4)" backgroundRefresh="0" connectionId="8" autoFormatId="16" applyNumberFormats="0" applyBorderFormats="0" applyFontFormats="0" applyPatternFormats="0" applyAlignmentFormats="0" applyWidthHeightFormats="0">
  <queryTableRefresh nextId="16">
    <queryTableFields count="15">
      <queryTableField id="1" name="Title" tableColumnId="1"/>
      <queryTableField id="2" name="Project Code" tableColumnId="2"/>
      <queryTableField id="4" name="Tester/Reviewer" tableColumnId="3"/>
      <queryTableField id="5" name="Detection Date" tableColumnId="4"/>
      <queryTableField id="3" name="Defect Found using" tableColumnId="5"/>
      <queryTableField id="6" name="Artefact / Work Product &amp; Version Number" tableColumnId="6"/>
      <queryTableField id="7" name="Defect Classification" tableColumnId="7"/>
      <queryTableField id="8" name="Description of Defect" tableColumnId="8"/>
      <queryTableField id="10" name="Assigned to" tableColumnId="9"/>
      <queryTableField id="9" name="Status" tableColumnId="10"/>
      <queryTableField id="11" name="Summary of Resolution Steps" tableColumnId="11"/>
      <queryTableField id="12" name="Closure version number" tableColumnId="12"/>
      <queryTableField id="13" name="Closure Date" tableColumnId="13"/>
      <queryTableField id="15" name="Item Type" tableColumnId="14"/>
      <queryTableField id="14" name="Path" tableColumnId="15"/>
    </queryTableFields>
  </queryTableRefresh>
</queryTable>
</file>

<file path=xl/queryTables/queryTable4.xml><?xml version="1.0" encoding="utf-8"?>
<queryTable xmlns="http://schemas.openxmlformats.org/spreadsheetml/2006/main" name="owssvr (1)" backgroundRefresh="0" connectionId="2" autoFormatId="16" applyNumberFormats="0" applyBorderFormats="0" applyFontFormats="0" applyPatternFormats="0" applyAlignmentFormats="0" applyWidthHeightFormats="0">
  <queryTableRefresh nextId="11" unboundColumnsRight="2">
    <queryTableFields count="9">
      <queryTableField id="2" name="Project Code" tableColumnId="10"/>
      <queryTableField id="3" name="Project Phase" tableColumnId="3"/>
      <queryTableField id="4" name="Planned Date of Completion" tableColumnId="4"/>
      <queryTableField id="5" name="Actual Date of Completion" tableColumnId="5"/>
      <queryTableField id="6" name="Planned Efforts" tableColumnId="6"/>
      <queryTableField id="8" name="Item Type" tableColumnId="7"/>
      <queryTableField id="7" name="Path" tableColumnId="8"/>
      <queryTableField id="9" dataBound="0" tableColumnId="9"/>
      <queryTableField id="10" dataBound="0" tableColumnId="11"/>
    </queryTableFields>
    <queryTableDeletedFields count="1">
      <deletedField name="Title"/>
    </queryTableDeletedFields>
  </queryTableRefresh>
</queryTable>
</file>

<file path=xl/queryTables/queryTable5.xml><?xml version="1.0" encoding="utf-8"?>
<queryTable xmlns="http://schemas.openxmlformats.org/spreadsheetml/2006/main" name="owssvr" backgroundRefresh="0" connectionId="9" autoFormatId="16" applyNumberFormats="0" applyBorderFormats="0" applyFontFormats="0" applyPatternFormats="0" applyAlignmentFormats="0" applyWidthHeightFormats="0">
  <queryTableRefresh nextId="15">
    <queryTableFields count="14">
      <queryTableField id="1" name="Title" tableColumnId="1"/>
      <queryTableField id="2" name="Project Code/ Process name" tableColumnId="2"/>
      <queryTableField id="5" name="Audit Date" tableColumnId="3"/>
      <queryTableField id="6" name="Classification" tableColumnId="4"/>
      <queryTableField id="7" name="Area" tableColumnId="5"/>
      <queryTableField id="8" name="Description of NC/Observation" tableColumnId="6"/>
      <queryTableField id="9" name="Status" tableColumnId="7"/>
      <queryTableField id="10" name="Description of Resolution" tableColumnId="8"/>
      <queryTableField id="11" name="Closure Date" tableColumnId="9"/>
      <queryTableField id="3" name="Auditor" tableColumnId="10"/>
      <queryTableField id="4" name="Auditee" tableColumnId="11"/>
      <queryTableField id="13" name="Item Type" tableColumnId="12"/>
      <queryTableField id="12" name="Path" tableColumnId="13"/>
      <queryTableField id="14" name="ID" tableColumnId="14"/>
    </queryTableFields>
  </queryTableRefresh>
</queryTable>
</file>

<file path=xl/queryTables/queryTable6.xml><?xml version="1.0" encoding="utf-8"?>
<queryTable xmlns="http://schemas.openxmlformats.org/spreadsheetml/2006/main" name="owssvr (2)" backgroundRefresh="0" connectionId="3" autoFormatId="16" applyNumberFormats="0" applyBorderFormats="0" applyFontFormats="0" applyPatternFormats="0" applyAlignmentFormats="0" applyWidthHeightFormats="0">
  <queryTableRefresh nextId="10" unboundColumnsRight="5">
    <queryTableFields count="9">
      <queryTableField id="1" name="Title" tableColumnId="1"/>
      <queryTableField id="2" name="Project Description" tableColumnId="2"/>
      <queryTableField id="4" name="Item Type" tableColumnId="3"/>
      <queryTableField id="3" name="Path" tableColumnId="4"/>
      <queryTableField id="5" dataBound="0" tableColumnId="5"/>
      <queryTableField id="6" dataBound="0" tableColumnId="6"/>
      <queryTableField id="7" dataBound="0" tableColumnId="7"/>
      <queryTableField id="8" dataBound="0" tableColumnId="8"/>
      <queryTableField id="9" dataBound="0" tableColumnId="9"/>
    </queryTableFields>
  </queryTableRefresh>
</queryTable>
</file>

<file path=xl/queryTables/queryTable7.xml><?xml version="1.0" encoding="utf-8"?>
<queryTable xmlns="http://schemas.openxmlformats.org/spreadsheetml/2006/main" name="owssvr (2)" backgroundRefresh="0" connectionId="4" autoFormatId="16" applyNumberFormats="0" applyBorderFormats="0" applyFontFormats="0" applyPatternFormats="0" applyAlignmentFormats="0" applyWidthHeightFormats="0">
  <queryTableRefresh nextId="13" unboundColumnsRight="8">
    <queryTableFields count="12">
      <queryTableField id="1" name="Title" tableColumnId="1"/>
      <queryTableField id="2" name="Project Description" tableColumnId="2"/>
      <queryTableField id="4" name="Item Type" tableColumnId="3"/>
      <queryTableField id="3" name="Path" tableColumnId="4"/>
      <queryTableField id="5" dataBound="0" tableColumnId="5"/>
      <queryTableField id="6" dataBound="0" tableColumnId="6"/>
      <queryTableField id="7" dataBound="0" tableColumnId="7"/>
      <queryTableField id="8" dataBound="0" tableColumnId="8"/>
      <queryTableField id="9" dataBound="0" tableColumnId="9"/>
      <queryTableField id="10" dataBound="0" tableColumnId="10"/>
      <queryTableField id="11" dataBound="0" tableColumnId="11"/>
      <queryTableField id="12" dataBound="0" tableColumnId="12"/>
    </queryTableFields>
  </queryTableRefresh>
</queryTable>
</file>

<file path=xl/queryTables/queryTable8.xml><?xml version="1.0" encoding="utf-8"?>
<queryTable xmlns="http://schemas.openxmlformats.org/spreadsheetml/2006/main" name="owssvr (2)" backgroundRefresh="0" connectionId="5" autoFormatId="16" applyNumberFormats="0" applyBorderFormats="0" applyFontFormats="0" applyPatternFormats="0" applyAlignmentFormats="0" applyWidthHeightFormats="0">
  <queryTableRefresh nextId="10" unboundColumnsRight="5">
    <queryTableFields count="9">
      <queryTableField id="1" name="Title" tableColumnId="1"/>
      <queryTableField id="2" name="Project Description" tableColumnId="2"/>
      <queryTableField id="4" name="Item Type" tableColumnId="3"/>
      <queryTableField id="3" name="Path" tableColumnId="4"/>
      <queryTableField id="6" dataBound="0" tableColumnId="5"/>
      <queryTableField id="5" dataBound="0" tableColumnId="6"/>
      <queryTableField id="7" dataBound="0" tableColumnId="7"/>
      <queryTableField id="8" dataBound="0" tableColumnId="8"/>
      <queryTableField id="9" dataBound="0" tableColumnId="9"/>
    </queryTableFields>
  </queryTableRefresh>
</queryTable>
</file>

<file path=xl/queryTables/queryTable9.xml><?xml version="1.0" encoding="utf-8"?>
<queryTable xmlns="http://schemas.openxmlformats.org/spreadsheetml/2006/main" name="owssvr (2)" backgroundRefresh="0" connectionId="6" autoFormatId="16" applyNumberFormats="0" applyBorderFormats="0" applyFontFormats="0" applyPatternFormats="0" applyAlignmentFormats="0" applyWidthHeightFormats="0">
  <queryTableRefresh nextId="11" unboundColumnsRight="6">
    <queryTableFields count="10">
      <queryTableField id="1" name="Title" tableColumnId="1"/>
      <queryTableField id="2" name="Project Description" tableColumnId="2"/>
      <queryTableField id="4" name="Item Type" tableColumnId="3"/>
      <queryTableField id="3" name="Path" tableColumnId="4"/>
      <queryTableField id="7" dataBound="0" tableColumnId="5"/>
      <queryTableField id="6" dataBound="0" tableColumnId="6"/>
      <queryTableField id="5" dataBound="0" tableColumnId="7"/>
      <queryTableField id="8" dataBound="0" tableColumnId="8"/>
      <queryTableField id="9" dataBound="0" tableColumnId="9"/>
      <queryTableField id="10" dataBound="0"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1" name="TblPrjCode" displayName="TblPrjCode" ref="A1:D27" tableType="queryTable" totalsRowShown="0">
  <autoFilter ref="A1:D27"/>
  <tableColumns count="4">
    <tableColumn id="1" uniqueName="Title" name="Title" queryTableFieldId="1" dataDxfId="93"/>
    <tableColumn id="2" uniqueName="Project_x005f_x0020_Description" name="Project Description" queryTableFieldId="2" dataDxfId="92"/>
    <tableColumn id="3" uniqueName="FSObjType" name="Item Type" queryTableFieldId="4" dataDxfId="91"/>
    <tableColumn id="4" uniqueName="FileDirRef" name="Path" queryTableFieldId="3" dataDxfId="90"/>
  </tableColumns>
  <tableStyleInfo name="TableStyleMedium2" showFirstColumn="0" showLastColumn="0" showRowStripes="1" showColumnStripes="0"/>
</table>
</file>

<file path=xl/tables/table2.xml><?xml version="1.0" encoding="utf-8"?>
<table xmlns="http://schemas.openxmlformats.org/spreadsheetml/2006/main" id="2" name="TblTimeSheet" displayName="TblTimeSheet" ref="A1:N2909" tableType="queryTable" totalsRowShown="0">
  <autoFilter ref="A1:N2909"/>
  <tableColumns count="14">
    <tableColumn id="1" uniqueName="Title" name="Title" queryTableFieldId="1" dataDxfId="88"/>
    <tableColumn id="2" uniqueName="Project_x005f_x0020_Code" name="Project Code/Support Function" queryTableFieldId="2" dataDxfId="87"/>
    <tableColumn id="3" uniqueName="Person_x005f_x0027_s_x005f_x0020_Name" name="Person's Name" queryTableFieldId="3" dataDxfId="86"/>
    <tableColumn id="4" uniqueName="Project_x005f_x0020_Phase" name="Project Phase/Function Name" queryTableFieldId="4" dataDxfId="85"/>
    <tableColumn id="5" uniqueName="Task_x005f_x0020_Description" name="Task Description" queryTableFieldId="5"/>
    <tableColumn id="6" uniqueName="Start_x005f_x0020_Date_x005f_x0020_and_x0020" name="Start Date and Time" queryTableFieldId="6" dataDxfId="84"/>
    <tableColumn id="7" uniqueName="End_x005f_x0020_Date_x005f_x0020_and_x005f_x0020_T" name="End Date and Time" queryTableFieldId="7" dataDxfId="83"/>
    <tableColumn id="8" uniqueName="FSObjType" name="Item Type" queryTableFieldId="9" dataDxfId="82"/>
    <tableColumn id="9" uniqueName="FileDirRef" name="Path" queryTableFieldId="8" dataDxfId="81"/>
    <tableColumn id="13" uniqueName="Modified" name="Modified" queryTableFieldId="13" dataDxfId="80"/>
    <tableColumn id="14" uniqueName="Editor" name="Modified By" queryTableFieldId="14" dataDxfId="79"/>
    <tableColumn id="10" uniqueName="10" name="PersonHrs" queryTableFieldId="10" dataDxfId="78">
      <calculatedColumnFormula>24*(TblTimeSheet[[#This Row],[End Date and Time]]-TblTimeSheet[[#This Row],[Start Date and Time]])</calculatedColumnFormula>
    </tableColumn>
    <tableColumn id="11" uniqueName="11" name="Overlap" queryTableFieldId="11" dataDxfId="77">
      <calculatedColumnFormula>--(2&lt;SUMPRODUCT((TblTimeSheet[[#This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calculatedColumnFormula>
    </tableColumn>
    <tableColumn id="12" uniqueName="12" name="negative" queryTableFieldId="12" dataDxfId="76">
      <calculatedColumnFormula>--(0&gt;(TblTimeSheet[[#This Row],[End Date and Time]]-TblTimeSheet[[#This Row],[Start Date and Time]]))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4" name="TblDefects" displayName="TblDefects" ref="A1:O422" tableType="queryTable" totalsRowShown="0">
  <autoFilter ref="A1:O422"/>
  <tableColumns count="15">
    <tableColumn id="1" uniqueName="Title" name="Title" queryTableFieldId="1" dataDxfId="75"/>
    <tableColumn id="2" uniqueName="Project_x005f_x0020_Code" name="Project Code" queryTableFieldId="2" dataDxfId="74"/>
    <tableColumn id="3" uniqueName="Tester_x005f_x002f_Reviewer" name="Tester/Reviewer" queryTableFieldId="4" dataDxfId="73"/>
    <tableColumn id="4" uniqueName="Detection_x005f_x0020_Date" name="Detection Date" queryTableFieldId="5" dataDxfId="72"/>
    <tableColumn id="5" uniqueName="Defect_x005f_x0020_Found_x005f_x0020_in" name="Defect Found using" queryTableFieldId="3" dataDxfId="71"/>
    <tableColumn id="6" uniqueName="Artefact_x005f_x0020__x005f_x002f__x005f_x0020_Wor" name="Artefact / Work Product &amp; Version Number" queryTableFieldId="6" dataDxfId="70"/>
    <tableColumn id="7" uniqueName="Defect_x005f_x0020_Classification" name="Defect Classification" queryTableFieldId="7" dataDxfId="69"/>
    <tableColumn id="8" uniqueName="Description_x005f_x0020_of_x005f_x0020_Defec" name="Description of Defect" queryTableFieldId="8"/>
    <tableColumn id="9" uniqueName="Assigned_x005f_x0020_to" name="Assigned to" queryTableFieldId="10" dataDxfId="68"/>
    <tableColumn id="10" uniqueName="Status" name="Status" queryTableFieldId="9" dataDxfId="67"/>
    <tableColumn id="11" uniqueName="Summary_x005f_x0020_of_x005f_x0020_Resolutio" name="Summary of Resolution Steps" queryTableFieldId="11"/>
    <tableColumn id="12" uniqueName="Closure_x005f_x0020_version_x005f_x0020_numb" name="Closure version number" queryTableFieldId="12" dataDxfId="66"/>
    <tableColumn id="13" uniqueName="Closure_x005f_x0020_Date" name="Closure Date" queryTableFieldId="13" dataDxfId="65"/>
    <tableColumn id="14" uniqueName="FSObjType" name="Item Type" queryTableFieldId="15" dataDxfId="64"/>
    <tableColumn id="15" uniqueName="FileDirRef" name="Path" queryTableFieldId="14" dataDxfId="63"/>
  </tableColumns>
  <tableStyleInfo name="TableStyleMedium2" showFirstColumn="0" showLastColumn="0" showRowStripes="1" showColumnStripes="0"/>
</table>
</file>

<file path=xl/tables/table4.xml><?xml version="1.0" encoding="utf-8"?>
<table xmlns="http://schemas.openxmlformats.org/spreadsheetml/2006/main" id="3" name="Tbl_SchMls" displayName="Tbl_SchMls" ref="A1:I112" tableType="queryTable" totalsRowShown="0">
  <autoFilter ref="A1:I112"/>
  <tableColumns count="9">
    <tableColumn id="10" uniqueName="Project_x005f_x0020_Code" name="Project Code" queryTableFieldId="2" dataDxfId="62"/>
    <tableColumn id="3" uniqueName="Project_x005f_x0020_Phase" name="Project Phase" queryTableFieldId="3" dataDxfId="61"/>
    <tableColumn id="4" uniqueName="Planned_x005f_x0020_Date_x005f_x0020_of_x002" name="Planned Date of Completion" queryTableFieldId="4" dataDxfId="60"/>
    <tableColumn id="5" uniqueName="Actual_x005f_x0020_Date_x005f_x0020_of_x0020" name="Actual Date of Completion" queryTableFieldId="5" dataDxfId="59"/>
    <tableColumn id="6" uniqueName="Planned_x005f_x0020_Efforts" name="Planned Efforts" queryTableFieldId="6" dataDxfId="58"/>
    <tableColumn id="7" uniqueName="FSObjType" name="Item Type" queryTableFieldId="8" dataDxfId="57"/>
    <tableColumn id="8" uniqueName="FileDirRef" name="Path" queryTableFieldId="7" dataDxfId="56"/>
    <tableColumn id="9" uniqueName="9" name="Path2" queryTableFieldId="9" dataDxfId="55">
      <calculatedColumnFormula>Tbl_SchMls[[#This Row],[Project Phase]]&amp;Tbl_SchMls[[#This Row],[Planned Date of Completion]]</calculatedColumnFormula>
    </tableColumn>
    <tableColumn id="11" uniqueName="11" name="Concat" queryTableFieldId="10" dataDxfId="54">
      <calculatedColumnFormula>Tbl_SchMls[[#This Row],[Project Code]]&amp;Tbl_SchMls[[#This Row],[Project Phase]]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7" name="TblAdtNC" displayName="TblAdtNC" ref="A1:N531" tableType="queryTable" totalsRowShown="0">
  <autoFilter ref="A1:N531"/>
  <tableColumns count="14">
    <tableColumn id="1" uniqueName="Title" name="Title" queryTableFieldId="1" dataDxfId="53"/>
    <tableColumn id="2" uniqueName="Project_x005f_x0020_Code_x005f_x002f__x005f_x0020_" name="Project Code/ Process name" queryTableFieldId="2" dataDxfId="52"/>
    <tableColumn id="3" uniqueName="Audit_x005f_x0020_Date" name="Audit Date" queryTableFieldId="5" dataDxfId="51"/>
    <tableColumn id="4" uniqueName="Classification" name="Classification" queryTableFieldId="6" dataDxfId="50"/>
    <tableColumn id="5" uniqueName="Area" name="Area" queryTableFieldId="7" dataDxfId="49"/>
    <tableColumn id="6" uniqueName="Description_x005f_x0020_of_x005f_x0020_NC_x0" name="Description of NC/Observation" queryTableFieldId="8"/>
    <tableColumn id="7" uniqueName="Status" name="Status" queryTableFieldId="9" dataDxfId="48"/>
    <tableColumn id="8" uniqueName="Description_x005f_x0020_of_x005f_x0020_Resol" name="Description of Resolution" queryTableFieldId="10"/>
    <tableColumn id="9" uniqueName="Closure_x005f_x0020_Date" name="Closure Date" queryTableFieldId="11" dataDxfId="47"/>
    <tableColumn id="10" uniqueName="Auditor" name="Auditor" queryTableFieldId="3" dataDxfId="46"/>
    <tableColumn id="11" uniqueName="Auditee" name="Auditee" queryTableFieldId="4" dataDxfId="45"/>
    <tableColumn id="12" uniqueName="FSObjType" name="Item Type" queryTableFieldId="13" dataDxfId="44"/>
    <tableColumn id="13" uniqueName="FileDirRef" name="Path" queryTableFieldId="12" dataDxfId="43"/>
    <tableColumn id="14" uniqueName="ID" name="ID" queryTableFieldId="14" dataDxfId="42"/>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6:K13" totalsRowShown="0">
  <autoFilter ref="C6:K13"/>
  <tableColumns count="9">
    <tableColumn id="1" name="Phase"/>
    <tableColumn id="2" name="Planned Date of Completion" dataDxfId="106">
      <calculatedColumnFormula>INDEX(Tbl_SchMls[Planned Date of Completion],MATCH($B$2&amp;$C7,Tbl_SchMls[Concat],0))</calculatedColumnFormula>
    </tableColumn>
    <tableColumn id="3" name="Actual Date of Completion" dataDxfId="105">
      <calculatedColumnFormula>INDEX(Tbl_SchMls[Actual Date of Completion],MATCH($B$2&amp;$C7,Tbl_SchMls[Concat],0))</calculatedColumnFormula>
    </tableColumn>
    <tableColumn id="4" name="Planned No of days" dataDxfId="104"/>
    <tableColumn id="5" name="Actual No Of days" dataDxfId="103"/>
    <tableColumn id="6" name="Variance by phase" dataDxfId="102" dataCellStyle="Percent">
      <calculatedColumnFormula>IFERROR((Table5[[#This Row],[Actual No Of days]]-Table5[[#This Row],[Planned No of days]])/Table5[[#This Row],[Planned No of days]],"")</calculatedColumnFormula>
    </tableColumn>
    <tableColumn id="9" name="Total Variance" dataDxfId="94" dataCellStyle="Percent">
      <calculatedColumnFormula>SUM($G$7:G7)/SUM($F$7:F7)-1</calculatedColumnFormula>
    </tableColumn>
    <tableColumn id="7" name="USL" dataDxfId="101">
      <calculatedColumnFormula>0.2</calculatedColumnFormula>
    </tableColumn>
    <tableColumn id="8" name="LSL" dataDxfId="100">
      <calculatedColumnFormula>-0.2</calculatedColumnFormula>
    </tableColumn>
  </tableColumns>
  <tableStyleInfo name="TableStyleLight11" showFirstColumn="0" showLastColumn="0" showRowStripes="1" showColumnStripes="0"/>
</table>
</file>

<file path=xl/tables/table7.xml><?xml version="1.0" encoding="utf-8"?>
<table xmlns="http://schemas.openxmlformats.org/spreadsheetml/2006/main" id="6" name="Table57" displayName="Table57" ref="C6:I13" totalsRowShown="0">
  <autoFilter ref="C6:I13"/>
  <tableColumns count="7">
    <tableColumn id="1" name="Phase"/>
    <tableColumn id="2" name="Planned Efforts" dataDxfId="99">
      <calculatedColumnFormula>INDEX(Tbl_SchMls[Planned Efforts],MATCH($B$2&amp;$C7,Tbl_SchMls[Concat],0))</calculatedColumnFormula>
    </tableColumn>
    <tableColumn id="3" name="Actual efforts" dataDxfId="98">
      <calculatedColumnFormula>SUMIFS(TblTimeSheet[PersonHrs],TblTimeSheet[Project Code/Support Function],$B$2,TblTimeSheet[Project Phase/Function Name],Table57[[#This Row],[Phase]])</calculatedColumnFormula>
    </tableColumn>
    <tableColumn id="6" name="Variance by phase" dataDxfId="97" dataCellStyle="Percent">
      <calculatedColumnFormula>IFERROR(IF(Table57[[#This Row],[Actual efforts]]&lt;&gt;0,(Table57[[#This Row],[Actual efforts]]-Table57[[#This Row],[Planned Efforts]])/Table57[[#This Row],[Planned Efforts]],""),"")</calculatedColumnFormula>
    </tableColumn>
    <tableColumn id="4" name="Total Variance" dataDxfId="0" dataCellStyle="Percent">
      <calculatedColumnFormula>SUM($E$7:E7)/SUM($D$7:D7)-1</calculatedColumnFormula>
    </tableColumn>
    <tableColumn id="7" name="USL" dataDxfId="96">
      <calculatedColumnFormula>0.2</calculatedColumnFormula>
    </tableColumn>
    <tableColumn id="8" name="LSL" dataDxfId="95">
      <calculatedColumnFormula>-0.2</calculatedColumnFormula>
    </tableColumn>
  </tableColumns>
  <tableStyleInfo name="TableStyleMedium4" showFirstColumn="0" showLastColumn="0" showRowStripes="1" showColumnStripes="0"/>
</table>
</file>

<file path=xl/tables/table8.xml><?xml version="1.0" encoding="utf-8"?>
<table xmlns="http://schemas.openxmlformats.org/spreadsheetml/2006/main" id="8" name="Table_owssvr__2" displayName="Table_owssvr__2" ref="B2:J28" tableType="queryTable" totalsRowShown="0">
  <autoFilter ref="B2:J28"/>
  <tableColumns count="9">
    <tableColumn id="1" uniqueName="Title" name="Title" queryTableFieldId="1" dataDxfId="41"/>
    <tableColumn id="2" uniqueName="Project_x005f_x0020_Description" name="Project Description" queryTableFieldId="2" dataDxfId="40"/>
    <tableColumn id="3" uniqueName="FSObjType" name="Item Type" queryTableFieldId="4" dataDxfId="39"/>
    <tableColumn id="4" uniqueName="FileDirRef" name="Path" queryTableFieldId="3" dataDxfId="38"/>
    <tableColumn id="5" uniqueName="5" name="Total Planned Efforts" queryTableFieldId="5" dataDxfId="37">
      <calculatedColumnFormula>SUMIFS(Tbl_SchMls[Planned Efforts],Tbl_SchMls[Project Code],Table_owssvr__2[[#This Row],[Title]])</calculatedColumnFormula>
    </tableColumn>
    <tableColumn id="6" uniqueName="6" name="Total Actual Efforts" queryTableFieldId="6" dataDxfId="36">
      <calculatedColumnFormula>SUMIFS(TblTimeSheet[PersonHrs],TblTimeSheet[Project Code/Support Function],Table_owssvr__2[[#This Row],[Title]])</calculatedColumnFormula>
    </tableColumn>
    <tableColumn id="7" uniqueName="7" name="Effort Variance" queryTableFieldId="7" dataDxfId="35" dataCellStyle="Percent">
      <calculatedColumnFormula>(Table_owssvr__2[[#This Row],[Total Actual Efforts]]-Table_owssvr__2[[#This Row],[Total Planned Efforts]])/Table_owssvr__2[[#This Row],[Total Planned Efforts]]</calculatedColumnFormula>
    </tableColumn>
    <tableColumn id="8" uniqueName="8" name="USL" queryTableFieldId="8" dataDxfId="34">
      <calculatedColumnFormula>0.2</calculatedColumnFormula>
    </tableColumn>
    <tableColumn id="9" uniqueName="9" name="LSL" queryTableFieldId="9" dataDxfId="33">
      <calculatedColumnFormula>-0.2</calculatedColumnFormula>
    </tableColumn>
  </tableColumns>
  <tableStyleInfo name="TableStyleMedium2" showFirstColumn="0" showLastColumn="0" showRowStripes="1" showColumnStripes="0"/>
</table>
</file>

<file path=xl/tables/table9.xml><?xml version="1.0" encoding="utf-8"?>
<table xmlns="http://schemas.openxmlformats.org/spreadsheetml/2006/main" id="9" name="Table_owssvr__210" displayName="Table_owssvr__210" ref="B2:M28" tableType="queryTable" totalsRowShown="0">
  <autoFilter ref="B2:M28"/>
  <tableColumns count="12">
    <tableColumn id="1" uniqueName="Title" name="Title" queryTableFieldId="1" dataDxfId="32"/>
    <tableColumn id="2" uniqueName="Project_x005f_x0020_Description" name="Project Description" queryTableFieldId="2" dataDxfId="31"/>
    <tableColumn id="3" uniqueName="FSObjType" name="Item Type" queryTableFieldId="4" dataDxfId="30"/>
    <tableColumn id="4" uniqueName="FileDirRef" name="Path" queryTableFieldId="3" dataDxfId="29"/>
    <tableColumn id="5" uniqueName="5" name="Project Start Date" queryTableFieldId="5" dataDxfId="28">
      <calculatedColumnFormula>INDEX(Tbl_SchMls[Planned Date of Completion],MATCH(Table_owssvr__210[[#This Row],[Title]]&amp;"Project Start",Tbl_SchMls[Concat],0))</calculatedColumnFormula>
    </tableColumn>
    <tableColumn id="6" uniqueName="6" name="Planned End Date" queryTableFieldId="6" dataDxfId="27">
      <calculatedColumnFormula>INDEX(Tbl_SchMls[Planned Date of Completion],MATCH(Table_owssvr__210[[#This Row],[Title]]&amp;"Closure and Release",Tbl_SchMls[Concat],0))</calculatedColumnFormula>
    </tableColumn>
    <tableColumn id="7" uniqueName="7" name="Actual End Date" queryTableFieldId="7" dataDxfId="26">
      <calculatedColumnFormula>INDEX(Tbl_SchMls[Actual Date of Completion],MATCH(Table_owssvr__210[[#This Row],[Title]]&amp;"Closure and Release",Tbl_SchMls[Concat],0))</calculatedColumnFormula>
    </tableColumn>
    <tableColumn id="8" uniqueName="8" name="Planned Duration" queryTableFieldId="8" dataDxfId="25">
      <calculatedColumnFormula>Table_owssvr__210[[#This Row],[Planned End Date]]-Table_owssvr__210[[#This Row],[Project Start Date]]</calculatedColumnFormula>
    </tableColumn>
    <tableColumn id="9" uniqueName="9" name="Actual Duration" queryTableFieldId="9" dataDxfId="24">
      <calculatedColumnFormula>Table_owssvr__210[[#This Row],[Actual End Date]]-Table_owssvr__210[[#This Row],[Project Start Date]]</calculatedColumnFormula>
    </tableColumn>
    <tableColumn id="10" uniqueName="10" name="Schedule Variance" queryTableFieldId="10" dataDxfId="23" dataCellStyle="Percent">
      <calculatedColumnFormula>(Table_owssvr__210[[#This Row],[Actual Duration]]-Table_owssvr__210[[#This Row],[Planned Duration]])/Table_owssvr__210[[#This Row],[Planned Duration]]</calculatedColumnFormula>
    </tableColumn>
    <tableColumn id="11" uniqueName="11" name="USL" queryTableFieldId="11" dataDxfId="22">
      <calculatedColumnFormula>0.2</calculatedColumnFormula>
    </tableColumn>
    <tableColumn id="12" uniqueName="12" name="LSL" queryTableFieldId="12" dataDxfId="21">
      <calculatedColumnFormula>-0.2</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_owssvr__211" displayName="Table_owssvr__211" ref="B2:J28" tableType="queryTable" totalsRowShown="0">
  <autoFilter ref="B2:J28"/>
  <tableColumns count="9">
    <tableColumn id="1" uniqueName="Title" name="Title" queryTableFieldId="1" dataDxfId="20"/>
    <tableColumn id="2" uniqueName="Project_x005f_x0020_Description" name="Project Description" queryTableFieldId="2" dataDxfId="19"/>
    <tableColumn id="3" uniqueName="FSObjType" name="Item Type" queryTableFieldId="4" dataDxfId="18"/>
    <tableColumn id="4" uniqueName="FileDirRef" name="Path" queryTableFieldId="3" dataDxfId="17"/>
    <tableColumn id="5" uniqueName="5" name="Total Number of Functional defects detected in the product" queryTableFieldId="6" dataDxfId="16">
      <calculatedColumnFormula>COUNTIFS(TblDefects[Project Code],Table_owssvr__211[[#This Row],[Title]],TblDefects[Defect Classification],"Functional")</calculatedColumnFormula>
    </tableColumn>
    <tableColumn id="6" uniqueName="6" name="Total Effort Expended in the project" queryTableFieldId="5" dataDxfId="15">
      <calculatedColumnFormula>SUMIFS(TblTimeSheet[PersonHrs],TblTimeSheet[Project Code/Support Function],Table_owssvr__211[[#This Row],[Title]])</calculatedColumnFormula>
    </tableColumn>
    <tableColumn id="7" uniqueName="7" name="Product Defect Density" queryTableFieldId="7" dataDxfId="14">
      <calculatedColumnFormula>Table_owssvr__211[[#This Row],[Total Number of Functional defects detected in the product]]/Table_owssvr__211[[#This Row],[Total Effort Expended in the project]]</calculatedColumnFormula>
    </tableColumn>
    <tableColumn id="8" uniqueName="8" name="USL" queryTableFieldId="8"/>
    <tableColumn id="9" uniqueName="9" name="LSL" queryTableFieldId="9"/>
  </tableColumns>
  <tableStyleInfo name="TableStyleMedium2" showFirstColumn="0" showLastColumn="0" showRowStripes="1" showColumnStripes="0"/>
</table>
</file>

<file path=xl/tables/table11.xml><?xml version="1.0" encoding="utf-8"?>
<table xmlns="http://schemas.openxmlformats.org/spreadsheetml/2006/main" id="11" name="Table_owssvr__212" displayName="Table_owssvr__212" ref="B2:K28" tableType="queryTable" totalsRowShown="0">
  <autoFilter ref="B2:K28"/>
  <tableColumns count="10">
    <tableColumn id="1" uniqueName="Title" name="Title" queryTableFieldId="1" dataDxfId="13"/>
    <tableColumn id="2" uniqueName="Project_x005f_x0020_Description" name="Project Description" queryTableFieldId="2" dataDxfId="12"/>
    <tableColumn id="3" uniqueName="FSObjType" name="Item Type" queryTableFieldId="4" dataDxfId="11"/>
    <tableColumn id="4" uniqueName="FileDirRef" name="Path" queryTableFieldId="3" dataDxfId="10"/>
    <tableColumn id="5" uniqueName="5" name="Total Number of Major NCs in the project" queryTableFieldId="7" dataDxfId="9">
      <calculatedColumnFormula>COUNTIFS(TblAdtNC[Project Code/ Process name],Table_owssvr__212[[#This Row],[Title]],TblAdtNC[Classification],"Major NC")</calculatedColumnFormula>
    </tableColumn>
    <tableColumn id="6" uniqueName="6" name="Total Number of Minor NCs in the project" queryTableFieldId="6" dataDxfId="8">
      <calculatedColumnFormula>COUNTIFS(TblAdtNC[Project Code/ Process name],Table_owssvr__212[[#This Row],[Title]],TblAdtNC[Classification],"Minor NC")</calculatedColumnFormula>
    </tableColumn>
    <tableColumn id="7" uniqueName="7" name="Total Effort Expended in the prroject" queryTableFieldId="5" dataDxfId="7">
      <calculatedColumnFormula>SUMIFS(TblTimeSheet[PersonHrs],TblTimeSheet[Project Code/Support Function],Table_owssvr__212[[#This Row],[Title]])</calculatedColumnFormula>
    </tableColumn>
    <tableColumn id="8" uniqueName="8" name="Project's Process Defect Density" queryTableFieldId="8" dataDxfId="6">
      <calculatedColumnFormula>(5*Table_owssvr__212[[#This Row],[Total Number of Major NCs in the project]]+1*Table_owssvr__212[[#This Row],[Total Number of Minor NCs in the project]])/Table_owssvr__212[[#This Row],[Total Effort Expended in the prroject]]</calculatedColumnFormula>
    </tableColumn>
    <tableColumn id="9" uniqueName="9" name="USL" queryTableFieldId="9" dataDxfId="5"/>
    <tableColumn id="10" uniqueName="10" name="LSL" queryTableFieldId="10"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5:D25"/>
  <sheetViews>
    <sheetView tabSelected="1" workbookViewId="0">
      <selection activeCell="F10" sqref="F10"/>
    </sheetView>
  </sheetViews>
  <sheetFormatPr defaultRowHeight="15" x14ac:dyDescent="0.25"/>
  <cols>
    <col min="1" max="1" width="2" bestFit="1" customWidth="1"/>
    <col min="3" max="3" width="18.28515625" customWidth="1"/>
  </cols>
  <sheetData>
    <row r="5" spans="1:4" ht="23.25" x14ac:dyDescent="0.35">
      <c r="B5" s="30" t="s">
        <v>101</v>
      </c>
    </row>
    <row r="7" spans="1:4" ht="23.25" x14ac:dyDescent="0.35">
      <c r="B7" s="30" t="s">
        <v>4595</v>
      </c>
    </row>
    <row r="8" spans="1:4" ht="23.25" x14ac:dyDescent="0.35">
      <c r="B8" s="30"/>
    </row>
    <row r="9" spans="1:4" ht="17.25" x14ac:dyDescent="0.3">
      <c r="B9" s="39"/>
      <c r="C9" s="39"/>
      <c r="D9" s="39"/>
    </row>
    <row r="10" spans="1:4" ht="15.75" thickBot="1" x14ac:dyDescent="0.3">
      <c r="A10" s="31"/>
      <c r="C10" s="11" t="s">
        <v>8</v>
      </c>
      <c r="D10" s="12" t="s">
        <v>917</v>
      </c>
    </row>
    <row r="11" spans="1:4" x14ac:dyDescent="0.25">
      <c r="A11" s="31"/>
    </row>
    <row r="13" spans="1:4" ht="15.75" thickBot="1" x14ac:dyDescent="0.3">
      <c r="C13" s="11" t="s">
        <v>2854</v>
      </c>
      <c r="D13">
        <f>SUMIFS(TblTimeSheet[Overlap],TblTimeSheet[Project Code/Support Function],Introduction!D10)</f>
        <v>23</v>
      </c>
    </row>
    <row r="14" spans="1:4" ht="15.75" thickBot="1" x14ac:dyDescent="0.3">
      <c r="C14" s="11" t="s">
        <v>2853</v>
      </c>
      <c r="D14">
        <f>SUMIFS(TblTimeSheet[negative],TblTimeSheet[Project Code/Support Function],Introduction!D10)</f>
        <v>0</v>
      </c>
    </row>
    <row r="17" spans="2:3" x14ac:dyDescent="0.25">
      <c r="C17" t="s">
        <v>2860</v>
      </c>
    </row>
    <row r="18" spans="2:3" x14ac:dyDescent="0.25">
      <c r="C18" t="s">
        <v>2855</v>
      </c>
    </row>
    <row r="19" spans="2:3" x14ac:dyDescent="0.25">
      <c r="C19" t="s">
        <v>2856</v>
      </c>
    </row>
    <row r="20" spans="2:3" x14ac:dyDescent="0.25">
      <c r="C20" t="s">
        <v>2857</v>
      </c>
    </row>
    <row r="21" spans="2:3" x14ac:dyDescent="0.25">
      <c r="C21" t="s">
        <v>2858</v>
      </c>
    </row>
    <row r="22" spans="2:3" x14ac:dyDescent="0.25">
      <c r="C22" t="s">
        <v>2859</v>
      </c>
    </row>
    <row r="24" spans="2:3" ht="18" thickBot="1" x14ac:dyDescent="0.35">
      <c r="B24" s="32"/>
    </row>
    <row r="25" spans="2:3" ht="15.75" thickTop="1" x14ac:dyDescent="0.25"/>
  </sheetData>
  <mergeCells count="1">
    <mergeCell ref="B9:D9"/>
  </mergeCells>
  <conditionalFormatting sqref="D13:D14">
    <cfRule type="cellIs" dxfId="3" priority="1" operator="equal">
      <formula>0</formula>
    </cfRule>
    <cfRule type="cellIs" dxfId="2" priority="2" operator="greaterThan">
      <formula>0</formula>
    </cfRule>
  </conditionalFormatting>
  <dataValidations count="1">
    <dataValidation type="list" allowBlank="1" showInputMessage="1" showErrorMessage="1" sqref="D10">
      <formula1>ProjectCodes</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D27"/>
  <sheetViews>
    <sheetView workbookViewId="0">
      <selection activeCell="B26" sqref="B26"/>
    </sheetView>
  </sheetViews>
  <sheetFormatPr defaultRowHeight="15" x14ac:dyDescent="0.25"/>
  <cols>
    <col min="1" max="1" width="16.28515625" bestFit="1" customWidth="1"/>
    <col min="2" max="2" width="81.140625" bestFit="1" customWidth="1"/>
    <col min="3" max="3" width="12.140625" bestFit="1" customWidth="1"/>
    <col min="4" max="4" width="22.42578125" bestFit="1" customWidth="1"/>
  </cols>
  <sheetData>
    <row r="1" spans="1:4" x14ac:dyDescent="0.25">
      <c r="A1" t="s">
        <v>0</v>
      </c>
      <c r="B1" t="s">
        <v>1</v>
      </c>
      <c r="C1" t="s">
        <v>3</v>
      </c>
      <c r="D1" t="s">
        <v>2</v>
      </c>
    </row>
    <row r="2" spans="1:4" x14ac:dyDescent="0.25">
      <c r="A2" s="1" t="s">
        <v>4</v>
      </c>
      <c r="B2" s="1" t="s">
        <v>102</v>
      </c>
      <c r="C2" s="1" t="s">
        <v>6</v>
      </c>
      <c r="D2" s="1" t="s">
        <v>5</v>
      </c>
    </row>
    <row r="3" spans="1:4" x14ac:dyDescent="0.25">
      <c r="A3" s="1" t="s">
        <v>7</v>
      </c>
      <c r="B3" s="1"/>
      <c r="C3" s="1" t="s">
        <v>6</v>
      </c>
      <c r="D3" s="1" t="s">
        <v>5</v>
      </c>
    </row>
    <row r="4" spans="1:4" x14ac:dyDescent="0.25">
      <c r="A4" s="1" t="s">
        <v>103</v>
      </c>
      <c r="B4" s="1" t="s">
        <v>104</v>
      </c>
      <c r="C4" s="1" t="s">
        <v>6</v>
      </c>
      <c r="D4" s="1" t="s">
        <v>5</v>
      </c>
    </row>
    <row r="5" spans="1:4" x14ac:dyDescent="0.25">
      <c r="A5" s="1" t="s">
        <v>105</v>
      </c>
      <c r="B5" s="1" t="s">
        <v>106</v>
      </c>
      <c r="C5" s="1" t="s">
        <v>6</v>
      </c>
      <c r="D5" s="1" t="s">
        <v>5</v>
      </c>
    </row>
    <row r="6" spans="1:4" x14ac:dyDescent="0.25">
      <c r="A6" s="1" t="s">
        <v>107</v>
      </c>
      <c r="B6" s="1" t="s">
        <v>107</v>
      </c>
      <c r="C6" s="1" t="s">
        <v>6</v>
      </c>
      <c r="D6" s="1" t="s">
        <v>5</v>
      </c>
    </row>
    <row r="7" spans="1:4" x14ac:dyDescent="0.25">
      <c r="A7" s="1" t="s">
        <v>108</v>
      </c>
      <c r="B7" s="1" t="s">
        <v>109</v>
      </c>
      <c r="C7" s="1" t="s">
        <v>6</v>
      </c>
      <c r="D7" s="1" t="s">
        <v>5</v>
      </c>
    </row>
    <row r="8" spans="1:4" x14ac:dyDescent="0.25">
      <c r="A8" s="1" t="s">
        <v>110</v>
      </c>
      <c r="B8" s="1" t="s">
        <v>111</v>
      </c>
      <c r="C8" s="1" t="s">
        <v>6</v>
      </c>
      <c r="D8" s="1" t="s">
        <v>5</v>
      </c>
    </row>
    <row r="9" spans="1:4" x14ac:dyDescent="0.25">
      <c r="A9" s="1" t="s">
        <v>112</v>
      </c>
      <c r="B9" s="1" t="s">
        <v>113</v>
      </c>
      <c r="C9" s="1" t="s">
        <v>6</v>
      </c>
      <c r="D9" s="1" t="s">
        <v>5</v>
      </c>
    </row>
    <row r="10" spans="1:4" x14ac:dyDescent="0.25">
      <c r="A10" s="1" t="s">
        <v>114</v>
      </c>
      <c r="B10" s="1" t="s">
        <v>115</v>
      </c>
      <c r="C10" s="1" t="s">
        <v>6</v>
      </c>
      <c r="D10" s="1" t="s">
        <v>5</v>
      </c>
    </row>
    <row r="11" spans="1:4" x14ac:dyDescent="0.25">
      <c r="A11" s="1" t="s">
        <v>581</v>
      </c>
      <c r="B11" s="1" t="s">
        <v>488</v>
      </c>
      <c r="C11" s="1" t="s">
        <v>6</v>
      </c>
      <c r="D11" s="1" t="s">
        <v>5</v>
      </c>
    </row>
    <row r="12" spans="1:4" x14ac:dyDescent="0.25">
      <c r="A12" s="1" t="s">
        <v>582</v>
      </c>
      <c r="B12" s="1" t="s">
        <v>583</v>
      </c>
      <c r="C12" s="1" t="s">
        <v>6</v>
      </c>
      <c r="D12" s="1" t="s">
        <v>5</v>
      </c>
    </row>
    <row r="13" spans="1:4" x14ac:dyDescent="0.25">
      <c r="A13" s="1" t="s">
        <v>697</v>
      </c>
      <c r="B13" s="1" t="s">
        <v>698</v>
      </c>
      <c r="C13" s="1" t="s">
        <v>6</v>
      </c>
      <c r="D13" s="1" t="s">
        <v>5</v>
      </c>
    </row>
    <row r="14" spans="1:4" x14ac:dyDescent="0.25">
      <c r="A14" s="1" t="s">
        <v>699</v>
      </c>
      <c r="B14" s="1" t="s">
        <v>700</v>
      </c>
      <c r="C14" s="1" t="s">
        <v>6</v>
      </c>
      <c r="D14" s="1" t="s">
        <v>5</v>
      </c>
    </row>
    <row r="15" spans="1:4" x14ac:dyDescent="0.25">
      <c r="A15" s="1" t="s">
        <v>909</v>
      </c>
      <c r="B15" s="1" t="s">
        <v>910</v>
      </c>
      <c r="C15" s="1" t="s">
        <v>6</v>
      </c>
      <c r="D15" s="1" t="s">
        <v>5</v>
      </c>
    </row>
    <row r="16" spans="1:4" x14ac:dyDescent="0.25">
      <c r="A16" s="1" t="s">
        <v>911</v>
      </c>
      <c r="B16" s="1" t="s">
        <v>912</v>
      </c>
      <c r="C16" s="1" t="s">
        <v>6</v>
      </c>
      <c r="D16" s="1" t="s">
        <v>5</v>
      </c>
    </row>
    <row r="17" spans="1:4" x14ac:dyDescent="0.25">
      <c r="A17" s="1" t="s">
        <v>913</v>
      </c>
      <c r="B17" s="1" t="s">
        <v>914</v>
      </c>
      <c r="C17" s="1" t="s">
        <v>6</v>
      </c>
      <c r="D17" s="1" t="s">
        <v>5</v>
      </c>
    </row>
    <row r="18" spans="1:4" x14ac:dyDescent="0.25">
      <c r="A18" s="1" t="s">
        <v>915</v>
      </c>
      <c r="B18" s="1" t="s">
        <v>916</v>
      </c>
      <c r="C18" s="1" t="s">
        <v>6</v>
      </c>
      <c r="D18" s="1" t="s">
        <v>5</v>
      </c>
    </row>
    <row r="19" spans="1:4" x14ac:dyDescent="0.25">
      <c r="A19" s="1" t="s">
        <v>917</v>
      </c>
      <c r="B19" s="1" t="s">
        <v>918</v>
      </c>
      <c r="C19" s="1" t="s">
        <v>6</v>
      </c>
      <c r="D19" s="1" t="s">
        <v>5</v>
      </c>
    </row>
    <row r="20" spans="1:4" x14ac:dyDescent="0.25">
      <c r="A20" s="1" t="s">
        <v>2870</v>
      </c>
      <c r="B20" s="1" t="s">
        <v>2871</v>
      </c>
      <c r="C20" s="1" t="s">
        <v>6</v>
      </c>
      <c r="D20" s="1" t="s">
        <v>5</v>
      </c>
    </row>
    <row r="21" spans="1:4" x14ac:dyDescent="0.25">
      <c r="A21" s="1" t="s">
        <v>2872</v>
      </c>
      <c r="B21" s="1" t="s">
        <v>2873</v>
      </c>
      <c r="C21" s="1" t="s">
        <v>6</v>
      </c>
      <c r="D21" s="1" t="s">
        <v>5</v>
      </c>
    </row>
    <row r="22" spans="1:4" x14ac:dyDescent="0.25">
      <c r="A22" s="1" t="s">
        <v>2874</v>
      </c>
      <c r="B22" s="1" t="s">
        <v>2875</v>
      </c>
      <c r="C22" s="1" t="s">
        <v>6</v>
      </c>
      <c r="D22" s="1" t="s">
        <v>5</v>
      </c>
    </row>
    <row r="23" spans="1:4" x14ac:dyDescent="0.25">
      <c r="A23" s="1" t="s">
        <v>2876</v>
      </c>
      <c r="B23" s="1" t="s">
        <v>2877</v>
      </c>
      <c r="C23" s="1" t="s">
        <v>6</v>
      </c>
      <c r="D23" s="1" t="s">
        <v>5</v>
      </c>
    </row>
    <row r="24" spans="1:4" x14ac:dyDescent="0.25">
      <c r="A24" s="1" t="s">
        <v>2878</v>
      </c>
      <c r="B24" s="1" t="s">
        <v>2879</v>
      </c>
      <c r="C24" s="1" t="s">
        <v>6</v>
      </c>
      <c r="D24" s="1" t="s">
        <v>5</v>
      </c>
    </row>
    <row r="25" spans="1:4" x14ac:dyDescent="0.25">
      <c r="A25" s="1" t="s">
        <v>2880</v>
      </c>
      <c r="B25" s="1" t="s">
        <v>2881</v>
      </c>
      <c r="C25" s="1" t="s">
        <v>6</v>
      </c>
      <c r="D25" s="1" t="s">
        <v>5</v>
      </c>
    </row>
    <row r="26" spans="1:4" x14ac:dyDescent="0.25">
      <c r="A26" s="1" t="s">
        <v>2882</v>
      </c>
      <c r="B26" s="1" t="s">
        <v>2883</v>
      </c>
      <c r="C26" s="1" t="s">
        <v>6</v>
      </c>
      <c r="D26" s="1" t="s">
        <v>5</v>
      </c>
    </row>
    <row r="27" spans="1:4" x14ac:dyDescent="0.25">
      <c r="A27" s="1" t="s">
        <v>2884</v>
      </c>
      <c r="B27" s="1" t="s">
        <v>2885</v>
      </c>
      <c r="C27" s="1" t="s">
        <v>6</v>
      </c>
      <c r="D27" s="1" t="s">
        <v>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N2909"/>
  <sheetViews>
    <sheetView topLeftCell="F1" zoomScaleNormal="100" workbookViewId="0">
      <selection activeCell="M15" sqref="M15"/>
    </sheetView>
  </sheetViews>
  <sheetFormatPr defaultRowHeight="15" x14ac:dyDescent="0.25"/>
  <cols>
    <col min="1" max="1" width="16.28515625" bestFit="1" customWidth="1"/>
    <col min="2" max="2" width="31.140625" bestFit="1" customWidth="1"/>
    <col min="3" max="3" width="22.7109375" bestFit="1" customWidth="1"/>
    <col min="4" max="4" width="30.140625" bestFit="1" customWidth="1"/>
    <col min="5" max="5" width="81.140625" bestFit="1" customWidth="1"/>
    <col min="6" max="6" width="20.85546875" bestFit="1" customWidth="1"/>
    <col min="7" max="7" width="20" bestFit="1" customWidth="1"/>
    <col min="8" max="8" width="12.140625" bestFit="1" customWidth="1"/>
    <col min="9" max="9" width="20.85546875" bestFit="1" customWidth="1"/>
    <col min="10" max="10" width="11.5703125" bestFit="1" customWidth="1"/>
    <col min="11" max="11" width="18.140625" bestFit="1" customWidth="1"/>
    <col min="12" max="12" width="12.28515625" bestFit="1" customWidth="1"/>
    <col min="13" max="13" width="10.28515625" bestFit="1" customWidth="1"/>
    <col min="14" max="14" width="11" bestFit="1" customWidth="1"/>
  </cols>
  <sheetData>
    <row r="1" spans="1:14" x14ac:dyDescent="0.25">
      <c r="A1" t="s">
        <v>0</v>
      </c>
      <c r="B1" t="s">
        <v>2886</v>
      </c>
      <c r="C1" t="s">
        <v>9</v>
      </c>
      <c r="D1" t="s">
        <v>2887</v>
      </c>
      <c r="E1" t="s">
        <v>11</v>
      </c>
      <c r="F1" t="s">
        <v>12</v>
      </c>
      <c r="G1" t="s">
        <v>13</v>
      </c>
      <c r="H1" t="s">
        <v>3</v>
      </c>
      <c r="I1" t="s">
        <v>2</v>
      </c>
      <c r="J1" t="s">
        <v>2861</v>
      </c>
      <c r="K1" t="s">
        <v>2862</v>
      </c>
      <c r="L1" t="s">
        <v>53</v>
      </c>
      <c r="M1" t="s">
        <v>2851</v>
      </c>
      <c r="N1" t="s">
        <v>2852</v>
      </c>
    </row>
    <row r="2" spans="1:14" x14ac:dyDescent="0.25">
      <c r="A2" s="1"/>
      <c r="B2" s="2" t="s">
        <v>4</v>
      </c>
      <c r="C2" s="2" t="s">
        <v>36</v>
      </c>
      <c r="D2" s="2" t="s">
        <v>19</v>
      </c>
      <c r="E2" s="7" t="s">
        <v>37</v>
      </c>
      <c r="F2" s="3">
        <v>42190.458333333336</v>
      </c>
      <c r="G2" s="3">
        <v>42190.75</v>
      </c>
      <c r="H2" s="1" t="s">
        <v>6</v>
      </c>
      <c r="I2" s="1" t="s">
        <v>38</v>
      </c>
      <c r="J2" s="1">
        <v>42195.523449074077</v>
      </c>
      <c r="K2" s="1" t="s">
        <v>39</v>
      </c>
      <c r="L2">
        <f>24*(TblTimeSheet[[#This Row],[End Date and Time]]-TblTimeSheet[[#This Row],[Start Date and Time]])</f>
        <v>6.9999999999417923</v>
      </c>
      <c r="M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
        <f>--(0&gt;(TblTimeSheet[[#This Row],[End Date and Time]]-TblTimeSheet[[#This Row],[Start Date and Time]]))</f>
        <v>0</v>
      </c>
    </row>
    <row r="3" spans="1:14" x14ac:dyDescent="0.25">
      <c r="A3" s="1"/>
      <c r="B3" s="2" t="s">
        <v>4</v>
      </c>
      <c r="C3" s="2" t="s">
        <v>41</v>
      </c>
      <c r="D3" s="2" t="s">
        <v>20</v>
      </c>
      <c r="E3" s="7" t="s">
        <v>40</v>
      </c>
      <c r="F3" s="3">
        <v>42196.375</v>
      </c>
      <c r="G3" s="3">
        <v>42196.5</v>
      </c>
      <c r="H3" s="1" t="s">
        <v>6</v>
      </c>
      <c r="I3" s="1" t="s">
        <v>38</v>
      </c>
      <c r="J3" s="1">
        <v>42195.526608796295</v>
      </c>
      <c r="K3" s="1" t="s">
        <v>39</v>
      </c>
      <c r="L3">
        <f>24*(TblTimeSheet[[#This Row],[End Date and Time]]-TblTimeSheet[[#This Row],[Start Date and Time]])</f>
        <v>3</v>
      </c>
      <c r="M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
        <f>--(0&gt;(TblTimeSheet[[#This Row],[End Date and Time]]-TblTimeSheet[[#This Row],[Start Date and Time]]))</f>
        <v>0</v>
      </c>
    </row>
    <row r="4" spans="1:14" x14ac:dyDescent="0.25">
      <c r="A4" s="1"/>
      <c r="B4" s="2" t="s">
        <v>4</v>
      </c>
      <c r="C4" s="2" t="s">
        <v>42</v>
      </c>
      <c r="D4" s="2" t="s">
        <v>20</v>
      </c>
      <c r="E4" s="7" t="s">
        <v>40</v>
      </c>
      <c r="F4" s="3">
        <v>42200.625</v>
      </c>
      <c r="G4" s="3">
        <v>42200.708333333336</v>
      </c>
      <c r="H4" s="1" t="s">
        <v>6</v>
      </c>
      <c r="I4" s="1" t="s">
        <v>38</v>
      </c>
      <c r="J4" s="1">
        <v>42195.552743055552</v>
      </c>
      <c r="K4" s="1" t="s">
        <v>39</v>
      </c>
      <c r="L4">
        <f>24*(TblTimeSheet[[#This Row],[End Date and Time]]-TblTimeSheet[[#This Row],[Start Date and Time]])</f>
        <v>2.0000000000582077</v>
      </c>
      <c r="M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
        <f>--(0&gt;(TblTimeSheet[[#This Row],[End Date and Time]]-TblTimeSheet[[#This Row],[Start Date and Time]]))</f>
        <v>0</v>
      </c>
    </row>
    <row r="5" spans="1:14" x14ac:dyDescent="0.25">
      <c r="A5" s="1"/>
      <c r="B5" s="2" t="s">
        <v>4</v>
      </c>
      <c r="C5" s="2" t="s">
        <v>36</v>
      </c>
      <c r="D5" s="2" t="s">
        <v>20</v>
      </c>
      <c r="E5" s="7" t="s">
        <v>40</v>
      </c>
      <c r="F5" s="3">
        <v>42213.375</v>
      </c>
      <c r="G5" s="3">
        <v>42213.666666666664</v>
      </c>
      <c r="H5" s="1" t="s">
        <v>6</v>
      </c>
      <c r="I5" s="1" t="s">
        <v>38</v>
      </c>
      <c r="J5" s="1">
        <v>42195.553344907406</v>
      </c>
      <c r="K5" s="1" t="s">
        <v>39</v>
      </c>
      <c r="L5">
        <f>24*(TblTimeSheet[[#This Row],[End Date and Time]]-TblTimeSheet[[#This Row],[Start Date and Time]])</f>
        <v>6.9999999999417923</v>
      </c>
      <c r="M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
        <f>--(0&gt;(TblTimeSheet[[#This Row],[End Date and Time]]-TblTimeSheet[[#This Row],[Start Date and Time]]))</f>
        <v>0</v>
      </c>
    </row>
    <row r="6" spans="1:14" x14ac:dyDescent="0.25">
      <c r="A6" s="1"/>
      <c r="B6" s="2" t="s">
        <v>4</v>
      </c>
      <c r="C6" s="2" t="s">
        <v>41</v>
      </c>
      <c r="D6" s="2" t="s">
        <v>32</v>
      </c>
      <c r="E6" s="7" t="s">
        <v>40</v>
      </c>
      <c r="F6" s="3">
        <v>42213.375</v>
      </c>
      <c r="G6" s="3">
        <v>42213.75</v>
      </c>
      <c r="H6" s="1" t="s">
        <v>6</v>
      </c>
      <c r="I6" s="1" t="s">
        <v>38</v>
      </c>
      <c r="J6" s="1">
        <v>42195.529074074075</v>
      </c>
      <c r="K6" s="1" t="s">
        <v>39</v>
      </c>
      <c r="L6">
        <f>24*(TblTimeSheet[[#This Row],[End Date and Time]]-TblTimeSheet[[#This Row],[Start Date and Time]])</f>
        <v>9</v>
      </c>
      <c r="M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
        <f>--(0&gt;(TblTimeSheet[[#This Row],[End Date and Time]]-TblTimeSheet[[#This Row],[Start Date and Time]]))</f>
        <v>0</v>
      </c>
    </row>
    <row r="7" spans="1:14" x14ac:dyDescent="0.25">
      <c r="A7" s="1"/>
      <c r="B7" s="2" t="s">
        <v>4</v>
      </c>
      <c r="C7" s="2" t="s">
        <v>41</v>
      </c>
      <c r="D7" s="2" t="s">
        <v>32</v>
      </c>
      <c r="E7" s="7" t="s">
        <v>40</v>
      </c>
      <c r="F7" s="3">
        <v>42244.375</v>
      </c>
      <c r="G7" s="3">
        <v>42244.541666666664</v>
      </c>
      <c r="H7" s="1" t="s">
        <v>6</v>
      </c>
      <c r="I7" s="1" t="s">
        <v>38</v>
      </c>
      <c r="J7" s="1">
        <v>42195.529675925929</v>
      </c>
      <c r="K7" s="1" t="s">
        <v>39</v>
      </c>
      <c r="L7">
        <f>24*(TblTimeSheet[[#This Row],[End Date and Time]]-TblTimeSheet[[#This Row],[Start Date and Time]])</f>
        <v>3.9999999999417923</v>
      </c>
      <c r="M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
        <f>--(0&gt;(TblTimeSheet[[#This Row],[End Date and Time]]-TblTimeSheet[[#This Row],[Start Date and Time]]))</f>
        <v>0</v>
      </c>
    </row>
    <row r="8" spans="1:14" x14ac:dyDescent="0.25">
      <c r="A8" s="1"/>
      <c r="B8" s="2" t="s">
        <v>4</v>
      </c>
      <c r="C8" s="2" t="s">
        <v>43</v>
      </c>
      <c r="D8" s="2" t="s">
        <v>33</v>
      </c>
      <c r="E8" s="7" t="s">
        <v>40</v>
      </c>
      <c r="F8" s="3">
        <v>42249.5</v>
      </c>
      <c r="G8" s="3">
        <v>42249.666666666664</v>
      </c>
      <c r="H8" s="1" t="s">
        <v>6</v>
      </c>
      <c r="I8" s="1" t="s">
        <v>38</v>
      </c>
      <c r="J8" s="1">
        <v>42195.530891203707</v>
      </c>
      <c r="K8" s="1" t="s">
        <v>39</v>
      </c>
      <c r="L8">
        <f>24*(TblTimeSheet[[#This Row],[End Date and Time]]-TblTimeSheet[[#This Row],[Start Date and Time]])</f>
        <v>3.9999999999417923</v>
      </c>
      <c r="M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
        <f>--(0&gt;(TblTimeSheet[[#This Row],[End Date and Time]]-TblTimeSheet[[#This Row],[Start Date and Time]]))</f>
        <v>0</v>
      </c>
    </row>
    <row r="9" spans="1:14" x14ac:dyDescent="0.25">
      <c r="A9" s="1"/>
      <c r="B9" s="2" t="s">
        <v>4</v>
      </c>
      <c r="C9" s="2" t="s">
        <v>42</v>
      </c>
      <c r="D9" s="2" t="s">
        <v>34</v>
      </c>
      <c r="E9" s="7" t="s">
        <v>40</v>
      </c>
      <c r="F9" s="3">
        <v>42249.375</v>
      </c>
      <c r="G9" s="3">
        <v>42249.708333333336</v>
      </c>
      <c r="H9" s="1" t="s">
        <v>6</v>
      </c>
      <c r="I9" s="1" t="s">
        <v>38</v>
      </c>
      <c r="J9" s="1">
        <v>42195.531493055554</v>
      </c>
      <c r="K9" s="1" t="s">
        <v>39</v>
      </c>
      <c r="L9">
        <f>24*(TblTimeSheet[[#This Row],[End Date and Time]]-TblTimeSheet[[#This Row],[Start Date and Time]])</f>
        <v>8.0000000000582077</v>
      </c>
      <c r="M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
        <f>--(0&gt;(TblTimeSheet[[#This Row],[End Date and Time]]-TblTimeSheet[[#This Row],[Start Date and Time]]))</f>
        <v>0</v>
      </c>
    </row>
    <row r="10" spans="1:14" x14ac:dyDescent="0.25">
      <c r="A10" s="1"/>
      <c r="B10" s="2" t="s">
        <v>4</v>
      </c>
      <c r="C10" s="2" t="s">
        <v>42</v>
      </c>
      <c r="D10" s="2" t="s">
        <v>34</v>
      </c>
      <c r="E10" s="7" t="s">
        <v>40</v>
      </c>
      <c r="F10" s="3">
        <v>42262.625</v>
      </c>
      <c r="G10" s="3">
        <v>42262.75</v>
      </c>
      <c r="H10" s="1" t="s">
        <v>6</v>
      </c>
      <c r="I10" s="1" t="s">
        <v>38</v>
      </c>
      <c r="J10" s="1">
        <v>42195.531863425924</v>
      </c>
      <c r="K10" s="1" t="s">
        <v>39</v>
      </c>
      <c r="L10">
        <f>24*(TblTimeSheet[[#This Row],[End Date and Time]]-TblTimeSheet[[#This Row],[Start Date and Time]])</f>
        <v>3</v>
      </c>
      <c r="M1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
        <f>--(0&gt;(TblTimeSheet[[#This Row],[End Date and Time]]-TblTimeSheet[[#This Row],[Start Date and Time]]))</f>
        <v>0</v>
      </c>
    </row>
    <row r="11" spans="1:14" x14ac:dyDescent="0.25">
      <c r="A11" s="1"/>
      <c r="B11" s="2" t="s">
        <v>4</v>
      </c>
      <c r="C11" s="2" t="s">
        <v>41</v>
      </c>
      <c r="D11" s="2" t="s">
        <v>35</v>
      </c>
      <c r="E11" s="7" t="s">
        <v>44</v>
      </c>
      <c r="F11" s="3">
        <v>42263.375</v>
      </c>
      <c r="G11" s="3">
        <v>42263.708333333336</v>
      </c>
      <c r="H11" s="1" t="s">
        <v>6</v>
      </c>
      <c r="I11" s="1" t="s">
        <v>38</v>
      </c>
      <c r="J11" s="1">
        <v>42195.532453703701</v>
      </c>
      <c r="K11" s="1" t="s">
        <v>39</v>
      </c>
      <c r="L11">
        <f>24*(TblTimeSheet[[#This Row],[End Date and Time]]-TblTimeSheet[[#This Row],[Start Date and Time]])</f>
        <v>8.0000000000582077</v>
      </c>
      <c r="M1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
        <f>--(0&gt;(TblTimeSheet[[#This Row],[End Date and Time]]-TblTimeSheet[[#This Row],[Start Date and Time]]))</f>
        <v>0</v>
      </c>
    </row>
    <row r="12" spans="1:14" x14ac:dyDescent="0.25">
      <c r="A12" s="1"/>
      <c r="B12" s="2" t="s">
        <v>7</v>
      </c>
      <c r="C12" s="2" t="s">
        <v>36</v>
      </c>
      <c r="D12" s="2" t="s">
        <v>19</v>
      </c>
      <c r="E12" s="7" t="s">
        <v>45</v>
      </c>
      <c r="F12" s="3">
        <v>42212.458333333336</v>
      </c>
      <c r="G12" s="3">
        <v>42212.583333333336</v>
      </c>
      <c r="H12" s="1" t="s">
        <v>6</v>
      </c>
      <c r="I12" s="1" t="s">
        <v>38</v>
      </c>
      <c r="J12" s="1">
        <v>42195.629791666666</v>
      </c>
      <c r="K12" s="1" t="s">
        <v>39</v>
      </c>
      <c r="L12">
        <f>24*(TblTimeSheet[[#This Row],[End Date and Time]]-TblTimeSheet[[#This Row],[Start Date and Time]])</f>
        <v>3</v>
      </c>
      <c r="M1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
        <f>--(0&gt;(TblTimeSheet[[#This Row],[End Date and Time]]-TblTimeSheet[[#This Row],[Start Date and Time]]))</f>
        <v>0</v>
      </c>
    </row>
    <row r="13" spans="1:14" x14ac:dyDescent="0.25">
      <c r="A13" s="1"/>
      <c r="B13" s="2" t="s">
        <v>7</v>
      </c>
      <c r="C13" s="2" t="s">
        <v>36</v>
      </c>
      <c r="D13" s="2" t="s">
        <v>19</v>
      </c>
      <c r="E13" s="7" t="s">
        <v>45</v>
      </c>
      <c r="F13" s="3">
        <v>42214.5</v>
      </c>
      <c r="G13" s="3">
        <v>42214.708333333336</v>
      </c>
      <c r="H13" s="1" t="s">
        <v>6</v>
      </c>
      <c r="I13" s="1" t="s">
        <v>38</v>
      </c>
      <c r="J13" s="1">
        <v>42195.625243055554</v>
      </c>
      <c r="K13" s="1" t="s">
        <v>39</v>
      </c>
      <c r="L13">
        <f>24*(TblTimeSheet[[#This Row],[End Date and Time]]-TblTimeSheet[[#This Row],[Start Date and Time]])</f>
        <v>5.0000000000582077</v>
      </c>
      <c r="M1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
        <f>--(0&gt;(TblTimeSheet[[#This Row],[End Date and Time]]-TblTimeSheet[[#This Row],[Start Date and Time]]))</f>
        <v>0</v>
      </c>
    </row>
    <row r="14" spans="1:14" x14ac:dyDescent="0.25">
      <c r="A14" s="1"/>
      <c r="B14" s="2" t="s">
        <v>7</v>
      </c>
      <c r="C14" s="2" t="s">
        <v>41</v>
      </c>
      <c r="D14" s="2" t="s">
        <v>20</v>
      </c>
      <c r="E14" s="7" t="s">
        <v>45</v>
      </c>
      <c r="F14" s="3">
        <v>42222.416666666664</v>
      </c>
      <c r="G14" s="3">
        <v>42222.666666666664</v>
      </c>
      <c r="H14" s="1" t="s">
        <v>6</v>
      </c>
      <c r="I14" s="1" t="s">
        <v>38</v>
      </c>
      <c r="J14" s="1">
        <v>42195.630590277775</v>
      </c>
      <c r="K14" s="1" t="s">
        <v>39</v>
      </c>
      <c r="L14">
        <f>24*(TblTimeSheet[[#This Row],[End Date and Time]]-TblTimeSheet[[#This Row],[Start Date and Time]])</f>
        <v>6</v>
      </c>
      <c r="M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
        <f>--(0&gt;(TblTimeSheet[[#This Row],[End Date and Time]]-TblTimeSheet[[#This Row],[Start Date and Time]]))</f>
        <v>0</v>
      </c>
    </row>
    <row r="15" spans="1:14" x14ac:dyDescent="0.25">
      <c r="A15" s="1"/>
      <c r="B15" s="2" t="s">
        <v>7</v>
      </c>
      <c r="C15" s="2" t="s">
        <v>41</v>
      </c>
      <c r="D15" s="2" t="s">
        <v>32</v>
      </c>
      <c r="E15" s="7" t="s">
        <v>89</v>
      </c>
      <c r="F15" s="3">
        <v>42195.635416666664</v>
      </c>
      <c r="G15" s="3">
        <v>42195.666666666664</v>
      </c>
      <c r="H15" s="1" t="s">
        <v>6</v>
      </c>
      <c r="I15" s="1" t="s">
        <v>38</v>
      </c>
      <c r="J15" s="1">
        <v>42195.659386574072</v>
      </c>
      <c r="K15" s="1" t="s">
        <v>39</v>
      </c>
      <c r="L15" s="14">
        <f>24*(TblTimeSheet[[#This Row],[End Date and Time]]-TblTimeSheet[[#This Row],[Start Date and Time]])</f>
        <v>0.75</v>
      </c>
      <c r="M1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
        <f>--(0&gt;(TblTimeSheet[[#This Row],[End Date and Time]]-TblTimeSheet[[#This Row],[Start Date and Time]]))</f>
        <v>0</v>
      </c>
    </row>
    <row r="16" spans="1:14" x14ac:dyDescent="0.25">
      <c r="A16" s="1"/>
      <c r="B16" s="2" t="s">
        <v>108</v>
      </c>
      <c r="C16" s="2" t="s">
        <v>36</v>
      </c>
      <c r="D16" s="2" t="s">
        <v>19</v>
      </c>
      <c r="E16" s="7" t="s">
        <v>117</v>
      </c>
      <c r="F16" s="3">
        <v>42228.670138888891</v>
      </c>
      <c r="G16" s="3">
        <v>42228.6875</v>
      </c>
      <c r="H16" s="1" t="s">
        <v>6</v>
      </c>
      <c r="I16" s="1" t="s">
        <v>38</v>
      </c>
      <c r="J16" s="1">
        <v>42228.689386574071</v>
      </c>
      <c r="K16" s="1" t="s">
        <v>36</v>
      </c>
      <c r="L16" s="14">
        <f>24*(TblTimeSheet[[#This Row],[End Date and Time]]-TblTimeSheet[[#This Row],[Start Date and Time]])</f>
        <v>0.41666666662786156</v>
      </c>
      <c r="M1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
        <f>--(0&gt;(TblTimeSheet[[#This Row],[End Date and Time]]-TblTimeSheet[[#This Row],[Start Date and Time]]))</f>
        <v>0</v>
      </c>
    </row>
    <row r="17" spans="1:14" x14ac:dyDescent="0.25">
      <c r="A17" s="1"/>
      <c r="B17" s="2" t="s">
        <v>108</v>
      </c>
      <c r="C17" s="2" t="s">
        <v>118</v>
      </c>
      <c r="D17" s="2" t="s">
        <v>19</v>
      </c>
      <c r="E17" s="7" t="s">
        <v>119</v>
      </c>
      <c r="F17" s="3">
        <v>42228.670138888891</v>
      </c>
      <c r="G17" s="3">
        <v>42228.6875</v>
      </c>
      <c r="H17" s="1" t="s">
        <v>6</v>
      </c>
      <c r="I17" s="1" t="s">
        <v>38</v>
      </c>
      <c r="J17" s="1">
        <v>42228.690196759257</v>
      </c>
      <c r="K17" s="1" t="s">
        <v>118</v>
      </c>
      <c r="L17" s="14">
        <f>24*(TblTimeSheet[[#This Row],[End Date and Time]]-TblTimeSheet[[#This Row],[Start Date and Time]])</f>
        <v>0.41666666662786156</v>
      </c>
      <c r="M1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
        <f>--(0&gt;(TblTimeSheet[[#This Row],[End Date and Time]]-TblTimeSheet[[#This Row],[Start Date and Time]]))</f>
        <v>0</v>
      </c>
    </row>
    <row r="18" spans="1:14" ht="30" x14ac:dyDescent="0.25">
      <c r="A18" s="1"/>
      <c r="B18" s="2" t="s">
        <v>108</v>
      </c>
      <c r="C18" s="2" t="s">
        <v>116</v>
      </c>
      <c r="D18" s="2" t="s">
        <v>19</v>
      </c>
      <c r="E18" s="7" t="s">
        <v>120</v>
      </c>
      <c r="F18" s="3">
        <v>42228.670138888891</v>
      </c>
      <c r="G18" s="3">
        <v>42228.6875</v>
      </c>
      <c r="H18" s="1" t="s">
        <v>6</v>
      </c>
      <c r="I18" s="1" t="s">
        <v>38</v>
      </c>
      <c r="J18" s="1">
        <v>42228.691851851851</v>
      </c>
      <c r="K18" s="1" t="s">
        <v>39</v>
      </c>
      <c r="L18" s="14">
        <f>24*(TblTimeSheet[[#This Row],[End Date and Time]]-TblTimeSheet[[#This Row],[Start Date and Time]])</f>
        <v>0.41666666662786156</v>
      </c>
      <c r="M1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
        <f>--(0&gt;(TblTimeSheet[[#This Row],[End Date and Time]]-TblTimeSheet[[#This Row],[Start Date and Time]]))</f>
        <v>0</v>
      </c>
    </row>
    <row r="19" spans="1:14" ht="45" x14ac:dyDescent="0.25">
      <c r="A19" s="1"/>
      <c r="B19" s="2" t="s">
        <v>108</v>
      </c>
      <c r="C19" s="2" t="s">
        <v>116</v>
      </c>
      <c r="D19" s="2" t="s">
        <v>19</v>
      </c>
      <c r="E19" s="7" t="s">
        <v>191</v>
      </c>
      <c r="F19" s="3">
        <v>42228.670138888891</v>
      </c>
      <c r="G19" s="3">
        <v>42228.708333333336</v>
      </c>
      <c r="H19" s="1" t="s">
        <v>6</v>
      </c>
      <c r="I19" s="1" t="s">
        <v>38</v>
      </c>
      <c r="J19" s="1">
        <v>42234.549618055556</v>
      </c>
      <c r="K19" s="1" t="s">
        <v>701</v>
      </c>
      <c r="L19" s="14">
        <f>24*(TblTimeSheet[[#This Row],[End Date and Time]]-TblTimeSheet[[#This Row],[Start Date and Time]])</f>
        <v>0.91666666668606922</v>
      </c>
      <c r="M1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
        <f>--(0&gt;(TblTimeSheet[[#This Row],[End Date and Time]]-TblTimeSheet[[#This Row],[Start Date and Time]]))</f>
        <v>0</v>
      </c>
    </row>
    <row r="20" spans="1:14" ht="30" x14ac:dyDescent="0.25">
      <c r="A20" s="1"/>
      <c r="B20" s="2" t="s">
        <v>108</v>
      </c>
      <c r="C20" s="2" t="s">
        <v>41</v>
      </c>
      <c r="D20" s="2" t="s">
        <v>19</v>
      </c>
      <c r="E20" s="7" t="s">
        <v>192</v>
      </c>
      <c r="F20" s="3">
        <v>42228.670138888891</v>
      </c>
      <c r="G20" s="3">
        <v>42228.6875</v>
      </c>
      <c r="H20" s="1" t="s">
        <v>6</v>
      </c>
      <c r="I20" s="1" t="s">
        <v>38</v>
      </c>
      <c r="J20" s="1">
        <v>42228.717835648145</v>
      </c>
      <c r="K20" s="1" t="s">
        <v>41</v>
      </c>
      <c r="L20" s="14">
        <f>24*(TblTimeSheet[[#This Row],[End Date and Time]]-TblTimeSheet[[#This Row],[Start Date and Time]])</f>
        <v>0.41666666662786156</v>
      </c>
      <c r="M2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
        <f>--(0&gt;(TblTimeSheet[[#This Row],[End Date and Time]]-TblTimeSheet[[#This Row],[Start Date and Time]]))</f>
        <v>0</v>
      </c>
    </row>
    <row r="21" spans="1:14" x14ac:dyDescent="0.25">
      <c r="A21" s="1"/>
      <c r="B21" s="2" t="s">
        <v>108</v>
      </c>
      <c r="C21" s="2" t="s">
        <v>116</v>
      </c>
      <c r="D21" s="2" t="s">
        <v>19</v>
      </c>
      <c r="E21" s="7" t="s">
        <v>193</v>
      </c>
      <c r="F21" s="3">
        <v>42228.739583333336</v>
      </c>
      <c r="G21" s="3">
        <v>42228.75</v>
      </c>
      <c r="H21" s="1" t="s">
        <v>6</v>
      </c>
      <c r="I21" s="1" t="s">
        <v>38</v>
      </c>
      <c r="J21" s="1">
        <v>42228.747303240743</v>
      </c>
      <c r="K21" s="1" t="s">
        <v>39</v>
      </c>
      <c r="L21" s="14">
        <f>24*(TblTimeSheet[[#This Row],[End Date and Time]]-TblTimeSheet[[#This Row],[Start Date and Time]])</f>
        <v>0.24999999994179234</v>
      </c>
      <c r="M2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
        <f>--(0&gt;(TblTimeSheet[[#This Row],[End Date and Time]]-TblTimeSheet[[#This Row],[Start Date and Time]]))</f>
        <v>0</v>
      </c>
    </row>
    <row r="22" spans="1:14" x14ac:dyDescent="0.25">
      <c r="A22" s="1"/>
      <c r="B22" s="2" t="s">
        <v>108</v>
      </c>
      <c r="C22" s="2" t="s">
        <v>118</v>
      </c>
      <c r="D22" s="2" t="s">
        <v>19</v>
      </c>
      <c r="E22" s="7" t="s">
        <v>121</v>
      </c>
      <c r="F22" s="3">
        <v>42229.420138888891</v>
      </c>
      <c r="G22" s="3">
        <v>42229.503472222219</v>
      </c>
      <c r="H22" s="1" t="s">
        <v>6</v>
      </c>
      <c r="I22" s="1" t="s">
        <v>38</v>
      </c>
      <c r="J22" s="1">
        <v>42229.511967592596</v>
      </c>
      <c r="K22" s="1" t="s">
        <v>118</v>
      </c>
      <c r="L22" s="14">
        <f>24*(TblTimeSheet[[#This Row],[End Date and Time]]-TblTimeSheet[[#This Row],[Start Date and Time]])</f>
        <v>1.9999999998835847</v>
      </c>
      <c r="M2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
        <f>--(0&gt;(TblTimeSheet[[#This Row],[End Date and Time]]-TblTimeSheet[[#This Row],[Start Date and Time]]))</f>
        <v>0</v>
      </c>
    </row>
    <row r="23" spans="1:14" ht="30" x14ac:dyDescent="0.25">
      <c r="A23" s="1"/>
      <c r="B23" s="2" t="s">
        <v>108</v>
      </c>
      <c r="C23" s="2" t="s">
        <v>116</v>
      </c>
      <c r="D23" s="2" t="s">
        <v>19</v>
      </c>
      <c r="E23" s="7" t="s">
        <v>122</v>
      </c>
      <c r="F23" s="3">
        <v>42229.420138888891</v>
      </c>
      <c r="G23" s="3">
        <v>42229.503472222219</v>
      </c>
      <c r="H23" s="1" t="s">
        <v>6</v>
      </c>
      <c r="I23" s="1" t="s">
        <v>38</v>
      </c>
      <c r="J23" s="1">
        <v>42229.542824074073</v>
      </c>
      <c r="K23" s="1" t="s">
        <v>39</v>
      </c>
      <c r="L23" s="14">
        <f>24*(TblTimeSheet[[#This Row],[End Date and Time]]-TblTimeSheet[[#This Row],[Start Date and Time]])</f>
        <v>1.9999999998835847</v>
      </c>
      <c r="M2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
        <f>--(0&gt;(TblTimeSheet[[#This Row],[End Date and Time]]-TblTimeSheet[[#This Row],[Start Date and Time]]))</f>
        <v>0</v>
      </c>
    </row>
    <row r="24" spans="1:14" x14ac:dyDescent="0.25">
      <c r="A24" s="1"/>
      <c r="B24" s="2" t="s">
        <v>108</v>
      </c>
      <c r="C24" s="2" t="s">
        <v>41</v>
      </c>
      <c r="D24" s="2" t="s">
        <v>19</v>
      </c>
      <c r="E24" s="7" t="s">
        <v>123</v>
      </c>
      <c r="F24" s="3">
        <v>42229.420138888891</v>
      </c>
      <c r="G24" s="3">
        <v>42229.503472222219</v>
      </c>
      <c r="H24" s="1" t="s">
        <v>6</v>
      </c>
      <c r="I24" s="1" t="s">
        <v>38</v>
      </c>
      <c r="J24" s="1">
        <v>42229.605034722219</v>
      </c>
      <c r="K24" s="1" t="s">
        <v>41</v>
      </c>
      <c r="L24" s="14">
        <f>24*(TblTimeSheet[[#This Row],[End Date and Time]]-TblTimeSheet[[#This Row],[Start Date and Time]])</f>
        <v>1.9999999998835847</v>
      </c>
      <c r="M2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
        <f>--(0&gt;(TblTimeSheet[[#This Row],[End Date and Time]]-TblTimeSheet[[#This Row],[Start Date and Time]]))</f>
        <v>0</v>
      </c>
    </row>
    <row r="25" spans="1:14" x14ac:dyDescent="0.25">
      <c r="A25" s="1"/>
      <c r="B25" s="2" t="s">
        <v>110</v>
      </c>
      <c r="C25" s="2" t="s">
        <v>124</v>
      </c>
      <c r="D25" s="2" t="s">
        <v>19</v>
      </c>
      <c r="E25" s="7" t="s">
        <v>125</v>
      </c>
      <c r="F25" s="3">
        <v>42229.645833333336</v>
      </c>
      <c r="G25" s="3">
        <v>42229.666666666664</v>
      </c>
      <c r="H25" s="1" t="s">
        <v>6</v>
      </c>
      <c r="I25" s="1" t="s">
        <v>38</v>
      </c>
      <c r="J25" s="1">
        <v>42229.673020833332</v>
      </c>
      <c r="K25" s="1" t="s">
        <v>2863</v>
      </c>
      <c r="L25" s="14">
        <f>24*(TblTimeSheet[[#This Row],[End Date and Time]]-TblTimeSheet[[#This Row],[Start Date and Time]])</f>
        <v>0.49999999988358468</v>
      </c>
      <c r="M2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
        <f>--(0&gt;(TblTimeSheet[[#This Row],[End Date and Time]]-TblTimeSheet[[#This Row],[Start Date and Time]]))</f>
        <v>0</v>
      </c>
    </row>
    <row r="26" spans="1:14" x14ac:dyDescent="0.25">
      <c r="A26" s="1"/>
      <c r="B26" s="2" t="s">
        <v>110</v>
      </c>
      <c r="C26" s="2" t="s">
        <v>118</v>
      </c>
      <c r="D26" s="2" t="s">
        <v>19</v>
      </c>
      <c r="E26" s="7" t="s">
        <v>126</v>
      </c>
      <c r="F26" s="3">
        <v>42229.645833333336</v>
      </c>
      <c r="G26" s="3">
        <v>42229.666666666664</v>
      </c>
      <c r="H26" s="1" t="s">
        <v>6</v>
      </c>
      <c r="I26" s="1" t="s">
        <v>38</v>
      </c>
      <c r="J26" s="1">
        <v>42229.673819444448</v>
      </c>
      <c r="K26" s="1" t="s">
        <v>118</v>
      </c>
      <c r="L26" s="14">
        <f>24*(TblTimeSheet[[#This Row],[End Date and Time]]-TblTimeSheet[[#This Row],[Start Date and Time]])</f>
        <v>0.49999999988358468</v>
      </c>
      <c r="M2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
        <f>--(0&gt;(TblTimeSheet[[#This Row],[End Date and Time]]-TblTimeSheet[[#This Row],[Start Date and Time]]))</f>
        <v>0</v>
      </c>
    </row>
    <row r="27" spans="1:14" x14ac:dyDescent="0.25">
      <c r="A27" s="1"/>
      <c r="B27" s="2" t="s">
        <v>108</v>
      </c>
      <c r="C27" s="2" t="s">
        <v>116</v>
      </c>
      <c r="D27" s="2" t="s">
        <v>19</v>
      </c>
      <c r="E27" s="7" t="s">
        <v>194</v>
      </c>
      <c r="F27" s="3">
        <v>42229.604166666664</v>
      </c>
      <c r="G27" s="3">
        <v>42229.645833333336</v>
      </c>
      <c r="H27" s="1" t="s">
        <v>6</v>
      </c>
      <c r="I27" s="1" t="s">
        <v>38</v>
      </c>
      <c r="J27" s="1">
        <v>42229.690312500003</v>
      </c>
      <c r="K27" s="1" t="s">
        <v>701</v>
      </c>
      <c r="L27" s="14">
        <f>24*(TblTimeSheet[[#This Row],[End Date and Time]]-TblTimeSheet[[#This Row],[Start Date and Time]])</f>
        <v>1.0000000001164153</v>
      </c>
      <c r="M2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
        <f>--(0&gt;(TblTimeSheet[[#This Row],[End Date and Time]]-TblTimeSheet[[#This Row],[Start Date and Time]]))</f>
        <v>0</v>
      </c>
    </row>
    <row r="28" spans="1:14" x14ac:dyDescent="0.25">
      <c r="A28" s="1"/>
      <c r="B28" s="2" t="s">
        <v>110</v>
      </c>
      <c r="C28" s="2" t="s">
        <v>116</v>
      </c>
      <c r="D28" s="2" t="s">
        <v>19</v>
      </c>
      <c r="E28" s="7" t="s">
        <v>195</v>
      </c>
      <c r="F28" s="3">
        <v>42229.645833333336</v>
      </c>
      <c r="G28" s="3">
        <v>42229.666666666664</v>
      </c>
      <c r="H28" s="1" t="s">
        <v>6</v>
      </c>
      <c r="I28" s="1" t="s">
        <v>38</v>
      </c>
      <c r="J28" s="1">
        <v>42229.691238425927</v>
      </c>
      <c r="K28" s="1" t="s">
        <v>701</v>
      </c>
      <c r="L28" s="14">
        <f>24*(TblTimeSheet[[#This Row],[End Date and Time]]-TblTimeSheet[[#This Row],[Start Date and Time]])</f>
        <v>0.49999999988358468</v>
      </c>
      <c r="M2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
        <f>--(0&gt;(TblTimeSheet[[#This Row],[End Date and Time]]-TblTimeSheet[[#This Row],[Start Date and Time]]))</f>
        <v>0</v>
      </c>
    </row>
    <row r="29" spans="1:14" x14ac:dyDescent="0.25">
      <c r="A29" s="1"/>
      <c r="B29" s="2" t="s">
        <v>110</v>
      </c>
      <c r="C29" s="2" t="s">
        <v>41</v>
      </c>
      <c r="D29" s="2" t="s">
        <v>19</v>
      </c>
      <c r="E29" s="7" t="s">
        <v>127</v>
      </c>
      <c r="F29" s="3">
        <v>42229.645833333336</v>
      </c>
      <c r="G29" s="3">
        <v>42229.694444444445</v>
      </c>
      <c r="H29" s="1" t="s">
        <v>6</v>
      </c>
      <c r="I29" s="1" t="s">
        <v>38</v>
      </c>
      <c r="J29" s="1">
        <v>42229.695023148146</v>
      </c>
      <c r="K29" s="1" t="s">
        <v>41</v>
      </c>
      <c r="L29" s="14">
        <f>24*(TblTimeSheet[[#This Row],[End Date and Time]]-TblTimeSheet[[#This Row],[Start Date and Time]])</f>
        <v>1.1666666666278616</v>
      </c>
      <c r="M2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
        <f>--(0&gt;(TblTimeSheet[[#This Row],[End Date and Time]]-TblTimeSheet[[#This Row],[Start Date and Time]]))</f>
        <v>0</v>
      </c>
    </row>
    <row r="30" spans="1:14" x14ac:dyDescent="0.25">
      <c r="A30" s="1"/>
      <c r="B30" s="2" t="s">
        <v>110</v>
      </c>
      <c r="C30" s="2" t="s">
        <v>116</v>
      </c>
      <c r="D30" s="2" t="s">
        <v>19</v>
      </c>
      <c r="E30" s="7" t="s">
        <v>128</v>
      </c>
      <c r="F30" s="3">
        <v>42229.645833333336</v>
      </c>
      <c r="G30" s="3">
        <v>42229.666666666664</v>
      </c>
      <c r="H30" s="1" t="s">
        <v>6</v>
      </c>
      <c r="I30" s="1" t="s">
        <v>38</v>
      </c>
      <c r="J30" s="1">
        <v>42229.72583333333</v>
      </c>
      <c r="K30" s="1" t="s">
        <v>39</v>
      </c>
      <c r="L30" s="14">
        <f>24*(TblTimeSheet[[#This Row],[End Date and Time]]-TblTimeSheet[[#This Row],[Start Date and Time]])</f>
        <v>0.49999999988358468</v>
      </c>
      <c r="M3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0">
        <f>--(0&gt;(TblTimeSheet[[#This Row],[End Date and Time]]-TblTimeSheet[[#This Row],[Start Date and Time]]))</f>
        <v>0</v>
      </c>
    </row>
    <row r="31" spans="1:14" x14ac:dyDescent="0.25">
      <c r="A31" s="1"/>
      <c r="B31" s="2" t="s">
        <v>110</v>
      </c>
      <c r="C31" s="2" t="s">
        <v>116</v>
      </c>
      <c r="D31" s="2" t="s">
        <v>19</v>
      </c>
      <c r="E31" s="7" t="s">
        <v>129</v>
      </c>
      <c r="F31" s="3">
        <v>42229.697916666664</v>
      </c>
      <c r="G31" s="3">
        <v>42229.708333333336</v>
      </c>
      <c r="H31" s="1" t="s">
        <v>6</v>
      </c>
      <c r="I31" s="1" t="s">
        <v>38</v>
      </c>
      <c r="J31" s="1">
        <v>42229.726979166669</v>
      </c>
      <c r="K31" s="1" t="s">
        <v>39</v>
      </c>
      <c r="L31" s="14">
        <f>24*(TblTimeSheet[[#This Row],[End Date and Time]]-TblTimeSheet[[#This Row],[Start Date and Time]])</f>
        <v>0.25000000011641532</v>
      </c>
      <c r="M3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
        <f>--(0&gt;(TblTimeSheet[[#This Row],[End Date and Time]]-TblTimeSheet[[#This Row],[Start Date and Time]]))</f>
        <v>0</v>
      </c>
    </row>
    <row r="32" spans="1:14" x14ac:dyDescent="0.25">
      <c r="A32" s="1"/>
      <c r="B32" s="2" t="s">
        <v>108</v>
      </c>
      <c r="C32" s="2" t="s">
        <v>41</v>
      </c>
      <c r="D32" s="2" t="s">
        <v>19</v>
      </c>
      <c r="E32" s="7" t="s">
        <v>130</v>
      </c>
      <c r="F32" s="3">
        <v>42229.604166666664</v>
      </c>
      <c r="G32" s="3">
        <v>42229.625</v>
      </c>
      <c r="H32" s="1" t="s">
        <v>6</v>
      </c>
      <c r="I32" s="1" t="s">
        <v>38</v>
      </c>
      <c r="J32" s="1">
        <v>42230.393923611111</v>
      </c>
      <c r="K32" s="1" t="s">
        <v>41</v>
      </c>
      <c r="L32" s="14">
        <f>24*(TblTimeSheet[[#This Row],[End Date and Time]]-TblTimeSheet[[#This Row],[Start Date and Time]])</f>
        <v>0.50000000005820766</v>
      </c>
      <c r="M3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
        <f>--(0&gt;(TblTimeSheet[[#This Row],[End Date and Time]]-TblTimeSheet[[#This Row],[Start Date and Time]]))</f>
        <v>0</v>
      </c>
    </row>
    <row r="33" spans="1:14" x14ac:dyDescent="0.25">
      <c r="A33" s="1"/>
      <c r="B33" s="2" t="s">
        <v>108</v>
      </c>
      <c r="C33" s="2" t="s">
        <v>116</v>
      </c>
      <c r="D33" s="2" t="s">
        <v>19</v>
      </c>
      <c r="E33" s="7" t="s">
        <v>131</v>
      </c>
      <c r="F33" s="3">
        <v>42228.458333333336</v>
      </c>
      <c r="G33" s="3">
        <v>42228.479166666664</v>
      </c>
      <c r="H33" s="1" t="s">
        <v>6</v>
      </c>
      <c r="I33" s="1" t="s">
        <v>38</v>
      </c>
      <c r="J33" s="1">
        <v>42230.493773148148</v>
      </c>
      <c r="K33" s="1" t="s">
        <v>701</v>
      </c>
      <c r="L33" s="14">
        <f>24*(TblTimeSheet[[#This Row],[End Date and Time]]-TblTimeSheet[[#This Row],[Start Date and Time]])</f>
        <v>0.49999999988358468</v>
      </c>
      <c r="M3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
        <f>--(0&gt;(TblTimeSheet[[#This Row],[End Date and Time]]-TblTimeSheet[[#This Row],[Start Date and Time]]))</f>
        <v>0</v>
      </c>
    </row>
    <row r="34" spans="1:14" x14ac:dyDescent="0.25">
      <c r="A34" s="1"/>
      <c r="B34" s="2" t="s">
        <v>108</v>
      </c>
      <c r="C34" s="2" t="s">
        <v>41</v>
      </c>
      <c r="D34" s="2" t="s">
        <v>19</v>
      </c>
      <c r="E34" s="7" t="s">
        <v>132</v>
      </c>
      <c r="F34" s="3">
        <v>42230.625</v>
      </c>
      <c r="G34" s="3">
        <v>42230.659722222219</v>
      </c>
      <c r="H34" s="1" t="s">
        <v>6</v>
      </c>
      <c r="I34" s="1" t="s">
        <v>38</v>
      </c>
      <c r="J34" s="1">
        <v>42230.661736111113</v>
      </c>
      <c r="K34" s="1" t="s">
        <v>41</v>
      </c>
      <c r="L34" s="14">
        <f>24*(TblTimeSheet[[#This Row],[End Date and Time]]-TblTimeSheet[[#This Row],[Start Date and Time]])</f>
        <v>0.83333333325572312</v>
      </c>
      <c r="M3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
        <f>--(0&gt;(TblTimeSheet[[#This Row],[End Date and Time]]-TblTimeSheet[[#This Row],[Start Date and Time]]))</f>
        <v>0</v>
      </c>
    </row>
    <row r="35" spans="1:14" x14ac:dyDescent="0.25">
      <c r="A35" s="1"/>
      <c r="B35" s="2" t="s">
        <v>108</v>
      </c>
      <c r="C35" s="2" t="s">
        <v>116</v>
      </c>
      <c r="D35" s="2" t="s">
        <v>19</v>
      </c>
      <c r="E35" s="7" t="s">
        <v>133</v>
      </c>
      <c r="F35" s="3">
        <v>42230.663194444445</v>
      </c>
      <c r="G35" s="3">
        <v>42230.673611111109</v>
      </c>
      <c r="H35" s="1" t="s">
        <v>6</v>
      </c>
      <c r="I35" s="1" t="s">
        <v>38</v>
      </c>
      <c r="J35" s="1">
        <v>42230.688784722224</v>
      </c>
      <c r="K35" s="1" t="s">
        <v>701</v>
      </c>
      <c r="L35" s="14">
        <f>24*(TblTimeSheet[[#This Row],[End Date and Time]]-TblTimeSheet[[#This Row],[Start Date and Time]])</f>
        <v>0.24999999994179234</v>
      </c>
      <c r="M3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
        <f>--(0&gt;(TblTimeSheet[[#This Row],[End Date and Time]]-TblTimeSheet[[#This Row],[Start Date and Time]]))</f>
        <v>0</v>
      </c>
    </row>
    <row r="36" spans="1:14" x14ac:dyDescent="0.25">
      <c r="A36" s="1"/>
      <c r="B36" s="2" t="s">
        <v>108</v>
      </c>
      <c r="C36" s="2" t="s">
        <v>41</v>
      </c>
      <c r="D36" s="2" t="s">
        <v>19</v>
      </c>
      <c r="E36" s="7" t="s">
        <v>134</v>
      </c>
      <c r="F36" s="3">
        <v>42230.663194444445</v>
      </c>
      <c r="G36" s="3">
        <v>42230.673611111109</v>
      </c>
      <c r="H36" s="1" t="s">
        <v>6</v>
      </c>
      <c r="I36" s="1" t="s">
        <v>38</v>
      </c>
      <c r="J36" s="1">
        <v>42230.695810185185</v>
      </c>
      <c r="K36" s="1" t="s">
        <v>41</v>
      </c>
      <c r="L36" s="14">
        <f>24*(TblTimeSheet[[#This Row],[End Date and Time]]-TblTimeSheet[[#This Row],[Start Date and Time]])</f>
        <v>0.24999999994179234</v>
      </c>
      <c r="M3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6">
        <f>--(0&gt;(TblTimeSheet[[#This Row],[End Date and Time]]-TblTimeSheet[[#This Row],[Start Date and Time]]))</f>
        <v>0</v>
      </c>
    </row>
    <row r="37" spans="1:14" x14ac:dyDescent="0.25">
      <c r="A37" s="1"/>
      <c r="B37" s="2" t="s">
        <v>110</v>
      </c>
      <c r="C37" s="2" t="s">
        <v>42</v>
      </c>
      <c r="D37" s="2" t="s">
        <v>19</v>
      </c>
      <c r="E37" s="7" t="s">
        <v>135</v>
      </c>
      <c r="F37" s="3">
        <v>42229.645833333336</v>
      </c>
      <c r="G37" s="3">
        <v>42229.666666666664</v>
      </c>
      <c r="H37" s="1" t="s">
        <v>6</v>
      </c>
      <c r="I37" s="1" t="s">
        <v>38</v>
      </c>
      <c r="J37" s="1">
        <v>42233.622476851851</v>
      </c>
      <c r="K37" s="1" t="s">
        <v>42</v>
      </c>
      <c r="L37" s="14">
        <f>24*(TblTimeSheet[[#This Row],[End Date and Time]]-TblTimeSheet[[#This Row],[Start Date and Time]])</f>
        <v>0.49999999988358468</v>
      </c>
      <c r="M3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
        <f>--(0&gt;(TblTimeSheet[[#This Row],[End Date and Time]]-TblTimeSheet[[#This Row],[Start Date and Time]]))</f>
        <v>0</v>
      </c>
    </row>
    <row r="38" spans="1:14" x14ac:dyDescent="0.25">
      <c r="A38" s="1"/>
      <c r="B38" s="2" t="s">
        <v>108</v>
      </c>
      <c r="C38" s="2" t="s">
        <v>41</v>
      </c>
      <c r="D38" s="2" t="s">
        <v>19</v>
      </c>
      <c r="E38" s="7" t="s">
        <v>136</v>
      </c>
      <c r="F38" s="3">
        <v>42229.381944444445</v>
      </c>
      <c r="G38" s="3">
        <v>42229.416666666664</v>
      </c>
      <c r="H38" s="1" t="s">
        <v>6</v>
      </c>
      <c r="I38" s="1" t="s">
        <v>38</v>
      </c>
      <c r="J38" s="1">
        <v>42233.604861111111</v>
      </c>
      <c r="K38" s="1" t="s">
        <v>41</v>
      </c>
      <c r="L38" s="14">
        <f>24*(TblTimeSheet[[#This Row],[End Date and Time]]-TblTimeSheet[[#This Row],[Start Date and Time]])</f>
        <v>0.83333333325572312</v>
      </c>
      <c r="M3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
        <f>--(0&gt;(TblTimeSheet[[#This Row],[End Date and Time]]-TblTimeSheet[[#This Row],[Start Date and Time]]))</f>
        <v>0</v>
      </c>
    </row>
    <row r="39" spans="1:14" x14ac:dyDescent="0.25">
      <c r="A39" s="1"/>
      <c r="B39" s="2" t="s">
        <v>110</v>
      </c>
      <c r="C39" s="2" t="s">
        <v>116</v>
      </c>
      <c r="D39" s="2" t="s">
        <v>19</v>
      </c>
      <c r="E39" s="7" t="s">
        <v>137</v>
      </c>
      <c r="F39" s="3">
        <v>42233.5</v>
      </c>
      <c r="G39" s="3">
        <v>42233.5625</v>
      </c>
      <c r="H39" s="1" t="s">
        <v>6</v>
      </c>
      <c r="I39" s="1" t="s">
        <v>38</v>
      </c>
      <c r="J39" s="1">
        <v>42233.611666666664</v>
      </c>
      <c r="K39" s="1" t="s">
        <v>701</v>
      </c>
      <c r="L39" s="14">
        <f>24*(TblTimeSheet[[#This Row],[End Date and Time]]-TblTimeSheet[[#This Row],[Start Date and Time]])</f>
        <v>1.5</v>
      </c>
      <c r="M3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
        <f>--(0&gt;(TblTimeSheet[[#This Row],[End Date and Time]]-TblTimeSheet[[#This Row],[Start Date and Time]]))</f>
        <v>0</v>
      </c>
    </row>
    <row r="40" spans="1:14" x14ac:dyDescent="0.25">
      <c r="A40" s="1"/>
      <c r="B40" s="2" t="s">
        <v>110</v>
      </c>
      <c r="C40" s="2" t="s">
        <v>118</v>
      </c>
      <c r="D40" s="2" t="s">
        <v>19</v>
      </c>
      <c r="E40" s="7" t="s">
        <v>138</v>
      </c>
      <c r="F40" s="3">
        <v>42233.5</v>
      </c>
      <c r="G40" s="3">
        <v>42233.5625</v>
      </c>
      <c r="H40" s="1" t="s">
        <v>6</v>
      </c>
      <c r="I40" s="1" t="s">
        <v>38</v>
      </c>
      <c r="J40" s="1">
        <v>42233.616446759261</v>
      </c>
      <c r="K40" s="1" t="s">
        <v>118</v>
      </c>
      <c r="L40" s="14">
        <f>24*(TblTimeSheet[[#This Row],[End Date and Time]]-TblTimeSheet[[#This Row],[Start Date and Time]])</f>
        <v>1.5</v>
      </c>
      <c r="M4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
        <f>--(0&gt;(TblTimeSheet[[#This Row],[End Date and Time]]-TblTimeSheet[[#This Row],[Start Date and Time]]))</f>
        <v>0</v>
      </c>
    </row>
    <row r="41" spans="1:14" x14ac:dyDescent="0.25">
      <c r="A41" s="1"/>
      <c r="B41" s="2" t="s">
        <v>110</v>
      </c>
      <c r="C41" s="2" t="s">
        <v>124</v>
      </c>
      <c r="D41" s="2" t="s">
        <v>19</v>
      </c>
      <c r="E41" s="7" t="s">
        <v>139</v>
      </c>
      <c r="F41" s="3">
        <v>42233.5</v>
      </c>
      <c r="G41" s="3">
        <v>42233.5625</v>
      </c>
      <c r="H41" s="1" t="s">
        <v>6</v>
      </c>
      <c r="I41" s="1" t="s">
        <v>38</v>
      </c>
      <c r="J41" s="1">
        <v>42233.62226851852</v>
      </c>
      <c r="K41" s="1" t="s">
        <v>2863</v>
      </c>
      <c r="L41" s="14">
        <f>24*(TblTimeSheet[[#This Row],[End Date and Time]]-TblTimeSheet[[#This Row],[Start Date and Time]])</f>
        <v>1.5</v>
      </c>
      <c r="M4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
        <f>--(0&gt;(TblTimeSheet[[#This Row],[End Date and Time]]-TblTimeSheet[[#This Row],[Start Date and Time]]))</f>
        <v>0</v>
      </c>
    </row>
    <row r="42" spans="1:14" x14ac:dyDescent="0.25">
      <c r="A42" s="1"/>
      <c r="B42" s="2" t="s">
        <v>108</v>
      </c>
      <c r="C42" s="2" t="s">
        <v>116</v>
      </c>
      <c r="D42" s="2" t="s">
        <v>19</v>
      </c>
      <c r="E42" s="7" t="s">
        <v>140</v>
      </c>
      <c r="F42" s="3">
        <v>42233.697916666664</v>
      </c>
      <c r="G42" s="3">
        <v>42233.71875</v>
      </c>
      <c r="H42" s="1" t="s">
        <v>6</v>
      </c>
      <c r="I42" s="1" t="s">
        <v>38</v>
      </c>
      <c r="J42" s="1">
        <v>42233.759398148148</v>
      </c>
      <c r="K42" s="1" t="s">
        <v>701</v>
      </c>
      <c r="L42" s="14">
        <f>24*(TblTimeSheet[[#This Row],[End Date and Time]]-TblTimeSheet[[#This Row],[Start Date and Time]])</f>
        <v>0.50000000005820766</v>
      </c>
      <c r="M4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
        <f>--(0&gt;(TblTimeSheet[[#This Row],[End Date and Time]]-TblTimeSheet[[#This Row],[Start Date and Time]]))</f>
        <v>0</v>
      </c>
    </row>
    <row r="43" spans="1:14" x14ac:dyDescent="0.25">
      <c r="A43" s="1"/>
      <c r="B43" s="2" t="s">
        <v>108</v>
      </c>
      <c r="C43" s="2" t="s">
        <v>116</v>
      </c>
      <c r="D43" s="2" t="s">
        <v>19</v>
      </c>
      <c r="E43" s="7" t="s">
        <v>141</v>
      </c>
      <c r="F43" s="3">
        <v>42233.71875</v>
      </c>
      <c r="G43" s="3">
        <v>42233.770833333336</v>
      </c>
      <c r="H43" s="1" t="s">
        <v>6</v>
      </c>
      <c r="I43" s="1" t="s">
        <v>38</v>
      </c>
      <c r="J43" s="1">
        <v>42233.771886574075</v>
      </c>
      <c r="K43" s="1" t="s">
        <v>701</v>
      </c>
      <c r="L43" s="14">
        <f>24*(TblTimeSheet[[#This Row],[End Date and Time]]-TblTimeSheet[[#This Row],[Start Date and Time]])</f>
        <v>1.2500000000582077</v>
      </c>
      <c r="M4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
        <f>--(0&gt;(TblTimeSheet[[#This Row],[End Date and Time]]-TblTimeSheet[[#This Row],[Start Date and Time]]))</f>
        <v>0</v>
      </c>
    </row>
    <row r="44" spans="1:14" x14ac:dyDescent="0.25">
      <c r="A44" s="1"/>
      <c r="B44" s="2" t="s">
        <v>108</v>
      </c>
      <c r="C44" s="2" t="s">
        <v>36</v>
      </c>
      <c r="D44" s="2" t="s">
        <v>19</v>
      </c>
      <c r="E44" s="7" t="s">
        <v>142</v>
      </c>
      <c r="F44" s="3">
        <v>42233.697916666664</v>
      </c>
      <c r="G44" s="3">
        <v>42233.71875</v>
      </c>
      <c r="H44" s="1" t="s">
        <v>6</v>
      </c>
      <c r="I44" s="1" t="s">
        <v>38</v>
      </c>
      <c r="J44" s="1">
        <v>42233.774895833332</v>
      </c>
      <c r="K44" s="1" t="s">
        <v>36</v>
      </c>
      <c r="L44" s="14">
        <f>24*(TblTimeSheet[[#This Row],[End Date and Time]]-TblTimeSheet[[#This Row],[Start Date and Time]])</f>
        <v>0.50000000005820766</v>
      </c>
      <c r="M4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
        <f>--(0&gt;(TblTimeSheet[[#This Row],[End Date and Time]]-TblTimeSheet[[#This Row],[Start Date and Time]]))</f>
        <v>0</v>
      </c>
    </row>
    <row r="45" spans="1:14" x14ac:dyDescent="0.25">
      <c r="A45" s="1"/>
      <c r="B45" s="2" t="s">
        <v>108</v>
      </c>
      <c r="C45" s="2" t="s">
        <v>116</v>
      </c>
      <c r="D45" s="2" t="s">
        <v>19</v>
      </c>
      <c r="E45" s="7" t="s">
        <v>145</v>
      </c>
      <c r="F45" s="3">
        <v>42234.545138888891</v>
      </c>
      <c r="G45" s="3">
        <v>42234.555555555555</v>
      </c>
      <c r="H45" s="1" t="s">
        <v>6</v>
      </c>
      <c r="I45" s="1" t="s">
        <v>38</v>
      </c>
      <c r="J45" s="1">
        <v>42234.556122685186</v>
      </c>
      <c r="K45" s="1" t="s">
        <v>701</v>
      </c>
      <c r="L45" s="14">
        <f>24*(TblTimeSheet[[#This Row],[End Date and Time]]-TblTimeSheet[[#This Row],[Start Date and Time]])</f>
        <v>0.24999999994179234</v>
      </c>
      <c r="M4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
        <f>--(0&gt;(TblTimeSheet[[#This Row],[End Date and Time]]-TblTimeSheet[[#This Row],[Start Date and Time]]))</f>
        <v>0</v>
      </c>
    </row>
    <row r="46" spans="1:14" x14ac:dyDescent="0.25">
      <c r="A46" s="1"/>
      <c r="B46" s="2" t="s">
        <v>108</v>
      </c>
      <c r="C46" s="2" t="s">
        <v>42</v>
      </c>
      <c r="D46" s="2" t="s">
        <v>19</v>
      </c>
      <c r="E46" s="7" t="s">
        <v>146</v>
      </c>
      <c r="F46" s="3">
        <v>42234.427083333336</v>
      </c>
      <c r="G46" s="3">
        <v>42234.461805555555</v>
      </c>
      <c r="H46" s="1" t="s">
        <v>6</v>
      </c>
      <c r="I46" s="1" t="s">
        <v>38</v>
      </c>
      <c r="J46" s="1">
        <v>42234.586956018517</v>
      </c>
      <c r="K46" s="1" t="s">
        <v>42</v>
      </c>
      <c r="L46" s="14">
        <f>24*(TblTimeSheet[[#This Row],[End Date and Time]]-TblTimeSheet[[#This Row],[Start Date and Time]])</f>
        <v>0.83333333325572312</v>
      </c>
      <c r="M4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
        <f>--(0&gt;(TblTimeSheet[[#This Row],[End Date and Time]]-TblTimeSheet[[#This Row],[Start Date and Time]]))</f>
        <v>0</v>
      </c>
    </row>
    <row r="47" spans="1:14" x14ac:dyDescent="0.25">
      <c r="A47" s="1"/>
      <c r="B47" s="2" t="s">
        <v>108</v>
      </c>
      <c r="C47" s="2" t="s">
        <v>42</v>
      </c>
      <c r="D47" s="2" t="s">
        <v>19</v>
      </c>
      <c r="E47" s="7" t="s">
        <v>146</v>
      </c>
      <c r="F47" s="3">
        <v>42234.482638888891</v>
      </c>
      <c r="G47" s="3">
        <v>42234.541666666664</v>
      </c>
      <c r="H47" s="1" t="s">
        <v>6</v>
      </c>
      <c r="I47" s="1" t="s">
        <v>38</v>
      </c>
      <c r="J47" s="1">
        <v>42234.587187500001</v>
      </c>
      <c r="K47" s="1" t="s">
        <v>42</v>
      </c>
      <c r="L47" s="14">
        <f>24*(TblTimeSheet[[#This Row],[End Date and Time]]-TblTimeSheet[[#This Row],[Start Date and Time]])</f>
        <v>1.4166666665696539</v>
      </c>
      <c r="M4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
        <f>--(0&gt;(TblTimeSheet[[#This Row],[End Date and Time]]-TblTimeSheet[[#This Row],[Start Date and Time]]))</f>
        <v>0</v>
      </c>
    </row>
    <row r="48" spans="1:14" x14ac:dyDescent="0.25">
      <c r="A48" s="1"/>
      <c r="B48" s="2" t="s">
        <v>108</v>
      </c>
      <c r="C48" s="2" t="s">
        <v>116</v>
      </c>
      <c r="D48" s="2" t="s">
        <v>19</v>
      </c>
      <c r="E48" s="7" t="s">
        <v>147</v>
      </c>
      <c r="F48" s="3">
        <v>42234.427083333336</v>
      </c>
      <c r="G48" s="3">
        <v>42234.461805555555</v>
      </c>
      <c r="H48" s="1" t="s">
        <v>6</v>
      </c>
      <c r="I48" s="1" t="s">
        <v>38</v>
      </c>
      <c r="J48" s="1">
        <v>42234.60224537037</v>
      </c>
      <c r="K48" s="1" t="s">
        <v>701</v>
      </c>
      <c r="L48" s="14">
        <f>24*(TblTimeSheet[[#This Row],[End Date and Time]]-TblTimeSheet[[#This Row],[Start Date and Time]])</f>
        <v>0.83333333325572312</v>
      </c>
      <c r="M4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
        <f>--(0&gt;(TblTimeSheet[[#This Row],[End Date and Time]]-TblTimeSheet[[#This Row],[Start Date and Time]]))</f>
        <v>0</v>
      </c>
    </row>
    <row r="49" spans="1:14" x14ac:dyDescent="0.25">
      <c r="A49" s="1"/>
      <c r="B49" s="2" t="s">
        <v>108</v>
      </c>
      <c r="C49" s="2" t="s">
        <v>116</v>
      </c>
      <c r="D49" s="2" t="s">
        <v>19</v>
      </c>
      <c r="E49" s="7" t="s">
        <v>147</v>
      </c>
      <c r="F49" s="3">
        <v>42234.482638888891</v>
      </c>
      <c r="G49" s="3">
        <v>42234.541666666664</v>
      </c>
      <c r="H49" s="1" t="s">
        <v>6</v>
      </c>
      <c r="I49" s="1" t="s">
        <v>38</v>
      </c>
      <c r="J49" s="1">
        <v>42234.602986111109</v>
      </c>
      <c r="K49" s="1" t="s">
        <v>701</v>
      </c>
      <c r="L49" s="14">
        <f>24*(TblTimeSheet[[#This Row],[End Date and Time]]-TblTimeSheet[[#This Row],[Start Date and Time]])</f>
        <v>1.4166666665696539</v>
      </c>
      <c r="M4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
        <f>--(0&gt;(TblTimeSheet[[#This Row],[End Date and Time]]-TblTimeSheet[[#This Row],[Start Date and Time]]))</f>
        <v>0</v>
      </c>
    </row>
    <row r="50" spans="1:14" x14ac:dyDescent="0.25">
      <c r="A50" s="1"/>
      <c r="B50" s="2" t="s">
        <v>108</v>
      </c>
      <c r="C50" s="2" t="s">
        <v>116</v>
      </c>
      <c r="D50" s="2" t="s">
        <v>19</v>
      </c>
      <c r="E50" s="7" t="s">
        <v>196</v>
      </c>
      <c r="F50" s="3">
        <v>42234.597222222219</v>
      </c>
      <c r="G50" s="3">
        <v>42234.604166666664</v>
      </c>
      <c r="H50" s="1" t="s">
        <v>6</v>
      </c>
      <c r="I50" s="1" t="s">
        <v>38</v>
      </c>
      <c r="J50" s="1">
        <v>42234.629756944443</v>
      </c>
      <c r="K50" s="1" t="s">
        <v>701</v>
      </c>
      <c r="L50" s="14">
        <f>24*(TblTimeSheet[[#This Row],[End Date and Time]]-TblTimeSheet[[#This Row],[Start Date and Time]])</f>
        <v>0.16666666668606922</v>
      </c>
      <c r="M5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
        <f>--(0&gt;(TblTimeSheet[[#This Row],[End Date and Time]]-TblTimeSheet[[#This Row],[Start Date and Time]]))</f>
        <v>0</v>
      </c>
    </row>
    <row r="51" spans="1:14" x14ac:dyDescent="0.25">
      <c r="A51" s="1"/>
      <c r="B51" s="2" t="s">
        <v>108</v>
      </c>
      <c r="C51" s="2" t="s">
        <v>116</v>
      </c>
      <c r="D51" s="2" t="s">
        <v>19</v>
      </c>
      <c r="E51" s="7" t="s">
        <v>148</v>
      </c>
      <c r="F51" s="3">
        <v>42234.618055555555</v>
      </c>
      <c r="G51" s="3">
        <v>42234.628472222219</v>
      </c>
      <c r="H51" s="1" t="s">
        <v>6</v>
      </c>
      <c r="I51" s="1" t="s">
        <v>38</v>
      </c>
      <c r="J51" s="1">
        <v>42234.630532407406</v>
      </c>
      <c r="K51" s="1" t="s">
        <v>701</v>
      </c>
      <c r="L51" s="14">
        <f>24*(TblTimeSheet[[#This Row],[End Date and Time]]-TblTimeSheet[[#This Row],[Start Date and Time]])</f>
        <v>0.24999999994179234</v>
      </c>
      <c r="M5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
        <f>--(0&gt;(TblTimeSheet[[#This Row],[End Date and Time]]-TblTimeSheet[[#This Row],[Start Date and Time]]))</f>
        <v>0</v>
      </c>
    </row>
    <row r="52" spans="1:14" ht="30" x14ac:dyDescent="0.25">
      <c r="A52" s="1"/>
      <c r="B52" s="2" t="s">
        <v>110</v>
      </c>
      <c r="C52" s="2" t="s">
        <v>118</v>
      </c>
      <c r="D52" s="2" t="s">
        <v>19</v>
      </c>
      <c r="E52" s="7" t="s">
        <v>197</v>
      </c>
      <c r="F52" s="3">
        <v>42234.697916666664</v>
      </c>
      <c r="G52" s="3">
        <v>42234.729166666664</v>
      </c>
      <c r="H52" s="1" t="s">
        <v>6</v>
      </c>
      <c r="I52" s="1" t="s">
        <v>38</v>
      </c>
      <c r="J52" s="1">
        <v>42234.731874999998</v>
      </c>
      <c r="K52" s="1" t="s">
        <v>118</v>
      </c>
      <c r="L52" s="14">
        <f>24*(TblTimeSheet[[#This Row],[End Date and Time]]-TblTimeSheet[[#This Row],[Start Date and Time]])</f>
        <v>0.75</v>
      </c>
      <c r="M5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
        <f>--(0&gt;(TblTimeSheet[[#This Row],[End Date and Time]]-TblTimeSheet[[#This Row],[Start Date and Time]]))</f>
        <v>0</v>
      </c>
    </row>
    <row r="53" spans="1:14" ht="30" x14ac:dyDescent="0.25">
      <c r="A53" s="1"/>
      <c r="B53" s="2" t="s">
        <v>110</v>
      </c>
      <c r="C53" s="2" t="s">
        <v>116</v>
      </c>
      <c r="D53" s="2" t="s">
        <v>19</v>
      </c>
      <c r="E53" s="7" t="s">
        <v>197</v>
      </c>
      <c r="F53" s="3">
        <v>42234.697916666664</v>
      </c>
      <c r="G53" s="3">
        <v>42234.729166666664</v>
      </c>
      <c r="H53" s="1" t="s">
        <v>6</v>
      </c>
      <c r="I53" s="1" t="s">
        <v>38</v>
      </c>
      <c r="J53" s="1">
        <v>42234.732349537036</v>
      </c>
      <c r="K53" s="1" t="s">
        <v>701</v>
      </c>
      <c r="L53" s="14">
        <f>24*(TblTimeSheet[[#This Row],[End Date and Time]]-TblTimeSheet[[#This Row],[Start Date and Time]])</f>
        <v>0.75</v>
      </c>
      <c r="M5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
        <f>--(0&gt;(TblTimeSheet[[#This Row],[End Date and Time]]-TblTimeSheet[[#This Row],[Start Date and Time]]))</f>
        <v>0</v>
      </c>
    </row>
    <row r="54" spans="1:14" ht="30" x14ac:dyDescent="0.25">
      <c r="A54" s="1"/>
      <c r="B54" s="2" t="s">
        <v>110</v>
      </c>
      <c r="C54" s="2" t="s">
        <v>41</v>
      </c>
      <c r="D54" s="2" t="s">
        <v>19</v>
      </c>
      <c r="E54" s="7" t="s">
        <v>150</v>
      </c>
      <c r="F54" s="3">
        <v>42234.697916666664</v>
      </c>
      <c r="G54" s="3">
        <v>42234.729166666664</v>
      </c>
      <c r="H54" s="1" t="s">
        <v>6</v>
      </c>
      <c r="I54" s="1" t="s">
        <v>38</v>
      </c>
      <c r="J54" s="1">
        <v>42264.760405092595</v>
      </c>
      <c r="K54" s="1" t="s">
        <v>41</v>
      </c>
      <c r="L54" s="14">
        <f>24*(TblTimeSheet[[#This Row],[End Date and Time]]-TblTimeSheet[[#This Row],[Start Date and Time]])</f>
        <v>0.75</v>
      </c>
      <c r="M5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
        <f>--(0&gt;(TblTimeSheet[[#This Row],[End Date and Time]]-TblTimeSheet[[#This Row],[Start Date and Time]]))</f>
        <v>0</v>
      </c>
    </row>
    <row r="55" spans="1:14" x14ac:dyDescent="0.25">
      <c r="A55" s="1"/>
      <c r="B55" s="2" t="s">
        <v>110</v>
      </c>
      <c r="C55" s="2" t="s">
        <v>41</v>
      </c>
      <c r="D55" s="2" t="s">
        <v>19</v>
      </c>
      <c r="E55" s="7" t="s">
        <v>151</v>
      </c>
      <c r="F55" s="3">
        <v>42235.395833333336</v>
      </c>
      <c r="G55" s="3">
        <v>42235.427083333336</v>
      </c>
      <c r="H55" s="1" t="s">
        <v>6</v>
      </c>
      <c r="I55" s="1" t="s">
        <v>38</v>
      </c>
      <c r="J55" s="1">
        <v>42235.425706018519</v>
      </c>
      <c r="K55" s="1" t="s">
        <v>41</v>
      </c>
      <c r="L55" s="14">
        <f>24*(TblTimeSheet[[#This Row],[End Date and Time]]-TblTimeSheet[[#This Row],[Start Date and Time]])</f>
        <v>0.75</v>
      </c>
      <c r="M5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
        <f>--(0&gt;(TblTimeSheet[[#This Row],[End Date and Time]]-TblTimeSheet[[#This Row],[Start Date and Time]]))</f>
        <v>0</v>
      </c>
    </row>
    <row r="56" spans="1:14" x14ac:dyDescent="0.25">
      <c r="A56" s="1"/>
      <c r="B56" s="2" t="s">
        <v>110</v>
      </c>
      <c r="C56" s="2" t="s">
        <v>116</v>
      </c>
      <c r="D56" s="2" t="s">
        <v>19</v>
      </c>
      <c r="E56" s="7" t="s">
        <v>198</v>
      </c>
      <c r="F56" s="3">
        <v>42235.395833333336</v>
      </c>
      <c r="G56" s="3">
        <v>42235.416666666664</v>
      </c>
      <c r="H56" s="1" t="s">
        <v>6</v>
      </c>
      <c r="I56" s="1" t="s">
        <v>38</v>
      </c>
      <c r="J56" s="1">
        <v>42235.42633101852</v>
      </c>
      <c r="K56" s="1" t="s">
        <v>701</v>
      </c>
      <c r="L56" s="14">
        <f>24*(TblTimeSheet[[#This Row],[End Date and Time]]-TblTimeSheet[[#This Row],[Start Date and Time]])</f>
        <v>0.49999999988358468</v>
      </c>
      <c r="M5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
        <f>--(0&gt;(TblTimeSheet[[#This Row],[End Date and Time]]-TblTimeSheet[[#This Row],[Start Date and Time]]))</f>
        <v>0</v>
      </c>
    </row>
    <row r="57" spans="1:14" x14ac:dyDescent="0.25">
      <c r="A57" s="1"/>
      <c r="B57" s="2" t="s">
        <v>110</v>
      </c>
      <c r="C57" s="2" t="s">
        <v>116</v>
      </c>
      <c r="D57" s="2" t="s">
        <v>19</v>
      </c>
      <c r="E57" s="7" t="s">
        <v>152</v>
      </c>
      <c r="F57" s="3">
        <v>42235.427083333336</v>
      </c>
      <c r="G57" s="3">
        <v>42235.454861111109</v>
      </c>
      <c r="H57" s="1" t="s">
        <v>6</v>
      </c>
      <c r="I57" s="1" t="s">
        <v>38</v>
      </c>
      <c r="J57" s="1">
        <v>42235.457129629627</v>
      </c>
      <c r="K57" s="1" t="s">
        <v>701</v>
      </c>
      <c r="L57" s="14">
        <f>24*(TblTimeSheet[[#This Row],[End Date and Time]]-TblTimeSheet[[#This Row],[Start Date and Time]])</f>
        <v>0.6666666665696539</v>
      </c>
      <c r="M5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
        <f>--(0&gt;(TblTimeSheet[[#This Row],[End Date and Time]]-TblTimeSheet[[#This Row],[Start Date and Time]]))</f>
        <v>0</v>
      </c>
    </row>
    <row r="58" spans="1:14" x14ac:dyDescent="0.25">
      <c r="A58" s="1"/>
      <c r="B58" s="2" t="s">
        <v>110</v>
      </c>
      <c r="C58" s="2" t="s">
        <v>116</v>
      </c>
      <c r="D58" s="2" t="s">
        <v>19</v>
      </c>
      <c r="E58" s="7" t="s">
        <v>199</v>
      </c>
      <c r="F58" s="3">
        <v>42235.458333333336</v>
      </c>
      <c r="G58" s="3">
        <v>42235.46875</v>
      </c>
      <c r="H58" s="1" t="s">
        <v>6</v>
      </c>
      <c r="I58" s="1" t="s">
        <v>38</v>
      </c>
      <c r="J58" s="1">
        <v>42235.486759259256</v>
      </c>
      <c r="K58" s="1" t="s">
        <v>701</v>
      </c>
      <c r="L58" s="14">
        <f>24*(TblTimeSheet[[#This Row],[End Date and Time]]-TblTimeSheet[[#This Row],[Start Date and Time]])</f>
        <v>0.24999999994179234</v>
      </c>
      <c r="M5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
        <f>--(0&gt;(TblTimeSheet[[#This Row],[End Date and Time]]-TblTimeSheet[[#This Row],[Start Date and Time]]))</f>
        <v>0</v>
      </c>
    </row>
    <row r="59" spans="1:14" ht="30" x14ac:dyDescent="0.25">
      <c r="A59" s="1"/>
      <c r="B59" s="2" t="s">
        <v>110</v>
      </c>
      <c r="C59" s="2" t="s">
        <v>41</v>
      </c>
      <c r="D59" s="2" t="s">
        <v>19</v>
      </c>
      <c r="E59" s="7" t="s">
        <v>200</v>
      </c>
      <c r="F59" s="3">
        <v>42235.46875</v>
      </c>
      <c r="G59" s="3">
        <v>42235.486111111109</v>
      </c>
      <c r="H59" s="1" t="s">
        <v>6</v>
      </c>
      <c r="I59" s="1" t="s">
        <v>38</v>
      </c>
      <c r="J59" s="1">
        <v>42235.487060185187</v>
      </c>
      <c r="K59" s="1" t="s">
        <v>41</v>
      </c>
      <c r="L59" s="14">
        <f>24*(TblTimeSheet[[#This Row],[End Date and Time]]-TblTimeSheet[[#This Row],[Start Date and Time]])</f>
        <v>0.41666666662786156</v>
      </c>
      <c r="M5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
        <f>--(0&gt;(TblTimeSheet[[#This Row],[End Date and Time]]-TblTimeSheet[[#This Row],[Start Date and Time]]))</f>
        <v>0</v>
      </c>
    </row>
    <row r="60" spans="1:14" x14ac:dyDescent="0.25">
      <c r="A60" s="1"/>
      <c r="B60" s="2" t="s">
        <v>108</v>
      </c>
      <c r="C60" s="2" t="s">
        <v>116</v>
      </c>
      <c r="D60" s="2" t="s">
        <v>19</v>
      </c>
      <c r="E60" s="7" t="s">
        <v>133</v>
      </c>
      <c r="F60" s="3">
        <v>42235.524305555555</v>
      </c>
      <c r="G60" s="3">
        <v>42235.527777777781</v>
      </c>
      <c r="H60" s="1" t="s">
        <v>6</v>
      </c>
      <c r="I60" s="1" t="s">
        <v>38</v>
      </c>
      <c r="J60" s="1">
        <v>42235.52888888889</v>
      </c>
      <c r="K60" s="1" t="s">
        <v>701</v>
      </c>
      <c r="L60" s="14">
        <f>24*(TblTimeSheet[[#This Row],[End Date and Time]]-TblTimeSheet[[#This Row],[Start Date and Time]])</f>
        <v>8.3333333430346102E-2</v>
      </c>
      <c r="M6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
        <f>--(0&gt;(TblTimeSheet[[#This Row],[End Date and Time]]-TblTimeSheet[[#This Row],[Start Date and Time]]))</f>
        <v>0</v>
      </c>
    </row>
    <row r="61" spans="1:14" x14ac:dyDescent="0.25">
      <c r="A61" s="1"/>
      <c r="B61" s="2" t="s">
        <v>108</v>
      </c>
      <c r="C61" s="2" t="s">
        <v>41</v>
      </c>
      <c r="D61" s="2" t="s">
        <v>19</v>
      </c>
      <c r="E61" s="7" t="s">
        <v>153</v>
      </c>
      <c r="F61" s="3">
        <v>42235.520833333336</v>
      </c>
      <c r="G61" s="3">
        <v>42235.524305555555</v>
      </c>
      <c r="H61" s="1" t="s">
        <v>6</v>
      </c>
      <c r="I61" s="1" t="s">
        <v>38</v>
      </c>
      <c r="J61" s="1">
        <v>42235.600925925923</v>
      </c>
      <c r="K61" s="1" t="s">
        <v>41</v>
      </c>
      <c r="L61" s="14">
        <f>24*(TblTimeSheet[[#This Row],[End Date and Time]]-TblTimeSheet[[#This Row],[Start Date and Time]])</f>
        <v>8.3333333255723119E-2</v>
      </c>
      <c r="M6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
        <f>--(0&gt;(TblTimeSheet[[#This Row],[End Date and Time]]-TblTimeSheet[[#This Row],[Start Date and Time]]))</f>
        <v>0</v>
      </c>
    </row>
    <row r="62" spans="1:14" x14ac:dyDescent="0.25">
      <c r="A62" s="1"/>
      <c r="B62" s="2" t="s">
        <v>108</v>
      </c>
      <c r="C62" s="2" t="s">
        <v>41</v>
      </c>
      <c r="D62" s="2" t="s">
        <v>19</v>
      </c>
      <c r="E62" s="7" t="s">
        <v>154</v>
      </c>
      <c r="F62" s="3">
        <v>42235.524305555555</v>
      </c>
      <c r="G62" s="3">
        <v>42235.527777777781</v>
      </c>
      <c r="H62" s="1" t="s">
        <v>6</v>
      </c>
      <c r="I62" s="1" t="s">
        <v>38</v>
      </c>
      <c r="J62" s="1">
        <v>42235.601574074077</v>
      </c>
      <c r="K62" s="1" t="s">
        <v>41</v>
      </c>
      <c r="L62" s="14">
        <f>24*(TblTimeSheet[[#This Row],[End Date and Time]]-TblTimeSheet[[#This Row],[Start Date and Time]])</f>
        <v>8.3333333430346102E-2</v>
      </c>
      <c r="M6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
        <f>--(0&gt;(TblTimeSheet[[#This Row],[End Date and Time]]-TblTimeSheet[[#This Row],[Start Date and Time]]))</f>
        <v>0</v>
      </c>
    </row>
    <row r="63" spans="1:14" x14ac:dyDescent="0.25">
      <c r="A63" s="1"/>
      <c r="B63" s="2" t="s">
        <v>114</v>
      </c>
      <c r="C63" s="2" t="s">
        <v>116</v>
      </c>
      <c r="D63" s="2" t="s">
        <v>19</v>
      </c>
      <c r="E63" s="7" t="s">
        <v>155</v>
      </c>
      <c r="F63" s="3">
        <v>42236.385416666664</v>
      </c>
      <c r="G63" s="3">
        <v>42236.399305555555</v>
      </c>
      <c r="H63" s="1" t="s">
        <v>6</v>
      </c>
      <c r="I63" s="1" t="s">
        <v>38</v>
      </c>
      <c r="J63" s="1">
        <v>42236.403067129628</v>
      </c>
      <c r="K63" s="1" t="s">
        <v>701</v>
      </c>
      <c r="L63" s="14">
        <f>24*(TblTimeSheet[[#This Row],[End Date and Time]]-TblTimeSheet[[#This Row],[Start Date and Time]])</f>
        <v>0.33333333337213844</v>
      </c>
      <c r="M6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
        <f>--(0&gt;(TblTimeSheet[[#This Row],[End Date and Time]]-TblTimeSheet[[#This Row],[Start Date and Time]]))</f>
        <v>0</v>
      </c>
    </row>
    <row r="64" spans="1:14" x14ac:dyDescent="0.25">
      <c r="A64" s="1"/>
      <c r="B64" s="2" t="s">
        <v>108</v>
      </c>
      <c r="C64" s="2" t="s">
        <v>116</v>
      </c>
      <c r="D64" s="2" t="s">
        <v>20</v>
      </c>
      <c r="E64" s="7" t="s">
        <v>156</v>
      </c>
      <c r="F64" s="3">
        <v>42235.666666666664</v>
      </c>
      <c r="G64" s="3">
        <v>42235.697916666664</v>
      </c>
      <c r="H64" s="1" t="s">
        <v>6</v>
      </c>
      <c r="I64" s="1" t="s">
        <v>38</v>
      </c>
      <c r="J64" s="1">
        <v>42236.404120370367</v>
      </c>
      <c r="K64" s="1" t="s">
        <v>701</v>
      </c>
      <c r="L64" s="14">
        <f>24*(TblTimeSheet[[#This Row],[End Date and Time]]-TblTimeSheet[[#This Row],[Start Date and Time]])</f>
        <v>0.75</v>
      </c>
      <c r="M6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
        <f>--(0&gt;(TblTimeSheet[[#This Row],[End Date and Time]]-TblTimeSheet[[#This Row],[Start Date and Time]]))</f>
        <v>0</v>
      </c>
    </row>
    <row r="65" spans="1:14" x14ac:dyDescent="0.25">
      <c r="A65" s="1"/>
      <c r="B65" s="2" t="s">
        <v>108</v>
      </c>
      <c r="C65" s="2" t="s">
        <v>116</v>
      </c>
      <c r="D65" s="2" t="s">
        <v>20</v>
      </c>
      <c r="E65" s="7" t="s">
        <v>157</v>
      </c>
      <c r="F65" s="3">
        <v>42236.59375</v>
      </c>
      <c r="G65" s="3">
        <v>42236.607638888891</v>
      </c>
      <c r="H65" s="1" t="s">
        <v>6</v>
      </c>
      <c r="I65" s="1" t="s">
        <v>38</v>
      </c>
      <c r="J65" s="1">
        <v>42236.643368055556</v>
      </c>
      <c r="K65" s="1" t="s">
        <v>701</v>
      </c>
      <c r="L65" s="14">
        <f>24*(TblTimeSheet[[#This Row],[End Date and Time]]-TblTimeSheet[[#This Row],[Start Date and Time]])</f>
        <v>0.33333333337213844</v>
      </c>
      <c r="M6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
        <f>--(0&gt;(TblTimeSheet[[#This Row],[End Date and Time]]-TblTimeSheet[[#This Row],[Start Date and Time]]))</f>
        <v>0</v>
      </c>
    </row>
    <row r="66" spans="1:14" x14ac:dyDescent="0.25">
      <c r="A66" s="1"/>
      <c r="B66" s="2" t="s">
        <v>110</v>
      </c>
      <c r="C66" s="2" t="s">
        <v>42</v>
      </c>
      <c r="D66" s="2" t="s">
        <v>19</v>
      </c>
      <c r="E66" s="7" t="s">
        <v>158</v>
      </c>
      <c r="F66" s="3">
        <v>42236.614583333336</v>
      </c>
      <c r="G66" s="3">
        <v>42236.739583333336</v>
      </c>
      <c r="H66" s="1" t="s">
        <v>6</v>
      </c>
      <c r="I66" s="1" t="s">
        <v>38</v>
      </c>
      <c r="J66" s="1">
        <v>42236.73883101852</v>
      </c>
      <c r="K66" s="1" t="s">
        <v>42</v>
      </c>
      <c r="L66" s="14">
        <f>24*(TblTimeSheet[[#This Row],[End Date and Time]]-TblTimeSheet[[#This Row],[Start Date and Time]])</f>
        <v>3</v>
      </c>
      <c r="M6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
        <f>--(0&gt;(TblTimeSheet[[#This Row],[End Date and Time]]-TblTimeSheet[[#This Row],[Start Date and Time]]))</f>
        <v>0</v>
      </c>
    </row>
    <row r="67" spans="1:14" x14ac:dyDescent="0.25">
      <c r="A67" s="1"/>
      <c r="B67" s="2" t="s">
        <v>108</v>
      </c>
      <c r="C67" s="2" t="s">
        <v>116</v>
      </c>
      <c r="D67" s="2" t="s">
        <v>20</v>
      </c>
      <c r="E67" s="7" t="s">
        <v>201</v>
      </c>
      <c r="F67" s="3">
        <v>42236.729166666664</v>
      </c>
      <c r="G67" s="3">
        <v>42236.743055555555</v>
      </c>
      <c r="H67" s="1" t="s">
        <v>6</v>
      </c>
      <c r="I67" s="1" t="s">
        <v>38</v>
      </c>
      <c r="J67" s="1">
        <v>42236.746087962965</v>
      </c>
      <c r="K67" s="1" t="s">
        <v>701</v>
      </c>
      <c r="L67" s="14">
        <f>24*(TblTimeSheet[[#This Row],[End Date and Time]]-TblTimeSheet[[#This Row],[Start Date and Time]])</f>
        <v>0.33333333337213844</v>
      </c>
      <c r="M6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7">
        <f>--(0&gt;(TblTimeSheet[[#This Row],[End Date and Time]]-TblTimeSheet[[#This Row],[Start Date and Time]]))</f>
        <v>0</v>
      </c>
    </row>
    <row r="68" spans="1:14" x14ac:dyDescent="0.25">
      <c r="A68" s="1"/>
      <c r="B68" s="2" t="s">
        <v>108</v>
      </c>
      <c r="C68" s="2" t="s">
        <v>116</v>
      </c>
      <c r="D68" s="2" t="s">
        <v>20</v>
      </c>
      <c r="E68" s="7" t="s">
        <v>159</v>
      </c>
      <c r="F68" s="3">
        <v>42237.402777777781</v>
      </c>
      <c r="G68" s="3">
        <v>42237.409722222219</v>
      </c>
      <c r="H68" s="1" t="s">
        <v>6</v>
      </c>
      <c r="I68" s="1" t="s">
        <v>38</v>
      </c>
      <c r="J68" s="1">
        <v>42237.415243055555</v>
      </c>
      <c r="K68" s="1" t="s">
        <v>701</v>
      </c>
      <c r="L68" s="14">
        <f>24*(TblTimeSheet[[#This Row],[End Date and Time]]-TblTimeSheet[[#This Row],[Start Date and Time]])</f>
        <v>0.16666666651144624</v>
      </c>
      <c r="M6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
        <f>--(0&gt;(TblTimeSheet[[#This Row],[End Date and Time]]-TblTimeSheet[[#This Row],[Start Date and Time]]))</f>
        <v>0</v>
      </c>
    </row>
    <row r="69" spans="1:14" x14ac:dyDescent="0.25">
      <c r="A69" s="1"/>
      <c r="B69" s="2" t="s">
        <v>110</v>
      </c>
      <c r="C69" s="2" t="s">
        <v>36</v>
      </c>
      <c r="D69" s="2" t="s">
        <v>19</v>
      </c>
      <c r="E69" s="7" t="s">
        <v>202</v>
      </c>
      <c r="F69" s="3">
        <v>42229.645833333336</v>
      </c>
      <c r="G69" s="3">
        <v>42229.666666666664</v>
      </c>
      <c r="H69" s="1" t="s">
        <v>6</v>
      </c>
      <c r="I69" s="1" t="s">
        <v>38</v>
      </c>
      <c r="J69" s="1">
        <v>42237.446840277778</v>
      </c>
      <c r="K69" s="1" t="s">
        <v>36</v>
      </c>
      <c r="L69" s="14">
        <f>24*(TblTimeSheet[[#This Row],[End Date and Time]]-TblTimeSheet[[#This Row],[Start Date and Time]])</f>
        <v>0.49999999988358468</v>
      </c>
      <c r="M6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
        <f>--(0&gt;(TblTimeSheet[[#This Row],[End Date and Time]]-TblTimeSheet[[#This Row],[Start Date and Time]]))</f>
        <v>0</v>
      </c>
    </row>
    <row r="70" spans="1:14" x14ac:dyDescent="0.25">
      <c r="A70" s="1"/>
      <c r="B70" s="2" t="s">
        <v>114</v>
      </c>
      <c r="C70" s="2" t="s">
        <v>118</v>
      </c>
      <c r="D70" s="2" t="s">
        <v>19</v>
      </c>
      <c r="E70" s="7" t="s">
        <v>119</v>
      </c>
      <c r="F70" s="3">
        <v>42237.625</v>
      </c>
      <c r="G70" s="3">
        <v>42237.645833333336</v>
      </c>
      <c r="H70" s="1" t="s">
        <v>6</v>
      </c>
      <c r="I70" s="1" t="s">
        <v>38</v>
      </c>
      <c r="J70" s="1">
        <v>42237.681886574072</v>
      </c>
      <c r="K70" s="1" t="s">
        <v>118</v>
      </c>
      <c r="L70" s="14">
        <f>24*(TblTimeSheet[[#This Row],[End Date and Time]]-TblTimeSheet[[#This Row],[Start Date and Time]])</f>
        <v>0.50000000005820766</v>
      </c>
      <c r="M7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
        <f>--(0&gt;(TblTimeSheet[[#This Row],[End Date and Time]]-TblTimeSheet[[#This Row],[Start Date and Time]]))</f>
        <v>0</v>
      </c>
    </row>
    <row r="71" spans="1:14" x14ac:dyDescent="0.25">
      <c r="A71" s="1"/>
      <c r="B71" s="2" t="s">
        <v>108</v>
      </c>
      <c r="C71" s="2" t="s">
        <v>116</v>
      </c>
      <c r="D71" s="2" t="s">
        <v>20</v>
      </c>
      <c r="E71" s="7" t="s">
        <v>203</v>
      </c>
      <c r="F71" s="3">
        <v>42237.5</v>
      </c>
      <c r="G71" s="3">
        <v>42237.552083333336</v>
      </c>
      <c r="H71" s="1" t="s">
        <v>6</v>
      </c>
      <c r="I71" s="1" t="s">
        <v>38</v>
      </c>
      <c r="J71" s="1">
        <v>42237.683425925927</v>
      </c>
      <c r="K71" s="1" t="s">
        <v>701</v>
      </c>
      <c r="L71" s="14">
        <f>24*(TblTimeSheet[[#This Row],[End Date and Time]]-TblTimeSheet[[#This Row],[Start Date and Time]])</f>
        <v>1.2500000000582077</v>
      </c>
      <c r="M7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
        <f>--(0&gt;(TblTimeSheet[[#This Row],[End Date and Time]]-TblTimeSheet[[#This Row],[Start Date and Time]]))</f>
        <v>0</v>
      </c>
    </row>
    <row r="72" spans="1:14" x14ac:dyDescent="0.25">
      <c r="A72" s="1"/>
      <c r="B72" s="2" t="s">
        <v>114</v>
      </c>
      <c r="C72" s="2" t="s">
        <v>116</v>
      </c>
      <c r="D72" s="2" t="s">
        <v>19</v>
      </c>
      <c r="E72" s="7" t="s">
        <v>160</v>
      </c>
      <c r="F72" s="3">
        <v>42237.680555555555</v>
      </c>
      <c r="G72" s="3">
        <v>42237.6875</v>
      </c>
      <c r="H72" s="1" t="s">
        <v>6</v>
      </c>
      <c r="I72" s="1" t="s">
        <v>38</v>
      </c>
      <c r="J72" s="1">
        <v>42237.685300925928</v>
      </c>
      <c r="K72" s="1" t="s">
        <v>39</v>
      </c>
      <c r="L72" s="14">
        <f>24*(TblTimeSheet[[#This Row],[End Date and Time]]-TblTimeSheet[[#This Row],[Start Date and Time]])</f>
        <v>0.16666666668606922</v>
      </c>
      <c r="M7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
        <f>--(0&gt;(TblTimeSheet[[#This Row],[End Date and Time]]-TblTimeSheet[[#This Row],[Start Date and Time]]))</f>
        <v>0</v>
      </c>
    </row>
    <row r="73" spans="1:14" ht="30" x14ac:dyDescent="0.25">
      <c r="A73" s="1"/>
      <c r="B73" s="2" t="s">
        <v>108</v>
      </c>
      <c r="C73" s="2" t="s">
        <v>116</v>
      </c>
      <c r="D73" s="2" t="s">
        <v>20</v>
      </c>
      <c r="E73" s="7" t="s">
        <v>161</v>
      </c>
      <c r="F73" s="3">
        <v>42237.604166666664</v>
      </c>
      <c r="G73" s="3">
        <v>42237.625</v>
      </c>
      <c r="H73" s="1" t="s">
        <v>6</v>
      </c>
      <c r="I73" s="1" t="s">
        <v>38</v>
      </c>
      <c r="J73" s="1">
        <v>42240.412592592591</v>
      </c>
      <c r="K73" s="1" t="s">
        <v>39</v>
      </c>
      <c r="L73" s="14">
        <f>24*(TblTimeSheet[[#This Row],[End Date and Time]]-TblTimeSheet[[#This Row],[Start Date and Time]])</f>
        <v>0.50000000005820766</v>
      </c>
      <c r="M7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
        <f>--(0&gt;(TblTimeSheet[[#This Row],[End Date and Time]]-TblTimeSheet[[#This Row],[Start Date and Time]]))</f>
        <v>0</v>
      </c>
    </row>
    <row r="74" spans="1:14" x14ac:dyDescent="0.25">
      <c r="A74" s="1"/>
      <c r="B74" s="2" t="s">
        <v>114</v>
      </c>
      <c r="C74" s="2" t="s">
        <v>116</v>
      </c>
      <c r="D74" s="2" t="s">
        <v>19</v>
      </c>
      <c r="E74" s="7" t="s">
        <v>162</v>
      </c>
      <c r="F74" s="3">
        <v>42237.625</v>
      </c>
      <c r="G74" s="3">
        <v>42237.645833333336</v>
      </c>
      <c r="H74" s="1" t="s">
        <v>6</v>
      </c>
      <c r="I74" s="1" t="s">
        <v>38</v>
      </c>
      <c r="J74" s="1">
        <v>42237.693969907406</v>
      </c>
      <c r="K74" s="1" t="s">
        <v>39</v>
      </c>
      <c r="L74" s="14">
        <f>24*(TblTimeSheet[[#This Row],[End Date and Time]]-TblTimeSheet[[#This Row],[Start Date and Time]])</f>
        <v>0.50000000005820766</v>
      </c>
      <c r="M7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4">
        <f>--(0&gt;(TblTimeSheet[[#This Row],[End Date and Time]]-TblTimeSheet[[#This Row],[Start Date and Time]]))</f>
        <v>0</v>
      </c>
    </row>
    <row r="75" spans="1:14" x14ac:dyDescent="0.25">
      <c r="A75" s="1"/>
      <c r="B75" s="2" t="s">
        <v>110</v>
      </c>
      <c r="C75" s="2" t="s">
        <v>41</v>
      </c>
      <c r="D75" s="2" t="s">
        <v>19</v>
      </c>
      <c r="E75" s="7" t="s">
        <v>163</v>
      </c>
      <c r="F75" s="3">
        <v>42237.388888888891</v>
      </c>
      <c r="G75" s="3">
        <v>42237.416666666664</v>
      </c>
      <c r="H75" s="1" t="s">
        <v>6</v>
      </c>
      <c r="I75" s="1" t="s">
        <v>38</v>
      </c>
      <c r="J75" s="1">
        <v>42237.708761574075</v>
      </c>
      <c r="K75" s="1" t="s">
        <v>41</v>
      </c>
      <c r="L75" s="14">
        <f>24*(TblTimeSheet[[#This Row],[End Date and Time]]-TblTimeSheet[[#This Row],[Start Date and Time]])</f>
        <v>0.6666666665696539</v>
      </c>
      <c r="M7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
        <f>--(0&gt;(TblTimeSheet[[#This Row],[End Date and Time]]-TblTimeSheet[[#This Row],[Start Date and Time]]))</f>
        <v>0</v>
      </c>
    </row>
    <row r="76" spans="1:14" x14ac:dyDescent="0.25">
      <c r="A76" s="1"/>
      <c r="B76" s="2" t="s">
        <v>4</v>
      </c>
      <c r="C76" s="2" t="s">
        <v>41</v>
      </c>
      <c r="D76" s="2" t="s">
        <v>19</v>
      </c>
      <c r="E76" s="7" t="s">
        <v>164</v>
      </c>
      <c r="F76" s="3">
        <v>42237.680555555555</v>
      </c>
      <c r="G76" s="3">
        <v>42237.711805555555</v>
      </c>
      <c r="H76" s="1" t="s">
        <v>6</v>
      </c>
      <c r="I76" s="1" t="s">
        <v>38</v>
      </c>
      <c r="J76" s="1">
        <v>42237.710196759261</v>
      </c>
      <c r="K76" s="1" t="s">
        <v>41</v>
      </c>
      <c r="L76" s="14">
        <f>24*(TblTimeSheet[[#This Row],[End Date and Time]]-TblTimeSheet[[#This Row],[Start Date and Time]])</f>
        <v>0.75</v>
      </c>
      <c r="M7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6">
        <f>--(0&gt;(TblTimeSheet[[#This Row],[End Date and Time]]-TblTimeSheet[[#This Row],[Start Date and Time]]))</f>
        <v>0</v>
      </c>
    </row>
    <row r="77" spans="1:14" x14ac:dyDescent="0.25">
      <c r="A77" s="1"/>
      <c r="B77" s="2" t="s">
        <v>108</v>
      </c>
      <c r="C77" s="2" t="s">
        <v>116</v>
      </c>
      <c r="D77" s="2" t="s">
        <v>20</v>
      </c>
      <c r="E77" s="7" t="s">
        <v>165</v>
      </c>
      <c r="F77" s="3">
        <v>42237.6875</v>
      </c>
      <c r="G77" s="3">
        <v>42237.729166666664</v>
      </c>
      <c r="H77" s="1" t="s">
        <v>6</v>
      </c>
      <c r="I77" s="1" t="s">
        <v>38</v>
      </c>
      <c r="J77" s="1">
        <v>42237.732766203706</v>
      </c>
      <c r="K77" s="1" t="s">
        <v>39</v>
      </c>
      <c r="L77" s="14">
        <f>24*(TblTimeSheet[[#This Row],[End Date and Time]]-TblTimeSheet[[#This Row],[Start Date and Time]])</f>
        <v>0.99999999994179234</v>
      </c>
      <c r="M7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7">
        <f>--(0&gt;(TblTimeSheet[[#This Row],[End Date and Time]]-TblTimeSheet[[#This Row],[Start Date and Time]]))</f>
        <v>0</v>
      </c>
    </row>
    <row r="78" spans="1:14" ht="30" x14ac:dyDescent="0.25">
      <c r="A78" s="1"/>
      <c r="B78" s="2" t="s">
        <v>108</v>
      </c>
      <c r="C78" s="2" t="s">
        <v>116</v>
      </c>
      <c r="D78" s="2" t="s">
        <v>20</v>
      </c>
      <c r="E78" s="7" t="s">
        <v>204</v>
      </c>
      <c r="F78" s="3">
        <v>42237.6875</v>
      </c>
      <c r="G78" s="3">
        <v>42237.729166666664</v>
      </c>
      <c r="H78" s="1" t="s">
        <v>6</v>
      </c>
      <c r="I78" s="1" t="s">
        <v>38</v>
      </c>
      <c r="J78" s="1">
        <v>42237.734942129631</v>
      </c>
      <c r="K78" s="1" t="s">
        <v>701</v>
      </c>
      <c r="L78" s="14">
        <f>24*(TblTimeSheet[[#This Row],[End Date and Time]]-TblTimeSheet[[#This Row],[Start Date and Time]])</f>
        <v>0.99999999994179234</v>
      </c>
      <c r="M7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8">
        <f>--(0&gt;(TblTimeSheet[[#This Row],[End Date and Time]]-TblTimeSheet[[#This Row],[Start Date and Time]]))</f>
        <v>0</v>
      </c>
    </row>
    <row r="79" spans="1:14" x14ac:dyDescent="0.25">
      <c r="A79" s="1"/>
      <c r="B79" s="2" t="s">
        <v>108</v>
      </c>
      <c r="C79" s="2" t="s">
        <v>116</v>
      </c>
      <c r="D79" s="2" t="s">
        <v>20</v>
      </c>
      <c r="E79" s="7" t="s">
        <v>167</v>
      </c>
      <c r="F79" s="3">
        <v>42237.6875</v>
      </c>
      <c r="G79" s="3">
        <v>42237.729166666664</v>
      </c>
      <c r="H79" s="1" t="s">
        <v>6</v>
      </c>
      <c r="I79" s="1" t="s">
        <v>38</v>
      </c>
      <c r="J79" s="1">
        <v>42237.735694444447</v>
      </c>
      <c r="K79" s="1" t="s">
        <v>166</v>
      </c>
      <c r="L79" s="14">
        <f>24*(TblTimeSheet[[#This Row],[End Date and Time]]-TblTimeSheet[[#This Row],[Start Date and Time]])</f>
        <v>0.99999999994179234</v>
      </c>
      <c r="M7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9">
        <f>--(0&gt;(TblTimeSheet[[#This Row],[End Date and Time]]-TblTimeSheet[[#This Row],[Start Date and Time]]))</f>
        <v>0</v>
      </c>
    </row>
    <row r="80" spans="1:14" x14ac:dyDescent="0.25">
      <c r="A80" s="1"/>
      <c r="B80" s="2" t="s">
        <v>110</v>
      </c>
      <c r="C80" s="2" t="s">
        <v>41</v>
      </c>
      <c r="D80" s="2" t="s">
        <v>19</v>
      </c>
      <c r="E80" s="7" t="s">
        <v>168</v>
      </c>
      <c r="F80" s="3">
        <v>42237.680555555555</v>
      </c>
      <c r="G80" s="3">
        <v>42237.711805555555</v>
      </c>
      <c r="H80" s="1" t="s">
        <v>6</v>
      </c>
      <c r="I80" s="1" t="s">
        <v>38</v>
      </c>
      <c r="J80" s="1">
        <v>42264.76054398148</v>
      </c>
      <c r="K80" s="1" t="s">
        <v>41</v>
      </c>
      <c r="L80" s="14">
        <f>24*(TblTimeSheet[[#This Row],[End Date and Time]]-TblTimeSheet[[#This Row],[Start Date and Time]])</f>
        <v>0.75</v>
      </c>
      <c r="M8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0">
        <f>--(0&gt;(TblTimeSheet[[#This Row],[End Date and Time]]-TblTimeSheet[[#This Row],[Start Date and Time]]))</f>
        <v>0</v>
      </c>
    </row>
    <row r="81" spans="1:14" ht="75" x14ac:dyDescent="0.25">
      <c r="A81" s="1"/>
      <c r="B81" s="2" t="s">
        <v>114</v>
      </c>
      <c r="C81" s="2" t="s">
        <v>116</v>
      </c>
      <c r="D81" s="2" t="s">
        <v>19</v>
      </c>
      <c r="E81" s="7" t="s">
        <v>205</v>
      </c>
      <c r="F81" s="3">
        <v>42237.625</v>
      </c>
      <c r="G81" s="3">
        <v>42237.645833333336</v>
      </c>
      <c r="H81" s="1" t="s">
        <v>6</v>
      </c>
      <c r="I81" s="1" t="s">
        <v>38</v>
      </c>
      <c r="J81" s="1">
        <v>42237.740162037036</v>
      </c>
      <c r="K81" s="1" t="s">
        <v>701</v>
      </c>
      <c r="L81" s="14">
        <f>24*(TblTimeSheet[[#This Row],[End Date and Time]]-TblTimeSheet[[#This Row],[Start Date and Time]])</f>
        <v>0.50000000005820766</v>
      </c>
      <c r="M8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1">
        <f>--(0&gt;(TblTimeSheet[[#This Row],[End Date and Time]]-TblTimeSheet[[#This Row],[Start Date and Time]]))</f>
        <v>0</v>
      </c>
    </row>
    <row r="82" spans="1:14" x14ac:dyDescent="0.25">
      <c r="A82" s="1"/>
      <c r="B82" s="2" t="s">
        <v>114</v>
      </c>
      <c r="C82" s="2" t="s">
        <v>42</v>
      </c>
      <c r="D82" s="2" t="s">
        <v>19</v>
      </c>
      <c r="E82" s="7" t="s">
        <v>135</v>
      </c>
      <c r="F82" s="3">
        <v>42237.625</v>
      </c>
      <c r="G82" s="3">
        <v>42237.645833333336</v>
      </c>
      <c r="H82" s="1" t="s">
        <v>6</v>
      </c>
      <c r="I82" s="1" t="s">
        <v>38</v>
      </c>
      <c r="J82" s="1">
        <v>42238.386365740742</v>
      </c>
      <c r="K82" s="1" t="s">
        <v>42</v>
      </c>
      <c r="L82" s="14">
        <f>24*(TblTimeSheet[[#This Row],[End Date and Time]]-TblTimeSheet[[#This Row],[Start Date and Time]])</f>
        <v>0.50000000005820766</v>
      </c>
      <c r="M8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
        <f>--(0&gt;(TblTimeSheet[[#This Row],[End Date and Time]]-TblTimeSheet[[#This Row],[Start Date and Time]]))</f>
        <v>0</v>
      </c>
    </row>
    <row r="83" spans="1:14" x14ac:dyDescent="0.25">
      <c r="A83" s="1"/>
      <c r="B83" s="2" t="s">
        <v>107</v>
      </c>
      <c r="C83" s="2" t="s">
        <v>116</v>
      </c>
      <c r="D83" s="2" t="s">
        <v>19</v>
      </c>
      <c r="E83" s="7" t="s">
        <v>169</v>
      </c>
      <c r="F83" s="3">
        <v>42236.614583333336</v>
      </c>
      <c r="G83" s="3">
        <v>42236.739583333336</v>
      </c>
      <c r="H83" s="1" t="s">
        <v>6</v>
      </c>
      <c r="I83" s="1" t="s">
        <v>38</v>
      </c>
      <c r="J83" s="1">
        <v>42238.43037037037</v>
      </c>
      <c r="K83" s="1" t="s">
        <v>81</v>
      </c>
      <c r="L83" s="14">
        <f>24*(TblTimeSheet[[#This Row],[End Date and Time]]-TblTimeSheet[[#This Row],[Start Date and Time]])</f>
        <v>3</v>
      </c>
      <c r="M8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3">
        <f>--(0&gt;(TblTimeSheet[[#This Row],[End Date and Time]]-TblTimeSheet[[#This Row],[Start Date and Time]]))</f>
        <v>0</v>
      </c>
    </row>
    <row r="84" spans="1:14" x14ac:dyDescent="0.25">
      <c r="A84" s="1" t="s">
        <v>170</v>
      </c>
      <c r="B84" s="2" t="s">
        <v>114</v>
      </c>
      <c r="C84" s="2" t="s">
        <v>171</v>
      </c>
      <c r="D84" s="2" t="s">
        <v>19</v>
      </c>
      <c r="E84" s="7" t="s">
        <v>172</v>
      </c>
      <c r="F84" s="3">
        <v>42237.625</v>
      </c>
      <c r="G84" s="3">
        <v>42237.645833333336</v>
      </c>
      <c r="H84" s="1" t="s">
        <v>6</v>
      </c>
      <c r="I84" s="1" t="s">
        <v>38</v>
      </c>
      <c r="J84" s="1">
        <v>42238.45453703704</v>
      </c>
      <c r="K84" s="1" t="s">
        <v>171</v>
      </c>
      <c r="L84" s="14">
        <f>24*(TblTimeSheet[[#This Row],[End Date and Time]]-TblTimeSheet[[#This Row],[Start Date and Time]])</f>
        <v>0.50000000005820766</v>
      </c>
      <c r="M8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4">
        <f>--(0&gt;(TblTimeSheet[[#This Row],[End Date and Time]]-TblTimeSheet[[#This Row],[Start Date and Time]]))</f>
        <v>0</v>
      </c>
    </row>
    <row r="85" spans="1:14" x14ac:dyDescent="0.25">
      <c r="A85" s="1"/>
      <c r="B85" s="2" t="s">
        <v>108</v>
      </c>
      <c r="C85" s="2" t="s">
        <v>116</v>
      </c>
      <c r="D85" s="2" t="s">
        <v>20</v>
      </c>
      <c r="E85" s="7" t="s">
        <v>173</v>
      </c>
      <c r="F85" s="3">
        <v>42238.416666666664</v>
      </c>
      <c r="G85" s="3">
        <v>42238.479166666664</v>
      </c>
      <c r="H85" s="1" t="s">
        <v>6</v>
      </c>
      <c r="I85" s="1" t="s">
        <v>38</v>
      </c>
      <c r="J85" s="1">
        <v>42240.40115740741</v>
      </c>
      <c r="K85" s="1" t="s">
        <v>701</v>
      </c>
      <c r="L85" s="14">
        <f>24*(TblTimeSheet[[#This Row],[End Date and Time]]-TblTimeSheet[[#This Row],[Start Date and Time]])</f>
        <v>1.5</v>
      </c>
      <c r="M8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
        <f>--(0&gt;(TblTimeSheet[[#This Row],[End Date and Time]]-TblTimeSheet[[#This Row],[Start Date and Time]]))</f>
        <v>0</v>
      </c>
    </row>
    <row r="86" spans="1:14" x14ac:dyDescent="0.25">
      <c r="A86" s="1"/>
      <c r="B86" s="2" t="s">
        <v>110</v>
      </c>
      <c r="C86" s="2" t="s">
        <v>41</v>
      </c>
      <c r="D86" s="2" t="s">
        <v>19</v>
      </c>
      <c r="E86" s="7" t="s">
        <v>206</v>
      </c>
      <c r="F86" s="3">
        <v>42238.708333333336</v>
      </c>
      <c r="G86" s="3">
        <v>42238.739583333336</v>
      </c>
      <c r="H86" s="1" t="s">
        <v>6</v>
      </c>
      <c r="I86" s="1" t="s">
        <v>38</v>
      </c>
      <c r="J86" s="1">
        <v>42240.433761574073</v>
      </c>
      <c r="K86" s="1" t="s">
        <v>41</v>
      </c>
      <c r="L86" s="14">
        <f>24*(TblTimeSheet[[#This Row],[End Date and Time]]-TblTimeSheet[[#This Row],[Start Date and Time]])</f>
        <v>0.75</v>
      </c>
      <c r="M8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
        <f>--(0&gt;(TblTimeSheet[[#This Row],[End Date and Time]]-TblTimeSheet[[#This Row],[Start Date and Time]]))</f>
        <v>0</v>
      </c>
    </row>
    <row r="87" spans="1:14" x14ac:dyDescent="0.25">
      <c r="A87" s="1"/>
      <c r="B87" s="2" t="s">
        <v>108</v>
      </c>
      <c r="C87" s="2" t="s">
        <v>118</v>
      </c>
      <c r="D87" s="2" t="s">
        <v>20</v>
      </c>
      <c r="E87" s="7" t="s">
        <v>174</v>
      </c>
      <c r="F87" s="3">
        <v>42240.395833333336</v>
      </c>
      <c r="G87" s="3">
        <v>42240.427083333336</v>
      </c>
      <c r="H87" s="1" t="s">
        <v>6</v>
      </c>
      <c r="I87" s="1" t="s">
        <v>38</v>
      </c>
      <c r="J87" s="1">
        <v>42240.443541666667</v>
      </c>
      <c r="K87" s="1" t="s">
        <v>118</v>
      </c>
      <c r="L87" s="14">
        <f>24*(TblTimeSheet[[#This Row],[End Date and Time]]-TblTimeSheet[[#This Row],[Start Date and Time]])</f>
        <v>0.75</v>
      </c>
      <c r="M8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
        <f>--(0&gt;(TblTimeSheet[[#This Row],[End Date and Time]]-TblTimeSheet[[#This Row],[Start Date and Time]]))</f>
        <v>0</v>
      </c>
    </row>
    <row r="88" spans="1:14" x14ac:dyDescent="0.25">
      <c r="A88" s="1"/>
      <c r="B88" s="2" t="s">
        <v>108</v>
      </c>
      <c r="C88" s="2" t="s">
        <v>41</v>
      </c>
      <c r="D88" s="2" t="s">
        <v>20</v>
      </c>
      <c r="E88" s="7" t="s">
        <v>175</v>
      </c>
      <c r="F88" s="3">
        <v>42238.527777777781</v>
      </c>
      <c r="G88" s="3">
        <v>42238.5625</v>
      </c>
      <c r="H88" s="1" t="s">
        <v>6</v>
      </c>
      <c r="I88" s="1" t="s">
        <v>38</v>
      </c>
      <c r="J88" s="1">
        <v>42240.474861111114</v>
      </c>
      <c r="K88" s="1" t="s">
        <v>41</v>
      </c>
      <c r="L88" s="14">
        <f>24*(TblTimeSheet[[#This Row],[End Date and Time]]-TblTimeSheet[[#This Row],[Start Date and Time]])</f>
        <v>0.83333333325572312</v>
      </c>
      <c r="M8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
        <f>--(0&gt;(TblTimeSheet[[#This Row],[End Date and Time]]-TblTimeSheet[[#This Row],[Start Date and Time]]))</f>
        <v>0</v>
      </c>
    </row>
    <row r="89" spans="1:14" x14ac:dyDescent="0.25">
      <c r="A89" s="1"/>
      <c r="B89" s="2" t="s">
        <v>108</v>
      </c>
      <c r="C89" s="2" t="s">
        <v>116</v>
      </c>
      <c r="D89" s="2" t="s">
        <v>20</v>
      </c>
      <c r="E89" s="7" t="s">
        <v>207</v>
      </c>
      <c r="F89" s="3">
        <v>42238.527777777781</v>
      </c>
      <c r="G89" s="3">
        <v>42238.5625</v>
      </c>
      <c r="H89" s="1" t="s">
        <v>6</v>
      </c>
      <c r="I89" s="1" t="s">
        <v>38</v>
      </c>
      <c r="J89" s="1">
        <v>42240.475370370368</v>
      </c>
      <c r="K89" s="1" t="s">
        <v>701</v>
      </c>
      <c r="L89" s="14">
        <f>24*(TblTimeSheet[[#This Row],[End Date and Time]]-TblTimeSheet[[#This Row],[Start Date and Time]])</f>
        <v>0.83333333325572312</v>
      </c>
      <c r="M8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
        <f>--(0&gt;(TblTimeSheet[[#This Row],[End Date and Time]]-TblTimeSheet[[#This Row],[Start Date and Time]]))</f>
        <v>0</v>
      </c>
    </row>
    <row r="90" spans="1:14" x14ac:dyDescent="0.25">
      <c r="A90" s="1"/>
      <c r="B90" s="2" t="s">
        <v>108</v>
      </c>
      <c r="C90" s="2" t="s">
        <v>176</v>
      </c>
      <c r="D90" s="2" t="s">
        <v>20</v>
      </c>
      <c r="E90" s="7" t="s">
        <v>177</v>
      </c>
      <c r="F90" s="3">
        <v>42238.527777777781</v>
      </c>
      <c r="G90" s="3">
        <v>42238.5625</v>
      </c>
      <c r="H90" s="1" t="s">
        <v>6</v>
      </c>
      <c r="I90" s="1" t="s">
        <v>38</v>
      </c>
      <c r="J90" s="1">
        <v>42240.481458333335</v>
      </c>
      <c r="K90" s="1" t="s">
        <v>176</v>
      </c>
      <c r="L90" s="14">
        <f>24*(TblTimeSheet[[#This Row],[End Date and Time]]-TblTimeSheet[[#This Row],[Start Date and Time]])</f>
        <v>0.83333333325572312</v>
      </c>
      <c r="M9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
        <f>--(0&gt;(TblTimeSheet[[#This Row],[End Date and Time]]-TblTimeSheet[[#This Row],[Start Date and Time]]))</f>
        <v>0</v>
      </c>
    </row>
    <row r="91" spans="1:14" x14ac:dyDescent="0.25">
      <c r="A91" s="1"/>
      <c r="B91" s="2" t="s">
        <v>108</v>
      </c>
      <c r="C91" s="2" t="s">
        <v>118</v>
      </c>
      <c r="D91" s="2" t="s">
        <v>20</v>
      </c>
      <c r="E91" s="7" t="s">
        <v>178</v>
      </c>
      <c r="F91" s="3">
        <v>42240.458333333336</v>
      </c>
      <c r="G91" s="3">
        <v>42240.5</v>
      </c>
      <c r="H91" s="1" t="s">
        <v>6</v>
      </c>
      <c r="I91" s="1" t="s">
        <v>38</v>
      </c>
      <c r="J91" s="1">
        <v>42240.509166666663</v>
      </c>
      <c r="K91" s="1" t="s">
        <v>118</v>
      </c>
      <c r="L91" s="14">
        <f>24*(TblTimeSheet[[#This Row],[End Date and Time]]-TblTimeSheet[[#This Row],[Start Date and Time]])</f>
        <v>0.99999999994179234</v>
      </c>
      <c r="M9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
        <f>--(0&gt;(TblTimeSheet[[#This Row],[End Date and Time]]-TblTimeSheet[[#This Row],[Start Date and Time]]))</f>
        <v>0</v>
      </c>
    </row>
    <row r="92" spans="1:14" x14ac:dyDescent="0.25">
      <c r="A92" s="1"/>
      <c r="B92" s="2" t="s">
        <v>108</v>
      </c>
      <c r="C92" s="2" t="s">
        <v>116</v>
      </c>
      <c r="D92" s="2" t="s">
        <v>20</v>
      </c>
      <c r="E92" s="7" t="s">
        <v>179</v>
      </c>
      <c r="F92" s="3">
        <v>42240.458333333336</v>
      </c>
      <c r="G92" s="3">
        <v>42240.5</v>
      </c>
      <c r="H92" s="1" t="s">
        <v>6</v>
      </c>
      <c r="I92" s="1" t="s">
        <v>38</v>
      </c>
      <c r="J92" s="1">
        <v>42240.509606481479</v>
      </c>
      <c r="K92" s="1" t="s">
        <v>701</v>
      </c>
      <c r="L92" s="14">
        <f>24*(TblTimeSheet[[#This Row],[End Date and Time]]-TblTimeSheet[[#This Row],[Start Date and Time]])</f>
        <v>0.99999999994179234</v>
      </c>
      <c r="M9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
        <f>--(0&gt;(TblTimeSheet[[#This Row],[End Date and Time]]-TblTimeSheet[[#This Row],[Start Date and Time]]))</f>
        <v>0</v>
      </c>
    </row>
    <row r="93" spans="1:14" x14ac:dyDescent="0.25">
      <c r="A93" s="1"/>
      <c r="B93" s="2" t="s">
        <v>108</v>
      </c>
      <c r="C93" s="2" t="s">
        <v>143</v>
      </c>
      <c r="D93" s="2" t="s">
        <v>20</v>
      </c>
      <c r="E93" s="7" t="s">
        <v>180</v>
      </c>
      <c r="F93" s="3">
        <v>42238.527777777781</v>
      </c>
      <c r="G93" s="3">
        <v>42238.5625</v>
      </c>
      <c r="H93" s="1" t="s">
        <v>6</v>
      </c>
      <c r="I93" s="1" t="s">
        <v>38</v>
      </c>
      <c r="J93" s="1">
        <v>42240.555034722223</v>
      </c>
      <c r="K93" s="1" t="s">
        <v>143</v>
      </c>
      <c r="L93" s="14">
        <f>24*(TblTimeSheet[[#This Row],[End Date and Time]]-TblTimeSheet[[#This Row],[Start Date and Time]])</f>
        <v>0.83333333325572312</v>
      </c>
      <c r="M9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
        <f>--(0&gt;(TblTimeSheet[[#This Row],[End Date and Time]]-TblTimeSheet[[#This Row],[Start Date and Time]]))</f>
        <v>0</v>
      </c>
    </row>
    <row r="94" spans="1:14" x14ac:dyDescent="0.25">
      <c r="A94" s="1"/>
      <c r="B94" s="2" t="s">
        <v>108</v>
      </c>
      <c r="C94" s="2" t="s">
        <v>43</v>
      </c>
      <c r="D94" s="2" t="s">
        <v>20</v>
      </c>
      <c r="E94" s="7" t="s">
        <v>181</v>
      </c>
      <c r="F94" s="3">
        <v>42240.458333333336</v>
      </c>
      <c r="G94" s="3">
        <v>42240.5</v>
      </c>
      <c r="H94" s="1" t="s">
        <v>6</v>
      </c>
      <c r="I94" s="1" t="s">
        <v>38</v>
      </c>
      <c r="J94" s="1">
        <v>42240.558611111112</v>
      </c>
      <c r="K94" s="1" t="s">
        <v>43</v>
      </c>
      <c r="L94" s="14">
        <f>24*(TblTimeSheet[[#This Row],[End Date and Time]]-TblTimeSheet[[#This Row],[Start Date and Time]])</f>
        <v>0.99999999994179234</v>
      </c>
      <c r="M9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
        <f>--(0&gt;(TblTimeSheet[[#This Row],[End Date and Time]]-TblTimeSheet[[#This Row],[Start Date and Time]]))</f>
        <v>0</v>
      </c>
    </row>
    <row r="95" spans="1:14" x14ac:dyDescent="0.25">
      <c r="A95" s="1"/>
      <c r="B95" s="2" t="s">
        <v>108</v>
      </c>
      <c r="C95" s="2" t="s">
        <v>116</v>
      </c>
      <c r="D95" s="2" t="s">
        <v>20</v>
      </c>
      <c r="E95" s="7" t="s">
        <v>208</v>
      </c>
      <c r="F95" s="3">
        <v>42240.625</v>
      </c>
      <c r="G95" s="3">
        <v>42240.760416666664</v>
      </c>
      <c r="H95" s="1" t="s">
        <v>6</v>
      </c>
      <c r="I95" s="1" t="s">
        <v>38</v>
      </c>
      <c r="J95" s="1">
        <v>42240.76966435185</v>
      </c>
      <c r="K95" s="1" t="s">
        <v>701</v>
      </c>
      <c r="L95" s="14">
        <f>24*(TblTimeSheet[[#This Row],[End Date and Time]]-TblTimeSheet[[#This Row],[Start Date and Time]])</f>
        <v>3.2499999999417923</v>
      </c>
      <c r="M9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
        <f>--(0&gt;(TblTimeSheet[[#This Row],[End Date and Time]]-TblTimeSheet[[#This Row],[Start Date and Time]]))</f>
        <v>0</v>
      </c>
    </row>
    <row r="96" spans="1:14" x14ac:dyDescent="0.25">
      <c r="A96" s="1"/>
      <c r="B96" s="2" t="s">
        <v>110</v>
      </c>
      <c r="C96" s="2" t="s">
        <v>41</v>
      </c>
      <c r="D96" s="2" t="s">
        <v>19</v>
      </c>
      <c r="E96" s="7" t="s">
        <v>182</v>
      </c>
      <c r="F96" s="3">
        <v>42236.614583333336</v>
      </c>
      <c r="G96" s="3">
        <v>42236.739583333336</v>
      </c>
      <c r="H96" s="1" t="s">
        <v>6</v>
      </c>
      <c r="I96" s="1" t="s">
        <v>38</v>
      </c>
      <c r="J96" s="1">
        <v>42241.49318287037</v>
      </c>
      <c r="K96" s="1" t="s">
        <v>41</v>
      </c>
      <c r="L96" s="14">
        <f>24*(TblTimeSheet[[#This Row],[End Date and Time]]-TblTimeSheet[[#This Row],[Start Date and Time]])</f>
        <v>3</v>
      </c>
      <c r="M9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
        <f>--(0&gt;(TblTimeSheet[[#This Row],[End Date and Time]]-TblTimeSheet[[#This Row],[Start Date and Time]]))</f>
        <v>0</v>
      </c>
    </row>
    <row r="97" spans="1:14" x14ac:dyDescent="0.25">
      <c r="A97" s="1"/>
      <c r="B97" s="2" t="s">
        <v>108</v>
      </c>
      <c r="C97" s="2" t="s">
        <v>116</v>
      </c>
      <c r="D97" s="2" t="s">
        <v>20</v>
      </c>
      <c r="E97" s="7" t="s">
        <v>183</v>
      </c>
      <c r="F97" s="3">
        <v>42241.4375</v>
      </c>
      <c r="G97" s="3">
        <v>42241.489583333336</v>
      </c>
      <c r="H97" s="1" t="s">
        <v>6</v>
      </c>
      <c r="I97" s="1" t="s">
        <v>38</v>
      </c>
      <c r="J97" s="1">
        <v>42241.542951388888</v>
      </c>
      <c r="K97" s="1" t="s">
        <v>701</v>
      </c>
      <c r="L97" s="14">
        <f>24*(TblTimeSheet[[#This Row],[End Date and Time]]-TblTimeSheet[[#This Row],[Start Date and Time]])</f>
        <v>1.2500000000582077</v>
      </c>
      <c r="M9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
        <f>--(0&gt;(TblTimeSheet[[#This Row],[End Date and Time]]-TblTimeSheet[[#This Row],[Start Date and Time]]))</f>
        <v>0</v>
      </c>
    </row>
    <row r="98" spans="1:14" x14ac:dyDescent="0.25">
      <c r="A98" s="1"/>
      <c r="B98" s="2" t="s">
        <v>108</v>
      </c>
      <c r="C98" s="2" t="s">
        <v>116</v>
      </c>
      <c r="D98" s="2" t="s">
        <v>20</v>
      </c>
      <c r="E98" s="7" t="s">
        <v>209</v>
      </c>
      <c r="F98" s="3">
        <v>42241.510416666664</v>
      </c>
      <c r="G98" s="3">
        <v>42241.520833333336</v>
      </c>
      <c r="H98" s="1" t="s">
        <v>6</v>
      </c>
      <c r="I98" s="1" t="s">
        <v>38</v>
      </c>
      <c r="J98" s="1">
        <v>42241.543564814812</v>
      </c>
      <c r="K98" s="1" t="s">
        <v>701</v>
      </c>
      <c r="L98" s="14">
        <f>24*(TblTimeSheet[[#This Row],[End Date and Time]]-TblTimeSheet[[#This Row],[Start Date and Time]])</f>
        <v>0.25000000011641532</v>
      </c>
      <c r="M9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
        <f>--(0&gt;(TblTimeSheet[[#This Row],[End Date and Time]]-TblTimeSheet[[#This Row],[Start Date and Time]]))</f>
        <v>0</v>
      </c>
    </row>
    <row r="99" spans="1:14" ht="30" x14ac:dyDescent="0.25">
      <c r="A99" s="1"/>
      <c r="B99" s="2" t="s">
        <v>108</v>
      </c>
      <c r="C99" s="2" t="s">
        <v>36</v>
      </c>
      <c r="D99" s="2" t="s">
        <v>20</v>
      </c>
      <c r="E99" s="7" t="s">
        <v>210</v>
      </c>
      <c r="F99" s="3">
        <v>42241.510416666664</v>
      </c>
      <c r="G99" s="3">
        <v>42241.520833333336</v>
      </c>
      <c r="H99" s="1" t="s">
        <v>6</v>
      </c>
      <c r="I99" s="1" t="s">
        <v>38</v>
      </c>
      <c r="J99" s="1">
        <v>42241.548981481479</v>
      </c>
      <c r="K99" s="1" t="s">
        <v>36</v>
      </c>
      <c r="L99" s="14">
        <f>24*(TblTimeSheet[[#This Row],[End Date and Time]]-TblTimeSheet[[#This Row],[Start Date and Time]])</f>
        <v>0.25000000011641532</v>
      </c>
      <c r="M9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
        <f>--(0&gt;(TblTimeSheet[[#This Row],[End Date and Time]]-TblTimeSheet[[#This Row],[Start Date and Time]]))</f>
        <v>0</v>
      </c>
    </row>
    <row r="100" spans="1:14" x14ac:dyDescent="0.25">
      <c r="A100" s="1"/>
      <c r="B100" s="2" t="s">
        <v>114</v>
      </c>
      <c r="C100" s="2" t="s">
        <v>171</v>
      </c>
      <c r="D100" s="2" t="s">
        <v>19</v>
      </c>
      <c r="E100" s="7" t="s">
        <v>184</v>
      </c>
      <c r="F100" s="3">
        <v>42241.604166666664</v>
      </c>
      <c r="G100" s="3">
        <v>42241.666666666664</v>
      </c>
      <c r="H100" s="1" t="s">
        <v>6</v>
      </c>
      <c r="I100" s="1" t="s">
        <v>38</v>
      </c>
      <c r="J100" s="1">
        <v>42242.388368055559</v>
      </c>
      <c r="K100" s="1" t="s">
        <v>171</v>
      </c>
      <c r="L100" s="14">
        <f>24*(TblTimeSheet[[#This Row],[End Date and Time]]-TblTimeSheet[[#This Row],[Start Date and Time]])</f>
        <v>1.5</v>
      </c>
      <c r="M10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
        <f>--(0&gt;(TblTimeSheet[[#This Row],[End Date and Time]]-TblTimeSheet[[#This Row],[Start Date and Time]]))</f>
        <v>0</v>
      </c>
    </row>
    <row r="101" spans="1:14" x14ac:dyDescent="0.25">
      <c r="A101" s="1"/>
      <c r="B101" s="2" t="s">
        <v>114</v>
      </c>
      <c r="C101" s="2" t="s">
        <v>118</v>
      </c>
      <c r="D101" s="2" t="s">
        <v>19</v>
      </c>
      <c r="E101" s="7" t="s">
        <v>121</v>
      </c>
      <c r="F101" s="3">
        <v>42241.604166666664</v>
      </c>
      <c r="G101" s="3">
        <v>42241.666666666664</v>
      </c>
      <c r="H101" s="1" t="s">
        <v>6</v>
      </c>
      <c r="I101" s="1" t="s">
        <v>38</v>
      </c>
      <c r="J101" s="1">
        <v>42242.385983796295</v>
      </c>
      <c r="K101" s="1" t="s">
        <v>118</v>
      </c>
      <c r="L101" s="14">
        <f>24*(TblTimeSheet[[#This Row],[End Date and Time]]-TblTimeSheet[[#This Row],[Start Date and Time]])</f>
        <v>1.5</v>
      </c>
      <c r="M10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
        <f>--(0&gt;(TblTimeSheet[[#This Row],[End Date and Time]]-TblTimeSheet[[#This Row],[Start Date and Time]]))</f>
        <v>0</v>
      </c>
    </row>
    <row r="102" spans="1:14" x14ac:dyDescent="0.25">
      <c r="A102" s="1"/>
      <c r="B102" s="2" t="s">
        <v>114</v>
      </c>
      <c r="C102" s="2" t="s">
        <v>116</v>
      </c>
      <c r="D102" s="2" t="s">
        <v>19</v>
      </c>
      <c r="E102" s="7" t="s">
        <v>186</v>
      </c>
      <c r="F102" s="3">
        <v>42241.604166666664</v>
      </c>
      <c r="G102" s="3">
        <v>42241.666666666664</v>
      </c>
      <c r="H102" s="1" t="s">
        <v>6</v>
      </c>
      <c r="I102" s="1" t="s">
        <v>38</v>
      </c>
      <c r="J102" s="1">
        <v>42242.386944444443</v>
      </c>
      <c r="K102" s="1" t="s">
        <v>701</v>
      </c>
      <c r="L102" s="14">
        <f>24*(TblTimeSheet[[#This Row],[End Date and Time]]-TblTimeSheet[[#This Row],[Start Date and Time]])</f>
        <v>1.5</v>
      </c>
      <c r="M10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
        <f>--(0&gt;(TblTimeSheet[[#This Row],[End Date and Time]]-TblTimeSheet[[#This Row],[Start Date and Time]]))</f>
        <v>0</v>
      </c>
    </row>
    <row r="103" spans="1:14" x14ac:dyDescent="0.25">
      <c r="A103" s="1"/>
      <c r="B103" s="2" t="s">
        <v>110</v>
      </c>
      <c r="C103" s="2" t="s">
        <v>41</v>
      </c>
      <c r="D103" s="2" t="s">
        <v>20</v>
      </c>
      <c r="E103" s="7" t="s">
        <v>187</v>
      </c>
      <c r="F103" s="3">
        <v>42241.767361111109</v>
      </c>
      <c r="G103" s="3">
        <v>42241.788194444445</v>
      </c>
      <c r="H103" s="1" t="s">
        <v>6</v>
      </c>
      <c r="I103" s="1" t="s">
        <v>38</v>
      </c>
      <c r="J103" s="1">
        <v>42242.387499999997</v>
      </c>
      <c r="K103" s="1" t="s">
        <v>41</v>
      </c>
      <c r="L103" s="14">
        <f>24*(TblTimeSheet[[#This Row],[End Date and Time]]-TblTimeSheet[[#This Row],[Start Date and Time]])</f>
        <v>0.50000000005820766</v>
      </c>
      <c r="M10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
        <f>--(0&gt;(TblTimeSheet[[#This Row],[End Date and Time]]-TblTimeSheet[[#This Row],[Start Date and Time]]))</f>
        <v>0</v>
      </c>
    </row>
    <row r="104" spans="1:14" x14ac:dyDescent="0.25">
      <c r="A104" s="1"/>
      <c r="B104" s="2" t="s">
        <v>108</v>
      </c>
      <c r="C104" s="2" t="s">
        <v>116</v>
      </c>
      <c r="D104" s="2" t="s">
        <v>20</v>
      </c>
      <c r="E104" s="7" t="s">
        <v>188</v>
      </c>
      <c r="F104" s="3">
        <v>42241.520833333336</v>
      </c>
      <c r="G104" s="3">
        <v>42241.5625</v>
      </c>
      <c r="H104" s="1" t="s">
        <v>6</v>
      </c>
      <c r="I104" s="1" t="s">
        <v>38</v>
      </c>
      <c r="J104" s="1">
        <v>42242.393692129626</v>
      </c>
      <c r="K104" s="1" t="s">
        <v>701</v>
      </c>
      <c r="L104" s="14">
        <f>24*(TblTimeSheet[[#This Row],[End Date and Time]]-TblTimeSheet[[#This Row],[Start Date and Time]])</f>
        <v>0.99999999994179234</v>
      </c>
      <c r="M10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
        <f>--(0&gt;(TblTimeSheet[[#This Row],[End Date and Time]]-TblTimeSheet[[#This Row],[Start Date and Time]]))</f>
        <v>0</v>
      </c>
    </row>
    <row r="105" spans="1:14" x14ac:dyDescent="0.25">
      <c r="A105" s="1"/>
      <c r="B105" s="2" t="s">
        <v>114</v>
      </c>
      <c r="C105" s="2" t="s">
        <v>116</v>
      </c>
      <c r="D105" s="2" t="s">
        <v>19</v>
      </c>
      <c r="E105" s="7" t="s">
        <v>189</v>
      </c>
      <c r="F105" s="3">
        <v>42242.4375</v>
      </c>
      <c r="G105" s="3">
        <v>42242.489583333336</v>
      </c>
      <c r="H105" s="1" t="s">
        <v>6</v>
      </c>
      <c r="I105" s="1" t="s">
        <v>38</v>
      </c>
      <c r="J105" s="1">
        <v>42242.507847222223</v>
      </c>
      <c r="K105" s="1" t="s">
        <v>701</v>
      </c>
      <c r="L105" s="14">
        <f>24*(TblTimeSheet[[#This Row],[End Date and Time]]-TblTimeSheet[[#This Row],[Start Date and Time]])</f>
        <v>1.2500000000582077</v>
      </c>
      <c r="M10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
        <f>--(0&gt;(TblTimeSheet[[#This Row],[End Date and Time]]-TblTimeSheet[[#This Row],[Start Date and Time]]))</f>
        <v>0</v>
      </c>
    </row>
    <row r="106" spans="1:14" x14ac:dyDescent="0.25">
      <c r="A106" s="1"/>
      <c r="B106" s="2" t="s">
        <v>114</v>
      </c>
      <c r="C106" s="2" t="s">
        <v>171</v>
      </c>
      <c r="D106" s="2" t="s">
        <v>19</v>
      </c>
      <c r="E106" s="7" t="s">
        <v>189</v>
      </c>
      <c r="F106" s="3">
        <v>42242.4375</v>
      </c>
      <c r="G106" s="3">
        <v>42242.489583333336</v>
      </c>
      <c r="H106" s="1" t="s">
        <v>6</v>
      </c>
      <c r="I106" s="1" t="s">
        <v>38</v>
      </c>
      <c r="J106" s="1">
        <v>42242.508958333332</v>
      </c>
      <c r="K106" s="1" t="s">
        <v>171</v>
      </c>
      <c r="L106" s="14">
        <f>24*(TblTimeSheet[[#This Row],[End Date and Time]]-TblTimeSheet[[#This Row],[Start Date and Time]])</f>
        <v>1.2500000000582077</v>
      </c>
      <c r="M10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
        <f>--(0&gt;(TblTimeSheet[[#This Row],[End Date and Time]]-TblTimeSheet[[#This Row],[Start Date and Time]]))</f>
        <v>0</v>
      </c>
    </row>
    <row r="107" spans="1:14" x14ac:dyDescent="0.25">
      <c r="A107" s="1"/>
      <c r="B107" s="2" t="s">
        <v>114</v>
      </c>
      <c r="C107" s="2" t="s">
        <v>118</v>
      </c>
      <c r="D107" s="2" t="s">
        <v>19</v>
      </c>
      <c r="E107" s="7" t="s">
        <v>185</v>
      </c>
      <c r="F107" s="3">
        <v>42242.4375</v>
      </c>
      <c r="G107" s="3">
        <v>42242.489583333336</v>
      </c>
      <c r="H107" s="1" t="s">
        <v>6</v>
      </c>
      <c r="I107" s="1" t="s">
        <v>38</v>
      </c>
      <c r="J107" s="1">
        <v>42242.512060185189</v>
      </c>
      <c r="K107" s="1" t="s">
        <v>118</v>
      </c>
      <c r="L107" s="14">
        <f>24*(TblTimeSheet[[#This Row],[End Date and Time]]-TblTimeSheet[[#This Row],[Start Date and Time]])</f>
        <v>1.2500000000582077</v>
      </c>
      <c r="M10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
        <f>--(0&gt;(TblTimeSheet[[#This Row],[End Date and Time]]-TblTimeSheet[[#This Row],[Start Date and Time]]))</f>
        <v>0</v>
      </c>
    </row>
    <row r="108" spans="1:14" x14ac:dyDescent="0.25">
      <c r="A108" s="1"/>
      <c r="B108" s="2" t="s">
        <v>108</v>
      </c>
      <c r="C108" s="2" t="s">
        <v>41</v>
      </c>
      <c r="D108" s="2" t="s">
        <v>20</v>
      </c>
      <c r="E108" s="7" t="s">
        <v>211</v>
      </c>
      <c r="F108" s="3">
        <v>42242.541666666664</v>
      </c>
      <c r="G108" s="3">
        <v>42242.555555555555</v>
      </c>
      <c r="H108" s="1" t="s">
        <v>6</v>
      </c>
      <c r="I108" s="1" t="s">
        <v>38</v>
      </c>
      <c r="J108" s="1">
        <v>42242.594571759262</v>
      </c>
      <c r="K108" s="1" t="s">
        <v>41</v>
      </c>
      <c r="L108" s="14">
        <f>24*(TblTimeSheet[[#This Row],[End Date and Time]]-TblTimeSheet[[#This Row],[Start Date and Time]])</f>
        <v>0.33333333337213844</v>
      </c>
      <c r="M10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
        <f>--(0&gt;(TblTimeSheet[[#This Row],[End Date and Time]]-TblTimeSheet[[#This Row],[Start Date and Time]]))</f>
        <v>0</v>
      </c>
    </row>
    <row r="109" spans="1:14" x14ac:dyDescent="0.25">
      <c r="A109" s="1"/>
      <c r="B109" s="2" t="s">
        <v>110</v>
      </c>
      <c r="C109" s="2" t="s">
        <v>41</v>
      </c>
      <c r="D109" s="2" t="s">
        <v>20</v>
      </c>
      <c r="E109" s="7" t="s">
        <v>190</v>
      </c>
      <c r="F109" s="3">
        <v>42242.458333333336</v>
      </c>
      <c r="G109" s="3">
        <v>42242.538194444445</v>
      </c>
      <c r="H109" s="1" t="s">
        <v>6</v>
      </c>
      <c r="I109" s="1" t="s">
        <v>38</v>
      </c>
      <c r="J109" s="1">
        <v>42242.595509259256</v>
      </c>
      <c r="K109" s="1" t="s">
        <v>41</v>
      </c>
      <c r="L109" s="14">
        <f>24*(TblTimeSheet[[#This Row],[End Date and Time]]-TblTimeSheet[[#This Row],[Start Date and Time]])</f>
        <v>1.9166666666278616</v>
      </c>
      <c r="M10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
        <f>--(0&gt;(TblTimeSheet[[#This Row],[End Date and Time]]-TblTimeSheet[[#This Row],[Start Date and Time]]))</f>
        <v>0</v>
      </c>
    </row>
    <row r="110" spans="1:14" x14ac:dyDescent="0.25">
      <c r="A110" s="1"/>
      <c r="B110" s="2" t="s">
        <v>114</v>
      </c>
      <c r="C110" s="2" t="s">
        <v>78</v>
      </c>
      <c r="D110" s="2" t="s">
        <v>19</v>
      </c>
      <c r="E110" s="7" t="s">
        <v>385</v>
      </c>
      <c r="F110" s="3">
        <v>42242.625</v>
      </c>
      <c r="G110" s="3">
        <v>42242.638888888891</v>
      </c>
      <c r="H110" s="1" t="s">
        <v>6</v>
      </c>
      <c r="I110" s="1" t="s">
        <v>38</v>
      </c>
      <c r="J110" s="1">
        <v>42242.641631944447</v>
      </c>
      <c r="K110" s="1" t="s">
        <v>78</v>
      </c>
      <c r="L110" s="14">
        <f>24*(TblTimeSheet[[#This Row],[End Date and Time]]-TblTimeSheet[[#This Row],[Start Date and Time]])</f>
        <v>0.33333333337213844</v>
      </c>
      <c r="M11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
        <f>--(0&gt;(TblTimeSheet[[#This Row],[End Date and Time]]-TblTimeSheet[[#This Row],[Start Date and Time]]))</f>
        <v>0</v>
      </c>
    </row>
    <row r="111" spans="1:14" x14ac:dyDescent="0.25">
      <c r="A111" s="1"/>
      <c r="B111" s="2" t="s">
        <v>108</v>
      </c>
      <c r="C111" s="2" t="s">
        <v>116</v>
      </c>
      <c r="D111" s="2" t="s">
        <v>20</v>
      </c>
      <c r="E111" s="7" t="s">
        <v>405</v>
      </c>
      <c r="F111" s="3">
        <v>42242.541666666664</v>
      </c>
      <c r="G111" s="3">
        <v>42242.555555555555</v>
      </c>
      <c r="H111" s="1" t="s">
        <v>6</v>
      </c>
      <c r="I111" s="1" t="s">
        <v>38</v>
      </c>
      <c r="J111" s="1">
        <v>42242.643958333334</v>
      </c>
      <c r="K111" s="1" t="s">
        <v>701</v>
      </c>
      <c r="L111" s="14">
        <f>24*(TblTimeSheet[[#This Row],[End Date and Time]]-TblTimeSheet[[#This Row],[Start Date and Time]])</f>
        <v>0.33333333337213844</v>
      </c>
      <c r="M11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
        <f>--(0&gt;(TblTimeSheet[[#This Row],[End Date and Time]]-TblTimeSheet[[#This Row],[Start Date and Time]]))</f>
        <v>0</v>
      </c>
    </row>
    <row r="112" spans="1:14" x14ac:dyDescent="0.25">
      <c r="A112" s="1"/>
      <c r="B112" s="2" t="s">
        <v>108</v>
      </c>
      <c r="C112" s="2" t="s">
        <v>116</v>
      </c>
      <c r="D112" s="2" t="s">
        <v>20</v>
      </c>
      <c r="E112" s="7" t="s">
        <v>386</v>
      </c>
      <c r="F112" s="3">
        <v>42242.5</v>
      </c>
      <c r="G112" s="3">
        <v>42242.53125</v>
      </c>
      <c r="H112" s="1" t="s">
        <v>6</v>
      </c>
      <c r="I112" s="1" t="s">
        <v>38</v>
      </c>
      <c r="J112" s="1">
        <v>42242.646099537036</v>
      </c>
      <c r="K112" s="1" t="s">
        <v>701</v>
      </c>
      <c r="L112" s="14">
        <f>24*(TblTimeSheet[[#This Row],[End Date and Time]]-TblTimeSheet[[#This Row],[Start Date and Time]])</f>
        <v>0.75</v>
      </c>
      <c r="M11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
        <f>--(0&gt;(TblTimeSheet[[#This Row],[End Date and Time]]-TblTimeSheet[[#This Row],[Start Date and Time]]))</f>
        <v>0</v>
      </c>
    </row>
    <row r="113" spans="1:14" x14ac:dyDescent="0.25">
      <c r="A113" s="1"/>
      <c r="B113" s="2" t="s">
        <v>108</v>
      </c>
      <c r="C113" s="2" t="s">
        <v>116</v>
      </c>
      <c r="D113" s="2" t="s">
        <v>20</v>
      </c>
      <c r="E113" s="7" t="s">
        <v>387</v>
      </c>
      <c r="F113" s="3">
        <v>42242.604166666664</v>
      </c>
      <c r="G113" s="3">
        <v>42242.625</v>
      </c>
      <c r="H113" s="1" t="s">
        <v>6</v>
      </c>
      <c r="I113" s="1" t="s">
        <v>38</v>
      </c>
      <c r="J113" s="1">
        <v>42242.647800925923</v>
      </c>
      <c r="K113" s="1" t="s">
        <v>701</v>
      </c>
      <c r="L113" s="14">
        <f>24*(TblTimeSheet[[#This Row],[End Date and Time]]-TblTimeSheet[[#This Row],[Start Date and Time]])</f>
        <v>0.50000000005820766</v>
      </c>
      <c r="M11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
        <f>--(0&gt;(TblTimeSheet[[#This Row],[End Date and Time]]-TblTimeSheet[[#This Row],[Start Date and Time]]))</f>
        <v>0</v>
      </c>
    </row>
    <row r="114" spans="1:14" x14ac:dyDescent="0.25">
      <c r="A114" s="1"/>
      <c r="B114" s="2" t="s">
        <v>114</v>
      </c>
      <c r="C114" s="2" t="s">
        <v>171</v>
      </c>
      <c r="D114" s="2" t="s">
        <v>19</v>
      </c>
      <c r="E114" s="7" t="s">
        <v>388</v>
      </c>
      <c r="F114" s="3">
        <v>42242.625</v>
      </c>
      <c r="G114" s="3">
        <v>42242.638888888891</v>
      </c>
      <c r="H114" s="1" t="s">
        <v>6</v>
      </c>
      <c r="I114" s="1" t="s">
        <v>38</v>
      </c>
      <c r="J114" s="1">
        <v>42243.50508101852</v>
      </c>
      <c r="K114" s="1" t="s">
        <v>171</v>
      </c>
      <c r="L114" s="14">
        <f>24*(TblTimeSheet[[#This Row],[End Date and Time]]-TblTimeSheet[[#This Row],[Start Date and Time]])</f>
        <v>0.33333333337213844</v>
      </c>
      <c r="M1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
        <f>--(0&gt;(TblTimeSheet[[#This Row],[End Date and Time]]-TblTimeSheet[[#This Row],[Start Date and Time]]))</f>
        <v>0</v>
      </c>
    </row>
    <row r="115" spans="1:14" x14ac:dyDescent="0.25">
      <c r="A115" s="1"/>
      <c r="B115" s="2" t="s">
        <v>114</v>
      </c>
      <c r="C115" s="2" t="s">
        <v>116</v>
      </c>
      <c r="D115" s="2" t="s">
        <v>19</v>
      </c>
      <c r="E115" s="7" t="s">
        <v>389</v>
      </c>
      <c r="F115" s="3">
        <v>42242.631944444445</v>
      </c>
      <c r="G115" s="3">
        <v>42242.673611111109</v>
      </c>
      <c r="H115" s="1" t="s">
        <v>6</v>
      </c>
      <c r="I115" s="1" t="s">
        <v>38</v>
      </c>
      <c r="J115" s="1">
        <v>42242.677800925929</v>
      </c>
      <c r="K115" s="1" t="s">
        <v>701</v>
      </c>
      <c r="L115" s="14">
        <f>24*(TblTimeSheet[[#This Row],[End Date and Time]]-TblTimeSheet[[#This Row],[Start Date and Time]])</f>
        <v>0.99999999994179234</v>
      </c>
      <c r="M11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
        <f>--(0&gt;(TblTimeSheet[[#This Row],[End Date and Time]]-TblTimeSheet[[#This Row],[Start Date and Time]]))</f>
        <v>0</v>
      </c>
    </row>
    <row r="116" spans="1:14" x14ac:dyDescent="0.25">
      <c r="A116" s="1"/>
      <c r="B116" s="2" t="s">
        <v>110</v>
      </c>
      <c r="C116" s="2" t="s">
        <v>143</v>
      </c>
      <c r="D116" s="2" t="s">
        <v>20</v>
      </c>
      <c r="E116" s="7" t="s">
        <v>390</v>
      </c>
      <c r="F116" s="3">
        <v>42242.59375</v>
      </c>
      <c r="G116" s="3">
        <v>42242.729166666664</v>
      </c>
      <c r="H116" s="1" t="s">
        <v>6</v>
      </c>
      <c r="I116" s="1" t="s">
        <v>38</v>
      </c>
      <c r="J116" s="1">
        <v>42242.747141203705</v>
      </c>
      <c r="K116" s="1" t="s">
        <v>143</v>
      </c>
      <c r="L116" s="14">
        <f>24*(TblTimeSheet[[#This Row],[End Date and Time]]-TblTimeSheet[[#This Row],[Start Date and Time]])</f>
        <v>3.2499999999417923</v>
      </c>
      <c r="M11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
        <f>--(0&gt;(TblTimeSheet[[#This Row],[End Date and Time]]-TblTimeSheet[[#This Row],[Start Date and Time]]))</f>
        <v>0</v>
      </c>
    </row>
    <row r="117" spans="1:14" x14ac:dyDescent="0.25">
      <c r="A117" s="1"/>
      <c r="B117" s="2" t="s">
        <v>110</v>
      </c>
      <c r="C117" s="2" t="s">
        <v>41</v>
      </c>
      <c r="D117" s="2" t="s">
        <v>20</v>
      </c>
      <c r="E117" s="7" t="s">
        <v>391</v>
      </c>
      <c r="F117" s="3">
        <v>42242.625</v>
      </c>
      <c r="G117" s="3">
        <v>42242.729166666664</v>
      </c>
      <c r="H117" s="1" t="s">
        <v>6</v>
      </c>
      <c r="I117" s="1" t="s">
        <v>38</v>
      </c>
      <c r="J117" s="1">
        <v>42243.401597222219</v>
      </c>
      <c r="K117" s="1" t="s">
        <v>41</v>
      </c>
      <c r="L117" s="14">
        <f>24*(TblTimeSheet[[#This Row],[End Date and Time]]-TblTimeSheet[[#This Row],[Start Date and Time]])</f>
        <v>2.4999999999417923</v>
      </c>
      <c r="M11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
        <f>--(0&gt;(TblTimeSheet[[#This Row],[End Date and Time]]-TblTimeSheet[[#This Row],[Start Date and Time]]))</f>
        <v>0</v>
      </c>
    </row>
    <row r="118" spans="1:14" x14ac:dyDescent="0.25">
      <c r="A118" s="1"/>
      <c r="B118" s="2" t="s">
        <v>114</v>
      </c>
      <c r="C118" s="2" t="s">
        <v>171</v>
      </c>
      <c r="D118" s="2" t="s">
        <v>19</v>
      </c>
      <c r="E118" s="7" t="s">
        <v>392</v>
      </c>
      <c r="F118" s="3">
        <v>42242.642361111109</v>
      </c>
      <c r="G118" s="3">
        <v>42242.652777777781</v>
      </c>
      <c r="H118" s="1" t="s">
        <v>6</v>
      </c>
      <c r="I118" s="1" t="s">
        <v>38</v>
      </c>
      <c r="J118" s="1">
        <v>42243.424583333333</v>
      </c>
      <c r="K118" s="1" t="s">
        <v>171</v>
      </c>
      <c r="L118" s="14">
        <f>24*(TblTimeSheet[[#This Row],[End Date and Time]]-TblTimeSheet[[#This Row],[Start Date and Time]])</f>
        <v>0.25000000011641532</v>
      </c>
      <c r="M11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
        <f>--(0&gt;(TblTimeSheet[[#This Row],[End Date and Time]]-TblTimeSheet[[#This Row],[Start Date and Time]]))</f>
        <v>0</v>
      </c>
    </row>
    <row r="119" spans="1:14" x14ac:dyDescent="0.25">
      <c r="A119" s="1"/>
      <c r="B119" s="2" t="s">
        <v>114</v>
      </c>
      <c r="C119" s="2" t="s">
        <v>116</v>
      </c>
      <c r="D119" s="2" t="s">
        <v>19</v>
      </c>
      <c r="E119" s="7" t="s">
        <v>393</v>
      </c>
      <c r="F119" s="3">
        <v>42243.385416666664</v>
      </c>
      <c r="G119" s="3">
        <v>42243.416666666664</v>
      </c>
      <c r="H119" s="1" t="s">
        <v>6</v>
      </c>
      <c r="I119" s="1" t="s">
        <v>38</v>
      </c>
      <c r="J119" s="1">
        <v>42243.424780092595</v>
      </c>
      <c r="K119" s="1" t="s">
        <v>701</v>
      </c>
      <c r="L119" s="14">
        <f>24*(TblTimeSheet[[#This Row],[End Date and Time]]-TblTimeSheet[[#This Row],[Start Date and Time]])</f>
        <v>0.75</v>
      </c>
      <c r="M11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
        <f>--(0&gt;(TblTimeSheet[[#This Row],[End Date and Time]]-TblTimeSheet[[#This Row],[Start Date and Time]]))</f>
        <v>0</v>
      </c>
    </row>
    <row r="120" spans="1:14" x14ac:dyDescent="0.25">
      <c r="A120" s="1"/>
      <c r="B120" s="2" t="s">
        <v>114</v>
      </c>
      <c r="C120" s="2" t="s">
        <v>42</v>
      </c>
      <c r="D120" s="2" t="s">
        <v>19</v>
      </c>
      <c r="E120" s="7" t="s">
        <v>394</v>
      </c>
      <c r="F120" s="3">
        <v>42243.427083333336</v>
      </c>
      <c r="G120" s="3">
        <v>42243.486111111109</v>
      </c>
      <c r="H120" s="1" t="s">
        <v>6</v>
      </c>
      <c r="I120" s="1" t="s">
        <v>38</v>
      </c>
      <c r="J120" s="1">
        <v>42243.486388888887</v>
      </c>
      <c r="K120" s="1" t="s">
        <v>42</v>
      </c>
      <c r="L120" s="14">
        <f>24*(TblTimeSheet[[#This Row],[End Date and Time]]-TblTimeSheet[[#This Row],[Start Date and Time]])</f>
        <v>1.4166666665696539</v>
      </c>
      <c r="M12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
        <f>--(0&gt;(TblTimeSheet[[#This Row],[End Date and Time]]-TblTimeSheet[[#This Row],[Start Date and Time]]))</f>
        <v>0</v>
      </c>
    </row>
    <row r="121" spans="1:14" x14ac:dyDescent="0.25">
      <c r="A121" s="1"/>
      <c r="B121" s="2" t="s">
        <v>107</v>
      </c>
      <c r="C121" s="2" t="s">
        <v>116</v>
      </c>
      <c r="D121" s="2" t="s">
        <v>19</v>
      </c>
      <c r="E121" s="7" t="s">
        <v>395</v>
      </c>
      <c r="F121" s="3">
        <v>42243.427083333336</v>
      </c>
      <c r="G121" s="3">
        <v>42243.486111111109</v>
      </c>
      <c r="H121" s="1" t="s">
        <v>6</v>
      </c>
      <c r="I121" s="1" t="s">
        <v>38</v>
      </c>
      <c r="J121" s="1">
        <v>42243.492418981485</v>
      </c>
      <c r="K121" s="1" t="s">
        <v>81</v>
      </c>
      <c r="L121" s="14">
        <f>24*(TblTimeSheet[[#This Row],[End Date and Time]]-TblTimeSheet[[#This Row],[Start Date and Time]])</f>
        <v>1.4166666665696539</v>
      </c>
      <c r="M12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1">
        <f>--(0&gt;(TblTimeSheet[[#This Row],[End Date and Time]]-TblTimeSheet[[#This Row],[Start Date and Time]]))</f>
        <v>0</v>
      </c>
    </row>
    <row r="122" spans="1:14" x14ac:dyDescent="0.25">
      <c r="A122" s="1"/>
      <c r="B122" s="2" t="s">
        <v>110</v>
      </c>
      <c r="C122" s="2" t="s">
        <v>143</v>
      </c>
      <c r="D122" s="2" t="s">
        <v>20</v>
      </c>
      <c r="E122" s="7" t="s">
        <v>406</v>
      </c>
      <c r="F122" s="3">
        <v>42243.416666666664</v>
      </c>
      <c r="G122" s="3">
        <v>42243.479166666664</v>
      </c>
      <c r="H122" s="1" t="s">
        <v>6</v>
      </c>
      <c r="I122" s="1" t="s">
        <v>38</v>
      </c>
      <c r="J122" s="1">
        <v>42243.499479166669</v>
      </c>
      <c r="K122" s="1" t="s">
        <v>143</v>
      </c>
      <c r="L122" s="14">
        <f>24*(TblTimeSheet[[#This Row],[End Date and Time]]-TblTimeSheet[[#This Row],[Start Date and Time]])</f>
        <v>1.5</v>
      </c>
      <c r="M12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
        <f>--(0&gt;(TblTimeSheet[[#This Row],[End Date and Time]]-TblTimeSheet[[#This Row],[Start Date and Time]]))</f>
        <v>0</v>
      </c>
    </row>
    <row r="123" spans="1:14" x14ac:dyDescent="0.25">
      <c r="A123" s="1"/>
      <c r="B123" s="2" t="s">
        <v>114</v>
      </c>
      <c r="C123" s="2" t="s">
        <v>116</v>
      </c>
      <c r="D123" s="2" t="s">
        <v>19</v>
      </c>
      <c r="E123" s="7" t="s">
        <v>396</v>
      </c>
      <c r="F123" s="3">
        <v>42243.427083333336</v>
      </c>
      <c r="G123" s="3">
        <v>42243.486111111109</v>
      </c>
      <c r="H123" s="1" t="s">
        <v>6</v>
      </c>
      <c r="I123" s="1" t="s">
        <v>38</v>
      </c>
      <c r="J123" s="1">
        <v>42243.506412037037</v>
      </c>
      <c r="K123" s="1" t="s">
        <v>701</v>
      </c>
      <c r="L123" s="14">
        <f>24*(TblTimeSheet[[#This Row],[End Date and Time]]-TblTimeSheet[[#This Row],[Start Date and Time]])</f>
        <v>1.4166666665696539</v>
      </c>
      <c r="M12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3">
        <f>--(0&gt;(TblTimeSheet[[#This Row],[End Date and Time]]-TblTimeSheet[[#This Row],[Start Date and Time]]))</f>
        <v>0</v>
      </c>
    </row>
    <row r="124" spans="1:14" x14ac:dyDescent="0.25">
      <c r="A124" s="1"/>
      <c r="B124" s="2" t="s">
        <v>114</v>
      </c>
      <c r="C124" s="2" t="s">
        <v>116</v>
      </c>
      <c r="D124" s="2" t="s">
        <v>19</v>
      </c>
      <c r="E124" s="7" t="s">
        <v>397</v>
      </c>
      <c r="F124" s="3">
        <v>42243.486111111109</v>
      </c>
      <c r="G124" s="3">
        <v>42243.503472222219</v>
      </c>
      <c r="H124" s="1" t="s">
        <v>6</v>
      </c>
      <c r="I124" s="1" t="s">
        <v>38</v>
      </c>
      <c r="J124" s="1">
        <v>42243.507604166669</v>
      </c>
      <c r="K124" s="1" t="s">
        <v>701</v>
      </c>
      <c r="L124" s="14">
        <f>24*(TblTimeSheet[[#This Row],[End Date and Time]]-TblTimeSheet[[#This Row],[Start Date and Time]])</f>
        <v>0.41666666662786156</v>
      </c>
      <c r="M12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
        <f>--(0&gt;(TblTimeSheet[[#This Row],[End Date and Time]]-TblTimeSheet[[#This Row],[Start Date and Time]]))</f>
        <v>0</v>
      </c>
    </row>
    <row r="125" spans="1:14" x14ac:dyDescent="0.25">
      <c r="A125" s="1"/>
      <c r="B125" s="2" t="s">
        <v>108</v>
      </c>
      <c r="C125" s="2" t="s">
        <v>116</v>
      </c>
      <c r="D125" s="2" t="s">
        <v>20</v>
      </c>
      <c r="E125" s="7" t="s">
        <v>407</v>
      </c>
      <c r="F125" s="3">
        <v>42244.5</v>
      </c>
      <c r="G125" s="3">
        <v>42244.513888888891</v>
      </c>
      <c r="H125" s="1" t="s">
        <v>6</v>
      </c>
      <c r="I125" s="1" t="s">
        <v>38</v>
      </c>
      <c r="J125" s="1">
        <v>42244.508680555555</v>
      </c>
      <c r="K125" s="1" t="s">
        <v>701</v>
      </c>
      <c r="L125" s="14">
        <f>24*(TblTimeSheet[[#This Row],[End Date and Time]]-TblTimeSheet[[#This Row],[Start Date and Time]])</f>
        <v>0.33333333337213844</v>
      </c>
      <c r="M12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
        <f>--(0&gt;(TblTimeSheet[[#This Row],[End Date and Time]]-TblTimeSheet[[#This Row],[Start Date and Time]]))</f>
        <v>0</v>
      </c>
    </row>
    <row r="126" spans="1:14" x14ac:dyDescent="0.25">
      <c r="A126" s="1"/>
      <c r="B126" s="2" t="s">
        <v>108</v>
      </c>
      <c r="C126" s="2" t="s">
        <v>116</v>
      </c>
      <c r="D126" s="2" t="s">
        <v>20</v>
      </c>
      <c r="E126" s="7" t="s">
        <v>398</v>
      </c>
      <c r="F126" s="3">
        <v>42244.666666666664</v>
      </c>
      <c r="G126" s="3">
        <v>42244.791666666664</v>
      </c>
      <c r="H126" s="1" t="s">
        <v>6</v>
      </c>
      <c r="I126" s="1" t="s">
        <v>38</v>
      </c>
      <c r="J126" s="1">
        <v>42244.789571759262</v>
      </c>
      <c r="K126" s="1" t="s">
        <v>81</v>
      </c>
      <c r="L126" s="14">
        <f>24*(TblTimeSheet[[#This Row],[End Date and Time]]-TblTimeSheet[[#This Row],[Start Date and Time]])</f>
        <v>3</v>
      </c>
      <c r="M12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6">
        <f>--(0&gt;(TblTimeSheet[[#This Row],[End Date and Time]]-TblTimeSheet[[#This Row],[Start Date and Time]]))</f>
        <v>0</v>
      </c>
    </row>
    <row r="127" spans="1:14" x14ac:dyDescent="0.25">
      <c r="A127" s="1"/>
      <c r="B127" s="2" t="s">
        <v>110</v>
      </c>
      <c r="C127" s="2" t="s">
        <v>41</v>
      </c>
      <c r="D127" s="2" t="s">
        <v>20</v>
      </c>
      <c r="E127" s="7" t="s">
        <v>399</v>
      </c>
      <c r="F127" s="3">
        <v>42244.416666666664</v>
      </c>
      <c r="G127" s="3">
        <v>42244.541666666664</v>
      </c>
      <c r="H127" s="1" t="s">
        <v>6</v>
      </c>
      <c r="I127" s="1" t="s">
        <v>38</v>
      </c>
      <c r="J127" s="1">
        <v>42244.791458333333</v>
      </c>
      <c r="K127" s="1" t="s">
        <v>41</v>
      </c>
      <c r="L127" s="14">
        <f>24*(TblTimeSheet[[#This Row],[End Date and Time]]-TblTimeSheet[[#This Row],[Start Date and Time]])</f>
        <v>3</v>
      </c>
      <c r="M12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7">
        <f>--(0&gt;(TblTimeSheet[[#This Row],[End Date and Time]]-TblTimeSheet[[#This Row],[Start Date and Time]]))</f>
        <v>0</v>
      </c>
    </row>
    <row r="128" spans="1:14" x14ac:dyDescent="0.25">
      <c r="A128" s="1"/>
      <c r="B128" s="2" t="s">
        <v>108</v>
      </c>
      <c r="C128" s="2" t="s">
        <v>116</v>
      </c>
      <c r="D128" s="2" t="s">
        <v>20</v>
      </c>
      <c r="E128" s="7" t="s">
        <v>400</v>
      </c>
      <c r="F128" s="3">
        <v>42244.666666666664</v>
      </c>
      <c r="G128" s="3">
        <v>42244.791666666664</v>
      </c>
      <c r="H128" s="1" t="s">
        <v>6</v>
      </c>
      <c r="I128" s="1" t="s">
        <v>38</v>
      </c>
      <c r="J128" s="1">
        <v>42244.79184027778</v>
      </c>
      <c r="K128" s="1" t="s">
        <v>701</v>
      </c>
      <c r="L128" s="14">
        <f>24*(TblTimeSheet[[#This Row],[End Date and Time]]-TblTimeSheet[[#This Row],[Start Date and Time]])</f>
        <v>3</v>
      </c>
      <c r="M12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8">
        <f>--(0&gt;(TblTimeSheet[[#This Row],[End Date and Time]]-TblTimeSheet[[#This Row],[Start Date and Time]]))</f>
        <v>0</v>
      </c>
    </row>
    <row r="129" spans="1:14" x14ac:dyDescent="0.25">
      <c r="A129" s="1"/>
      <c r="B129" s="2" t="s">
        <v>110</v>
      </c>
      <c r="C129" s="2" t="s">
        <v>41</v>
      </c>
      <c r="D129" s="2" t="s">
        <v>20</v>
      </c>
      <c r="E129" s="7" t="s">
        <v>401</v>
      </c>
      <c r="F129" s="3">
        <v>42244.625</v>
      </c>
      <c r="G129" s="3">
        <v>42244.729166666664</v>
      </c>
      <c r="H129" s="1" t="s">
        <v>6</v>
      </c>
      <c r="I129" s="1" t="s">
        <v>38</v>
      </c>
      <c r="J129" s="1">
        <v>42244.791932870372</v>
      </c>
      <c r="K129" s="1" t="s">
        <v>41</v>
      </c>
      <c r="L129" s="14">
        <f>24*(TblTimeSheet[[#This Row],[End Date and Time]]-TblTimeSheet[[#This Row],[Start Date and Time]])</f>
        <v>2.4999999999417923</v>
      </c>
      <c r="M12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
        <f>--(0&gt;(TblTimeSheet[[#This Row],[End Date and Time]]-TblTimeSheet[[#This Row],[Start Date and Time]]))</f>
        <v>0</v>
      </c>
    </row>
    <row r="130" spans="1:14" x14ac:dyDescent="0.25">
      <c r="A130" s="1"/>
      <c r="B130" s="2" t="s">
        <v>108</v>
      </c>
      <c r="C130" s="2" t="s">
        <v>116</v>
      </c>
      <c r="D130" s="2" t="s">
        <v>20</v>
      </c>
      <c r="E130" s="7" t="s">
        <v>402</v>
      </c>
      <c r="F130" s="3">
        <v>42245.319444444445</v>
      </c>
      <c r="G130" s="3">
        <v>42245.354166666664</v>
      </c>
      <c r="H130" s="1" t="s">
        <v>6</v>
      </c>
      <c r="I130" s="1" t="s">
        <v>38</v>
      </c>
      <c r="J130" s="1">
        <v>42245.610289351855</v>
      </c>
      <c r="K130" s="1" t="s">
        <v>81</v>
      </c>
      <c r="L130" s="14">
        <f>24*(TblTimeSheet[[#This Row],[End Date and Time]]-TblTimeSheet[[#This Row],[Start Date and Time]])</f>
        <v>0.83333333325572312</v>
      </c>
      <c r="M13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0">
        <f>--(0&gt;(TblTimeSheet[[#This Row],[End Date and Time]]-TblTimeSheet[[#This Row],[Start Date and Time]]))</f>
        <v>0</v>
      </c>
    </row>
    <row r="131" spans="1:14" x14ac:dyDescent="0.25">
      <c r="A131" s="1"/>
      <c r="B131" s="2" t="s">
        <v>108</v>
      </c>
      <c r="C131" s="2" t="s">
        <v>116</v>
      </c>
      <c r="D131" s="2" t="s">
        <v>20</v>
      </c>
      <c r="E131" s="7" t="s">
        <v>403</v>
      </c>
      <c r="F131" s="3">
        <v>42245.40625</v>
      </c>
      <c r="G131" s="3">
        <v>42245.510416666664</v>
      </c>
      <c r="H131" s="1" t="s">
        <v>6</v>
      </c>
      <c r="I131" s="1" t="s">
        <v>38</v>
      </c>
      <c r="J131" s="1">
        <v>42245.610821759263</v>
      </c>
      <c r="K131" s="1" t="s">
        <v>81</v>
      </c>
      <c r="L131" s="14">
        <f>24*(TblTimeSheet[[#This Row],[End Date and Time]]-TblTimeSheet[[#This Row],[Start Date and Time]])</f>
        <v>2.4999999999417923</v>
      </c>
      <c r="M13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1">
        <f>--(0&gt;(TblTimeSheet[[#This Row],[End Date and Time]]-TblTimeSheet[[#This Row],[Start Date and Time]]))</f>
        <v>0</v>
      </c>
    </row>
    <row r="132" spans="1:14" x14ac:dyDescent="0.25">
      <c r="A132" s="1"/>
      <c r="B132" s="2" t="s">
        <v>108</v>
      </c>
      <c r="C132" s="2" t="s">
        <v>116</v>
      </c>
      <c r="D132" s="2" t="s">
        <v>20</v>
      </c>
      <c r="E132" s="7" t="s">
        <v>404</v>
      </c>
      <c r="F132" s="3">
        <v>42245.319444444445</v>
      </c>
      <c r="G132" s="3">
        <v>42245.354166666664</v>
      </c>
      <c r="H132" s="1" t="s">
        <v>6</v>
      </c>
      <c r="I132" s="1" t="s">
        <v>38</v>
      </c>
      <c r="J132" s="1">
        <v>42245.612280092595</v>
      </c>
      <c r="K132" s="1" t="s">
        <v>701</v>
      </c>
      <c r="L132" s="14">
        <f>24*(TblTimeSheet[[#This Row],[End Date and Time]]-TblTimeSheet[[#This Row],[Start Date and Time]])</f>
        <v>0.83333333325572312</v>
      </c>
      <c r="M13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2">
        <f>--(0&gt;(TblTimeSheet[[#This Row],[End Date and Time]]-TblTimeSheet[[#This Row],[Start Date and Time]]))</f>
        <v>0</v>
      </c>
    </row>
    <row r="133" spans="1:14" x14ac:dyDescent="0.25">
      <c r="A133" s="1"/>
      <c r="B133" s="2" t="s">
        <v>108</v>
      </c>
      <c r="C133" s="2" t="s">
        <v>116</v>
      </c>
      <c r="D133" s="2" t="s">
        <v>20</v>
      </c>
      <c r="E133" s="7" t="s">
        <v>404</v>
      </c>
      <c r="F133" s="3">
        <v>42245.40625</v>
      </c>
      <c r="G133" s="3">
        <v>42245.510416666664</v>
      </c>
      <c r="H133" s="1" t="s">
        <v>6</v>
      </c>
      <c r="I133" s="1" t="s">
        <v>38</v>
      </c>
      <c r="J133" s="1">
        <v>42245.612557870372</v>
      </c>
      <c r="K133" s="1" t="s">
        <v>701</v>
      </c>
      <c r="L133" s="14">
        <f>24*(TblTimeSheet[[#This Row],[End Date and Time]]-TblTimeSheet[[#This Row],[Start Date and Time]])</f>
        <v>2.4999999999417923</v>
      </c>
      <c r="M13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3">
        <f>--(0&gt;(TblTimeSheet[[#This Row],[End Date and Time]]-TblTimeSheet[[#This Row],[Start Date and Time]]))</f>
        <v>0</v>
      </c>
    </row>
    <row r="134" spans="1:14" x14ac:dyDescent="0.25">
      <c r="A134" s="1"/>
      <c r="B134" s="2" t="s">
        <v>108</v>
      </c>
      <c r="C134" s="2" t="s">
        <v>116</v>
      </c>
      <c r="D134" s="2" t="s">
        <v>20</v>
      </c>
      <c r="E134" s="7" t="s">
        <v>196</v>
      </c>
      <c r="F134" s="3">
        <v>42247.427083333336</v>
      </c>
      <c r="G134" s="3">
        <v>42247.447916666664</v>
      </c>
      <c r="H134" s="1" t="s">
        <v>6</v>
      </c>
      <c r="I134" s="1" t="s">
        <v>38</v>
      </c>
      <c r="J134" s="1">
        <v>42247.462592592594</v>
      </c>
      <c r="K134" s="1" t="s">
        <v>701</v>
      </c>
      <c r="L134" s="14">
        <f>24*(TblTimeSheet[[#This Row],[End Date and Time]]-TblTimeSheet[[#This Row],[Start Date and Time]])</f>
        <v>0.49999999988358468</v>
      </c>
      <c r="M13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
        <f>--(0&gt;(TblTimeSheet[[#This Row],[End Date and Time]]-TblTimeSheet[[#This Row],[Start Date and Time]]))</f>
        <v>0</v>
      </c>
    </row>
    <row r="135" spans="1:14" x14ac:dyDescent="0.25">
      <c r="A135" s="1"/>
      <c r="B135" s="2" t="s">
        <v>110</v>
      </c>
      <c r="C135" s="2" t="s">
        <v>116</v>
      </c>
      <c r="D135" s="2" t="s">
        <v>20</v>
      </c>
      <c r="E135" s="7" t="s">
        <v>440</v>
      </c>
      <c r="F135" s="3">
        <v>42247.46875</v>
      </c>
      <c r="G135" s="3">
        <v>42247.5</v>
      </c>
      <c r="H135" s="1" t="s">
        <v>6</v>
      </c>
      <c r="I135" s="1" t="s">
        <v>38</v>
      </c>
      <c r="J135" s="1">
        <v>42247.538194444445</v>
      </c>
      <c r="K135" s="1" t="s">
        <v>701</v>
      </c>
      <c r="L135" s="14">
        <f>24*(TblTimeSheet[[#This Row],[End Date and Time]]-TblTimeSheet[[#This Row],[Start Date and Time]])</f>
        <v>0.75</v>
      </c>
      <c r="M13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
        <f>--(0&gt;(TblTimeSheet[[#This Row],[End Date and Time]]-TblTimeSheet[[#This Row],[Start Date and Time]]))</f>
        <v>0</v>
      </c>
    </row>
    <row r="136" spans="1:14" x14ac:dyDescent="0.25">
      <c r="A136" s="1"/>
      <c r="B136" s="2" t="s">
        <v>110</v>
      </c>
      <c r="C136" s="2" t="s">
        <v>116</v>
      </c>
      <c r="D136" s="2" t="s">
        <v>20</v>
      </c>
      <c r="E136" s="7" t="s">
        <v>441</v>
      </c>
      <c r="F136" s="3">
        <v>42248.409722222219</v>
      </c>
      <c r="G136" s="3">
        <v>42248.430555555555</v>
      </c>
      <c r="H136" s="1" t="s">
        <v>6</v>
      </c>
      <c r="I136" s="1" t="s">
        <v>38</v>
      </c>
      <c r="J136" s="1">
        <v>42248.436678240738</v>
      </c>
      <c r="K136" s="1" t="s">
        <v>39</v>
      </c>
      <c r="L136" s="14">
        <f>24*(TblTimeSheet[[#This Row],[End Date and Time]]-TblTimeSheet[[#This Row],[Start Date and Time]])</f>
        <v>0.50000000005820766</v>
      </c>
      <c r="M13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6">
        <f>--(0&gt;(TblTimeSheet[[#This Row],[End Date and Time]]-TblTimeSheet[[#This Row],[Start Date and Time]]))</f>
        <v>0</v>
      </c>
    </row>
    <row r="137" spans="1:14" x14ac:dyDescent="0.25">
      <c r="A137" s="1"/>
      <c r="B137" s="2" t="s">
        <v>110</v>
      </c>
      <c r="C137" s="2" t="s">
        <v>116</v>
      </c>
      <c r="D137" s="2" t="s">
        <v>20</v>
      </c>
      <c r="E137" s="7" t="s">
        <v>442</v>
      </c>
      <c r="F137" s="3">
        <v>42248.409722222219</v>
      </c>
      <c r="G137" s="3">
        <v>42248.430555555555</v>
      </c>
      <c r="H137" s="1" t="s">
        <v>6</v>
      </c>
      <c r="I137" s="1" t="s">
        <v>38</v>
      </c>
      <c r="J137" s="1">
        <v>42248.616238425922</v>
      </c>
      <c r="K137" s="1" t="s">
        <v>701</v>
      </c>
      <c r="L137" s="14">
        <f>24*(TblTimeSheet[[#This Row],[End Date and Time]]-TblTimeSheet[[#This Row],[Start Date and Time]])</f>
        <v>0.50000000005820766</v>
      </c>
      <c r="M13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7">
        <f>--(0&gt;(TblTimeSheet[[#This Row],[End Date and Time]]-TblTimeSheet[[#This Row],[Start Date and Time]]))</f>
        <v>0</v>
      </c>
    </row>
    <row r="138" spans="1:14" x14ac:dyDescent="0.25">
      <c r="A138" s="1"/>
      <c r="B138" s="2" t="s">
        <v>108</v>
      </c>
      <c r="C138" s="2" t="s">
        <v>116</v>
      </c>
      <c r="D138" s="2" t="s">
        <v>32</v>
      </c>
      <c r="E138" s="7" t="s">
        <v>443</v>
      </c>
      <c r="F138" s="3">
        <v>42248.4375</v>
      </c>
      <c r="G138" s="3">
        <v>42248.458333333336</v>
      </c>
      <c r="H138" s="1" t="s">
        <v>6</v>
      </c>
      <c r="I138" s="1" t="s">
        <v>38</v>
      </c>
      <c r="J138" s="1">
        <v>42248.618900462963</v>
      </c>
      <c r="K138" s="1" t="s">
        <v>701</v>
      </c>
      <c r="L138" s="14">
        <f>24*(TblTimeSheet[[#This Row],[End Date and Time]]-TblTimeSheet[[#This Row],[Start Date and Time]])</f>
        <v>0.50000000005820766</v>
      </c>
      <c r="M13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
        <f>--(0&gt;(TblTimeSheet[[#This Row],[End Date and Time]]-TblTimeSheet[[#This Row],[Start Date and Time]]))</f>
        <v>0</v>
      </c>
    </row>
    <row r="139" spans="1:14" x14ac:dyDescent="0.25">
      <c r="A139" s="1"/>
      <c r="B139" s="2" t="s">
        <v>114</v>
      </c>
      <c r="C139" s="2" t="s">
        <v>116</v>
      </c>
      <c r="D139" s="2" t="s">
        <v>20</v>
      </c>
      <c r="E139" s="7" t="s">
        <v>444</v>
      </c>
      <c r="F139" s="3">
        <v>42248.458333333336</v>
      </c>
      <c r="G139" s="3">
        <v>42248.479166666664</v>
      </c>
      <c r="H139" s="1" t="s">
        <v>6</v>
      </c>
      <c r="I139" s="1" t="s">
        <v>38</v>
      </c>
      <c r="J139" s="1">
        <v>42248.619490740741</v>
      </c>
      <c r="K139" s="1" t="s">
        <v>701</v>
      </c>
      <c r="L139" s="14">
        <f>24*(TblTimeSheet[[#This Row],[End Date and Time]]-TblTimeSheet[[#This Row],[Start Date and Time]])</f>
        <v>0.49999999988358468</v>
      </c>
      <c r="M13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
        <f>--(0&gt;(TblTimeSheet[[#This Row],[End Date and Time]]-TblTimeSheet[[#This Row],[Start Date and Time]]))</f>
        <v>0</v>
      </c>
    </row>
    <row r="140" spans="1:14" x14ac:dyDescent="0.25">
      <c r="A140" s="1"/>
      <c r="B140" s="2" t="s">
        <v>110</v>
      </c>
      <c r="C140" s="2" t="s">
        <v>143</v>
      </c>
      <c r="D140" s="2" t="s">
        <v>20</v>
      </c>
      <c r="E140" s="7" t="s">
        <v>449</v>
      </c>
      <c r="F140" s="3">
        <v>42248.625</v>
      </c>
      <c r="G140" s="3">
        <v>42248.666666666664</v>
      </c>
      <c r="H140" s="1" t="s">
        <v>6</v>
      </c>
      <c r="I140" s="1" t="s">
        <v>38</v>
      </c>
      <c r="J140" s="1">
        <v>42248.706759259258</v>
      </c>
      <c r="K140" s="1" t="s">
        <v>143</v>
      </c>
      <c r="L140" s="14">
        <f>24*(TblTimeSheet[[#This Row],[End Date and Time]]-TblTimeSheet[[#This Row],[Start Date and Time]])</f>
        <v>0.99999999994179234</v>
      </c>
      <c r="M14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
        <f>--(0&gt;(TblTimeSheet[[#This Row],[End Date and Time]]-TblTimeSheet[[#This Row],[Start Date and Time]]))</f>
        <v>0</v>
      </c>
    </row>
    <row r="141" spans="1:14" x14ac:dyDescent="0.25">
      <c r="A141" s="1"/>
      <c r="B141" s="2" t="s">
        <v>110</v>
      </c>
      <c r="C141" s="2" t="s">
        <v>41</v>
      </c>
      <c r="D141" s="2" t="s">
        <v>20</v>
      </c>
      <c r="E141" s="7" t="s">
        <v>445</v>
      </c>
      <c r="F141" s="3">
        <v>42248.625</v>
      </c>
      <c r="G141" s="3">
        <v>42248.666666666664</v>
      </c>
      <c r="H141" s="1" t="s">
        <v>6</v>
      </c>
      <c r="I141" s="1" t="s">
        <v>38</v>
      </c>
      <c r="J141" s="1">
        <v>42248.726099537038</v>
      </c>
      <c r="K141" s="1" t="s">
        <v>41</v>
      </c>
      <c r="L141" s="14">
        <f>24*(TblTimeSheet[[#This Row],[End Date and Time]]-TblTimeSheet[[#This Row],[Start Date and Time]])</f>
        <v>0.99999999994179234</v>
      </c>
      <c r="M14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
        <f>--(0&gt;(TblTimeSheet[[#This Row],[End Date and Time]]-TblTimeSheet[[#This Row],[Start Date and Time]]))</f>
        <v>0</v>
      </c>
    </row>
    <row r="142" spans="1:14" x14ac:dyDescent="0.25">
      <c r="A142" s="1"/>
      <c r="B142" s="2" t="s">
        <v>110</v>
      </c>
      <c r="C142" s="2" t="s">
        <v>41</v>
      </c>
      <c r="D142" s="2" t="s">
        <v>20</v>
      </c>
      <c r="E142" s="7" t="s">
        <v>446</v>
      </c>
      <c r="F142" s="3">
        <v>42248.409722222219</v>
      </c>
      <c r="G142" s="3">
        <v>42248.430555555555</v>
      </c>
      <c r="H142" s="1" t="s">
        <v>6</v>
      </c>
      <c r="I142" s="1" t="s">
        <v>38</v>
      </c>
      <c r="J142" s="1">
        <v>42249.483807870369</v>
      </c>
      <c r="K142" s="1" t="s">
        <v>41</v>
      </c>
      <c r="L142" s="14">
        <f>24*(TblTimeSheet[[#This Row],[End Date and Time]]-TblTimeSheet[[#This Row],[Start Date and Time]])</f>
        <v>0.50000000005820766</v>
      </c>
      <c r="M14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
        <f>--(0&gt;(TblTimeSheet[[#This Row],[End Date and Time]]-TblTimeSheet[[#This Row],[Start Date and Time]]))</f>
        <v>0</v>
      </c>
    </row>
    <row r="143" spans="1:14" x14ac:dyDescent="0.25">
      <c r="A143" s="1"/>
      <c r="B143" s="2" t="s">
        <v>110</v>
      </c>
      <c r="C143" s="2" t="s">
        <v>171</v>
      </c>
      <c r="D143" s="2" t="s">
        <v>20</v>
      </c>
      <c r="E143" s="7" t="s">
        <v>447</v>
      </c>
      <c r="F143" s="3">
        <v>42243.416666666664</v>
      </c>
      <c r="G143" s="3">
        <v>42243.479166666664</v>
      </c>
      <c r="H143" s="1" t="s">
        <v>6</v>
      </c>
      <c r="I143" s="1" t="s">
        <v>38</v>
      </c>
      <c r="J143" s="1">
        <v>42251.386481481481</v>
      </c>
      <c r="K143" s="1" t="s">
        <v>171</v>
      </c>
      <c r="L143" s="14">
        <f>24*(TblTimeSheet[[#This Row],[End Date and Time]]-TblTimeSheet[[#This Row],[Start Date and Time]])</f>
        <v>1.5</v>
      </c>
      <c r="M14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
        <f>--(0&gt;(TblTimeSheet[[#This Row],[End Date and Time]]-TblTimeSheet[[#This Row],[Start Date and Time]]))</f>
        <v>0</v>
      </c>
    </row>
    <row r="144" spans="1:14" x14ac:dyDescent="0.25">
      <c r="A144" s="1"/>
      <c r="B144" s="2" t="s">
        <v>110</v>
      </c>
      <c r="C144" s="2" t="s">
        <v>124</v>
      </c>
      <c r="D144" s="2" t="s">
        <v>20</v>
      </c>
      <c r="E144" s="7" t="s">
        <v>465</v>
      </c>
      <c r="F144" s="3">
        <v>42243.416666666664</v>
      </c>
      <c r="G144" s="3">
        <v>42243.479166666664</v>
      </c>
      <c r="H144" s="1" t="s">
        <v>6</v>
      </c>
      <c r="I144" s="1" t="s">
        <v>38</v>
      </c>
      <c r="J144" s="1">
        <v>42249.489155092589</v>
      </c>
      <c r="K144" s="1" t="s">
        <v>2863</v>
      </c>
      <c r="L144" s="14">
        <f>24*(TblTimeSheet[[#This Row],[End Date and Time]]-TblTimeSheet[[#This Row],[Start Date and Time]])</f>
        <v>1.5</v>
      </c>
      <c r="M14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
        <f>--(0&gt;(TblTimeSheet[[#This Row],[End Date and Time]]-TblTimeSheet[[#This Row],[Start Date and Time]]))</f>
        <v>0</v>
      </c>
    </row>
    <row r="145" spans="1:14" x14ac:dyDescent="0.25">
      <c r="A145" s="1"/>
      <c r="B145" s="2" t="s">
        <v>110</v>
      </c>
      <c r="C145" s="2" t="s">
        <v>41</v>
      </c>
      <c r="D145" s="2" t="s">
        <v>20</v>
      </c>
      <c r="E145" s="7" t="s">
        <v>448</v>
      </c>
      <c r="F145" s="3">
        <v>42243.416666666664</v>
      </c>
      <c r="G145" s="3">
        <v>42243.479166666664</v>
      </c>
      <c r="H145" s="1" t="s">
        <v>6</v>
      </c>
      <c r="I145" s="1" t="s">
        <v>38</v>
      </c>
      <c r="J145" s="1">
        <v>42249.491840277777</v>
      </c>
      <c r="K145" s="1" t="s">
        <v>41</v>
      </c>
      <c r="L145" s="14">
        <f>24*(TblTimeSheet[[#This Row],[End Date and Time]]-TblTimeSheet[[#This Row],[Start Date and Time]])</f>
        <v>1.5</v>
      </c>
      <c r="M14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
        <f>--(0&gt;(TblTimeSheet[[#This Row],[End Date and Time]]-TblTimeSheet[[#This Row],[Start Date and Time]]))</f>
        <v>0</v>
      </c>
    </row>
    <row r="146" spans="1:14" x14ac:dyDescent="0.25">
      <c r="A146" s="1"/>
      <c r="B146" s="2" t="s">
        <v>108</v>
      </c>
      <c r="C146" s="2" t="s">
        <v>143</v>
      </c>
      <c r="D146" s="2" t="s">
        <v>32</v>
      </c>
      <c r="E146" s="7" t="s">
        <v>449</v>
      </c>
      <c r="F146" s="3">
        <v>42249.479166666664</v>
      </c>
      <c r="G146" s="3">
        <v>42249.5</v>
      </c>
      <c r="H146" s="1" t="s">
        <v>6</v>
      </c>
      <c r="I146" s="1" t="s">
        <v>38</v>
      </c>
      <c r="J146" s="1">
        <v>42249.507152777776</v>
      </c>
      <c r="K146" s="1" t="s">
        <v>143</v>
      </c>
      <c r="L146" s="14">
        <f>24*(TblTimeSheet[[#This Row],[End Date and Time]]-TblTimeSheet[[#This Row],[Start Date and Time]])</f>
        <v>0.50000000005820766</v>
      </c>
      <c r="M14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
        <f>--(0&gt;(TblTimeSheet[[#This Row],[End Date and Time]]-TblTimeSheet[[#This Row],[Start Date and Time]]))</f>
        <v>0</v>
      </c>
    </row>
    <row r="147" spans="1:14" x14ac:dyDescent="0.25">
      <c r="A147" s="1"/>
      <c r="B147" s="2" t="s">
        <v>108</v>
      </c>
      <c r="C147" s="2" t="s">
        <v>116</v>
      </c>
      <c r="D147" s="2" t="s">
        <v>32</v>
      </c>
      <c r="E147" s="7" t="s">
        <v>449</v>
      </c>
      <c r="F147" s="3">
        <v>42249.479166666664</v>
      </c>
      <c r="G147" s="3">
        <v>42249.5</v>
      </c>
      <c r="H147" s="1" t="s">
        <v>6</v>
      </c>
      <c r="I147" s="1" t="s">
        <v>38</v>
      </c>
      <c r="J147" s="1">
        <v>42249.529988425929</v>
      </c>
      <c r="K147" s="1" t="s">
        <v>701</v>
      </c>
      <c r="L147" s="14">
        <f>24*(TblTimeSheet[[#This Row],[End Date and Time]]-TblTimeSheet[[#This Row],[Start Date and Time]])</f>
        <v>0.50000000005820766</v>
      </c>
      <c r="M14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7">
        <f>--(0&gt;(TblTimeSheet[[#This Row],[End Date and Time]]-TblTimeSheet[[#This Row],[Start Date and Time]]))</f>
        <v>0</v>
      </c>
    </row>
    <row r="148" spans="1:14" x14ac:dyDescent="0.25">
      <c r="A148" s="1"/>
      <c r="B148" s="2" t="s">
        <v>114</v>
      </c>
      <c r="C148" s="2" t="s">
        <v>116</v>
      </c>
      <c r="D148" s="2" t="s">
        <v>20</v>
      </c>
      <c r="E148" s="7" t="s">
        <v>449</v>
      </c>
      <c r="F148" s="3">
        <v>42249.5</v>
      </c>
      <c r="G148" s="3">
        <v>42249.520833333336</v>
      </c>
      <c r="H148" s="1" t="s">
        <v>6</v>
      </c>
      <c r="I148" s="1" t="s">
        <v>38</v>
      </c>
      <c r="J148" s="1">
        <v>42249.530613425923</v>
      </c>
      <c r="K148" s="1" t="s">
        <v>701</v>
      </c>
      <c r="L148" s="14">
        <f>24*(TblTimeSheet[[#This Row],[End Date and Time]]-TblTimeSheet[[#This Row],[Start Date and Time]])</f>
        <v>0.50000000005820766</v>
      </c>
      <c r="M14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8">
        <f>--(0&gt;(TblTimeSheet[[#This Row],[End Date and Time]]-TblTimeSheet[[#This Row],[Start Date and Time]]))</f>
        <v>0</v>
      </c>
    </row>
    <row r="149" spans="1:14" x14ac:dyDescent="0.25">
      <c r="A149" s="1"/>
      <c r="B149" s="2" t="s">
        <v>114</v>
      </c>
      <c r="C149" s="2" t="s">
        <v>116</v>
      </c>
      <c r="D149" s="2" t="s">
        <v>20</v>
      </c>
      <c r="E149" s="7" t="s">
        <v>466</v>
      </c>
      <c r="F149" s="3">
        <v>42249.5</v>
      </c>
      <c r="G149" s="3">
        <v>42249.520833333336</v>
      </c>
      <c r="H149" s="1" t="s">
        <v>6</v>
      </c>
      <c r="I149" s="1" t="s">
        <v>38</v>
      </c>
      <c r="J149" s="1">
        <v>42249.531597222223</v>
      </c>
      <c r="K149" s="1" t="s">
        <v>166</v>
      </c>
      <c r="L149" s="14">
        <f>24*(TblTimeSheet[[#This Row],[End Date and Time]]-TblTimeSheet[[#This Row],[Start Date and Time]])</f>
        <v>0.50000000005820766</v>
      </c>
      <c r="M14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9">
        <f>--(0&gt;(TblTimeSheet[[#This Row],[End Date and Time]]-TblTimeSheet[[#This Row],[Start Date and Time]]))</f>
        <v>0</v>
      </c>
    </row>
    <row r="150" spans="1:14" x14ac:dyDescent="0.25">
      <c r="A150" s="1"/>
      <c r="B150" s="2" t="s">
        <v>108</v>
      </c>
      <c r="C150" s="2" t="s">
        <v>118</v>
      </c>
      <c r="D150" s="2" t="s">
        <v>32</v>
      </c>
      <c r="E150" s="7" t="s">
        <v>450</v>
      </c>
      <c r="F150" s="3">
        <v>42249.479166666664</v>
      </c>
      <c r="G150" s="3">
        <v>42249.5</v>
      </c>
      <c r="H150" s="1" t="s">
        <v>6</v>
      </c>
      <c r="I150" s="1" t="s">
        <v>38</v>
      </c>
      <c r="J150" s="1">
        <v>42249.534745370373</v>
      </c>
      <c r="K150" s="1" t="s">
        <v>118</v>
      </c>
      <c r="L150" s="14">
        <f>24*(TblTimeSheet[[#This Row],[End Date and Time]]-TblTimeSheet[[#This Row],[Start Date and Time]])</f>
        <v>0.50000000005820766</v>
      </c>
      <c r="M15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
        <f>--(0&gt;(TblTimeSheet[[#This Row],[End Date and Time]]-TblTimeSheet[[#This Row],[Start Date and Time]]))</f>
        <v>0</v>
      </c>
    </row>
    <row r="151" spans="1:14" x14ac:dyDescent="0.25">
      <c r="A151" s="1"/>
      <c r="B151" s="2" t="s">
        <v>114</v>
      </c>
      <c r="C151" s="2" t="s">
        <v>118</v>
      </c>
      <c r="D151" s="2" t="s">
        <v>20</v>
      </c>
      <c r="E151" s="7" t="s">
        <v>451</v>
      </c>
      <c r="F151" s="3">
        <v>42249.5</v>
      </c>
      <c r="G151" s="3">
        <v>42249.520833333336</v>
      </c>
      <c r="H151" s="1" t="s">
        <v>6</v>
      </c>
      <c r="I151" s="1" t="s">
        <v>38</v>
      </c>
      <c r="J151" s="1">
        <v>42249.535891203705</v>
      </c>
      <c r="K151" s="1" t="s">
        <v>118</v>
      </c>
      <c r="L151" s="14">
        <f>24*(TblTimeSheet[[#This Row],[End Date and Time]]-TblTimeSheet[[#This Row],[Start Date and Time]])</f>
        <v>0.50000000005820766</v>
      </c>
      <c r="M15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
        <f>--(0&gt;(TblTimeSheet[[#This Row],[End Date and Time]]-TblTimeSheet[[#This Row],[Start Date and Time]]))</f>
        <v>0</v>
      </c>
    </row>
    <row r="152" spans="1:14" x14ac:dyDescent="0.25">
      <c r="A152" s="1"/>
      <c r="B152" s="2" t="s">
        <v>108</v>
      </c>
      <c r="C152" s="2" t="s">
        <v>116</v>
      </c>
      <c r="D152" s="2" t="s">
        <v>32</v>
      </c>
      <c r="E152" s="7" t="s">
        <v>452</v>
      </c>
      <c r="F152" s="3">
        <v>42249.479166666664</v>
      </c>
      <c r="G152" s="3">
        <v>42249.5</v>
      </c>
      <c r="H152" s="1" t="s">
        <v>6</v>
      </c>
      <c r="I152" s="1" t="s">
        <v>38</v>
      </c>
      <c r="J152" s="1">
        <v>42249.55300925926</v>
      </c>
      <c r="K152" s="1" t="s">
        <v>39</v>
      </c>
      <c r="L152" s="14">
        <f>24*(TblTimeSheet[[#This Row],[End Date and Time]]-TblTimeSheet[[#This Row],[Start Date and Time]])</f>
        <v>0.50000000005820766</v>
      </c>
      <c r="M15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2">
        <f>--(0&gt;(TblTimeSheet[[#This Row],[End Date and Time]]-TblTimeSheet[[#This Row],[Start Date and Time]]))</f>
        <v>0</v>
      </c>
    </row>
    <row r="153" spans="1:14" x14ac:dyDescent="0.25">
      <c r="A153" s="1" t="s">
        <v>453</v>
      </c>
      <c r="B153" s="2" t="s">
        <v>108</v>
      </c>
      <c r="C153" s="2" t="s">
        <v>454</v>
      </c>
      <c r="D153" s="2" t="s">
        <v>32</v>
      </c>
      <c r="E153" s="7" t="s">
        <v>455</v>
      </c>
      <c r="F153" s="3">
        <v>42249.479166666664</v>
      </c>
      <c r="G153" s="3">
        <v>42249.5</v>
      </c>
      <c r="H153" s="1" t="s">
        <v>6</v>
      </c>
      <c r="I153" s="1" t="s">
        <v>38</v>
      </c>
      <c r="J153" s="1">
        <v>42249.607303240744</v>
      </c>
      <c r="K153" s="1" t="s">
        <v>454</v>
      </c>
      <c r="L153" s="14">
        <f>24*(TblTimeSheet[[#This Row],[End Date and Time]]-TblTimeSheet[[#This Row],[Start Date and Time]])</f>
        <v>0.50000000005820766</v>
      </c>
      <c r="M15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
        <f>--(0&gt;(TblTimeSheet[[#This Row],[End Date and Time]]-TblTimeSheet[[#This Row],[Start Date and Time]]))</f>
        <v>0</v>
      </c>
    </row>
    <row r="154" spans="1:14" x14ac:dyDescent="0.25">
      <c r="A154" s="1"/>
      <c r="B154" s="2" t="s">
        <v>114</v>
      </c>
      <c r="C154" s="2" t="s">
        <v>171</v>
      </c>
      <c r="D154" s="2" t="s">
        <v>20</v>
      </c>
      <c r="E154" s="7" t="s">
        <v>456</v>
      </c>
      <c r="F154" s="3">
        <v>42249.5</v>
      </c>
      <c r="G154" s="3">
        <v>42249.520833333336</v>
      </c>
      <c r="H154" s="1" t="s">
        <v>6</v>
      </c>
      <c r="I154" s="1" t="s">
        <v>38</v>
      </c>
      <c r="J154" s="1">
        <v>42251.387303240743</v>
      </c>
      <c r="K154" s="1" t="s">
        <v>171</v>
      </c>
      <c r="L154" s="14">
        <f>24*(TblTimeSheet[[#This Row],[End Date and Time]]-TblTimeSheet[[#This Row],[Start Date and Time]])</f>
        <v>0.50000000005820766</v>
      </c>
      <c r="M15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
        <f>--(0&gt;(TblTimeSheet[[#This Row],[End Date and Time]]-TblTimeSheet[[#This Row],[Start Date and Time]]))</f>
        <v>0</v>
      </c>
    </row>
    <row r="155" spans="1:14" x14ac:dyDescent="0.25">
      <c r="A155" s="1"/>
      <c r="B155" s="2" t="s">
        <v>108</v>
      </c>
      <c r="C155" s="2" t="s">
        <v>41</v>
      </c>
      <c r="D155" s="2" t="s">
        <v>20</v>
      </c>
      <c r="E155" s="7" t="s">
        <v>449</v>
      </c>
      <c r="F155" s="3">
        <v>42249.479166666664</v>
      </c>
      <c r="G155" s="3">
        <v>42249.5</v>
      </c>
      <c r="H155" s="1" t="s">
        <v>6</v>
      </c>
      <c r="I155" s="1" t="s">
        <v>38</v>
      </c>
      <c r="J155" s="1">
        <v>42249.704710648148</v>
      </c>
      <c r="K155" s="1" t="s">
        <v>41</v>
      </c>
      <c r="L155" s="14">
        <f>24*(TblTimeSheet[[#This Row],[End Date and Time]]-TblTimeSheet[[#This Row],[Start Date and Time]])</f>
        <v>0.50000000005820766</v>
      </c>
      <c r="M15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
        <f>--(0&gt;(TblTimeSheet[[#This Row],[End Date and Time]]-TblTimeSheet[[#This Row],[Start Date and Time]]))</f>
        <v>0</v>
      </c>
    </row>
    <row r="156" spans="1:14" x14ac:dyDescent="0.25">
      <c r="A156" s="1"/>
      <c r="B156" s="2" t="s">
        <v>110</v>
      </c>
      <c r="C156" s="2" t="s">
        <v>41</v>
      </c>
      <c r="D156" s="2" t="s">
        <v>20</v>
      </c>
      <c r="E156" s="7" t="s">
        <v>457</v>
      </c>
      <c r="F156" s="3">
        <v>42249.666666666664</v>
      </c>
      <c r="G156" s="3">
        <v>42249.6875</v>
      </c>
      <c r="H156" s="1" t="s">
        <v>6</v>
      </c>
      <c r="I156" s="1" t="s">
        <v>38</v>
      </c>
      <c r="J156" s="1">
        <v>42249.705347222225</v>
      </c>
      <c r="K156" s="1" t="s">
        <v>41</v>
      </c>
      <c r="L156" s="14">
        <f>24*(TblTimeSheet[[#This Row],[End Date and Time]]-TblTimeSheet[[#This Row],[Start Date and Time]])</f>
        <v>0.50000000005820766</v>
      </c>
      <c r="M15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
        <f>--(0&gt;(TblTimeSheet[[#This Row],[End Date and Time]]-TblTimeSheet[[#This Row],[Start Date and Time]]))</f>
        <v>0</v>
      </c>
    </row>
    <row r="157" spans="1:14" x14ac:dyDescent="0.25">
      <c r="A157" s="1"/>
      <c r="B157" s="2" t="s">
        <v>110</v>
      </c>
      <c r="C157" s="2" t="s">
        <v>118</v>
      </c>
      <c r="D157" s="2" t="s">
        <v>20</v>
      </c>
      <c r="E157" s="7" t="s">
        <v>458</v>
      </c>
      <c r="F157" s="3">
        <v>42249.645833333336</v>
      </c>
      <c r="G157" s="3">
        <v>42249.6875</v>
      </c>
      <c r="H157" s="1" t="s">
        <v>6</v>
      </c>
      <c r="I157" s="1" t="s">
        <v>38</v>
      </c>
      <c r="J157" s="1">
        <v>42249.706643518519</v>
      </c>
      <c r="K157" s="1" t="s">
        <v>118</v>
      </c>
      <c r="L157" s="14">
        <f>24*(TblTimeSheet[[#This Row],[End Date and Time]]-TblTimeSheet[[#This Row],[Start Date and Time]])</f>
        <v>0.99999999994179234</v>
      </c>
      <c r="M15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
        <f>--(0&gt;(TblTimeSheet[[#This Row],[End Date and Time]]-TblTimeSheet[[#This Row],[Start Date and Time]]))</f>
        <v>0</v>
      </c>
    </row>
    <row r="158" spans="1:14" x14ac:dyDescent="0.25">
      <c r="A158" s="1"/>
      <c r="B158" s="2" t="s">
        <v>110</v>
      </c>
      <c r="C158" s="2" t="s">
        <v>43</v>
      </c>
      <c r="D158" s="2" t="s">
        <v>20</v>
      </c>
      <c r="E158" s="7" t="s">
        <v>459</v>
      </c>
      <c r="F158" s="3">
        <v>42249.645833333336</v>
      </c>
      <c r="G158" s="3">
        <v>42249.6875</v>
      </c>
      <c r="H158" s="1" t="s">
        <v>6</v>
      </c>
      <c r="I158" s="1" t="s">
        <v>38</v>
      </c>
      <c r="J158" s="1">
        <v>42249.707731481481</v>
      </c>
      <c r="K158" s="1" t="s">
        <v>43</v>
      </c>
      <c r="L158" s="14">
        <f>24*(TblTimeSheet[[#This Row],[End Date and Time]]-TblTimeSheet[[#This Row],[Start Date and Time]])</f>
        <v>0.99999999994179234</v>
      </c>
      <c r="M15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8">
        <f>--(0&gt;(TblTimeSheet[[#This Row],[End Date and Time]]-TblTimeSheet[[#This Row],[Start Date and Time]]))</f>
        <v>0</v>
      </c>
    </row>
    <row r="159" spans="1:14" x14ac:dyDescent="0.25">
      <c r="A159" s="1"/>
      <c r="B159" s="2" t="s">
        <v>110</v>
      </c>
      <c r="C159" s="2" t="s">
        <v>41</v>
      </c>
      <c r="D159" s="2" t="s">
        <v>20</v>
      </c>
      <c r="E159" s="7" t="s">
        <v>460</v>
      </c>
      <c r="F159" s="3">
        <v>42249.708333333336</v>
      </c>
      <c r="G159" s="3">
        <v>42249.71875</v>
      </c>
      <c r="H159" s="1" t="s">
        <v>6</v>
      </c>
      <c r="I159" s="1" t="s">
        <v>38</v>
      </c>
      <c r="J159" s="1">
        <v>42249.724918981483</v>
      </c>
      <c r="K159" s="1" t="s">
        <v>41</v>
      </c>
      <c r="L159" s="14">
        <f>24*(TblTimeSheet[[#This Row],[End Date and Time]]-TblTimeSheet[[#This Row],[Start Date and Time]])</f>
        <v>0.24999999994179234</v>
      </c>
      <c r="M15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
        <f>--(0&gt;(TblTimeSheet[[#This Row],[End Date and Time]]-TblTimeSheet[[#This Row],[Start Date and Time]]))</f>
        <v>0</v>
      </c>
    </row>
    <row r="160" spans="1:14" x14ac:dyDescent="0.25">
      <c r="A160" s="1"/>
      <c r="B160" s="2" t="s">
        <v>114</v>
      </c>
      <c r="C160" s="2" t="s">
        <v>116</v>
      </c>
      <c r="D160" s="2" t="s">
        <v>20</v>
      </c>
      <c r="E160" s="7" t="s">
        <v>467</v>
      </c>
      <c r="F160" s="3">
        <v>42249.625</v>
      </c>
      <c r="G160" s="3">
        <v>42249.638888888891</v>
      </c>
      <c r="H160" s="1" t="s">
        <v>6</v>
      </c>
      <c r="I160" s="1" t="s">
        <v>38</v>
      </c>
      <c r="J160" s="1">
        <v>42249.728506944448</v>
      </c>
      <c r="K160" s="1" t="s">
        <v>701</v>
      </c>
      <c r="L160" s="14">
        <f>24*(TblTimeSheet[[#This Row],[End Date and Time]]-TblTimeSheet[[#This Row],[Start Date and Time]])</f>
        <v>0.33333333337213844</v>
      </c>
      <c r="M16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
        <f>--(0&gt;(TblTimeSheet[[#This Row],[End Date and Time]]-TblTimeSheet[[#This Row],[Start Date and Time]]))</f>
        <v>0</v>
      </c>
    </row>
    <row r="161" spans="1:14" x14ac:dyDescent="0.25">
      <c r="A161" s="1"/>
      <c r="B161" s="2" t="s">
        <v>108</v>
      </c>
      <c r="C161" s="2" t="s">
        <v>116</v>
      </c>
      <c r="D161" s="2" t="s">
        <v>32</v>
      </c>
      <c r="E161" s="7" t="s">
        <v>468</v>
      </c>
      <c r="F161" s="3">
        <v>42249.645833333336</v>
      </c>
      <c r="G161" s="3">
        <v>42249.666666666664</v>
      </c>
      <c r="H161" s="1" t="s">
        <v>6</v>
      </c>
      <c r="I161" s="1" t="s">
        <v>38</v>
      </c>
      <c r="J161" s="1">
        <v>42249.729456018518</v>
      </c>
      <c r="K161" s="1" t="s">
        <v>701</v>
      </c>
      <c r="L161" s="14">
        <f>24*(TblTimeSheet[[#This Row],[End Date and Time]]-TblTimeSheet[[#This Row],[Start Date and Time]])</f>
        <v>0.49999999988358468</v>
      </c>
      <c r="M16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
        <f>--(0&gt;(TblTimeSheet[[#This Row],[End Date and Time]]-TblTimeSheet[[#This Row],[Start Date and Time]]))</f>
        <v>0</v>
      </c>
    </row>
    <row r="162" spans="1:14" x14ac:dyDescent="0.25">
      <c r="A162" s="1"/>
      <c r="B162" s="2" t="s">
        <v>110</v>
      </c>
      <c r="C162" s="2" t="s">
        <v>36</v>
      </c>
      <c r="D162" s="2" t="s">
        <v>20</v>
      </c>
      <c r="E162" s="7" t="s">
        <v>469</v>
      </c>
      <c r="F162" s="3">
        <v>42249.708333333336</v>
      </c>
      <c r="G162" s="3">
        <v>42249.71875</v>
      </c>
      <c r="H162" s="1" t="s">
        <v>6</v>
      </c>
      <c r="I162" s="1" t="s">
        <v>38</v>
      </c>
      <c r="J162" s="1">
        <v>42250.409247685187</v>
      </c>
      <c r="K162" s="1" t="s">
        <v>36</v>
      </c>
      <c r="L162" s="14">
        <f>24*(TblTimeSheet[[#This Row],[End Date and Time]]-TblTimeSheet[[#This Row],[Start Date and Time]])</f>
        <v>0.24999999994179234</v>
      </c>
      <c r="M16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
        <f>--(0&gt;(TblTimeSheet[[#This Row],[End Date and Time]]-TblTimeSheet[[#This Row],[Start Date and Time]]))</f>
        <v>0</v>
      </c>
    </row>
    <row r="163" spans="1:14" x14ac:dyDescent="0.25">
      <c r="A163" s="1"/>
      <c r="B163" s="2" t="s">
        <v>114</v>
      </c>
      <c r="C163" s="2" t="s">
        <v>116</v>
      </c>
      <c r="D163" s="2" t="s">
        <v>20</v>
      </c>
      <c r="E163" s="7" t="s">
        <v>470</v>
      </c>
      <c r="F163" s="3">
        <v>42250.618055555555</v>
      </c>
      <c r="G163" s="3">
        <v>42250.638888888891</v>
      </c>
      <c r="H163" s="1" t="s">
        <v>6</v>
      </c>
      <c r="I163" s="1" t="s">
        <v>38</v>
      </c>
      <c r="J163" s="1">
        <v>42250.729027777779</v>
      </c>
      <c r="K163" s="1" t="s">
        <v>701</v>
      </c>
      <c r="L163" s="14">
        <f>24*(TblTimeSheet[[#This Row],[End Date and Time]]-TblTimeSheet[[#This Row],[Start Date and Time]])</f>
        <v>0.50000000005820766</v>
      </c>
      <c r="M16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
        <f>--(0&gt;(TblTimeSheet[[#This Row],[End Date and Time]]-TblTimeSheet[[#This Row],[Start Date and Time]]))</f>
        <v>0</v>
      </c>
    </row>
    <row r="164" spans="1:14" x14ac:dyDescent="0.25">
      <c r="A164" s="1"/>
      <c r="B164" s="2" t="s">
        <v>114</v>
      </c>
      <c r="C164" s="2" t="s">
        <v>116</v>
      </c>
      <c r="D164" s="2" t="s">
        <v>20</v>
      </c>
      <c r="E164" s="7" t="s">
        <v>470</v>
      </c>
      <c r="F164" s="3">
        <v>42250.65625</v>
      </c>
      <c r="G164" s="3">
        <v>42250.677083333336</v>
      </c>
      <c r="H164" s="1" t="s">
        <v>6</v>
      </c>
      <c r="I164" s="1" t="s">
        <v>38</v>
      </c>
      <c r="J164" s="1">
        <v>42250.729768518519</v>
      </c>
      <c r="K164" s="1" t="s">
        <v>701</v>
      </c>
      <c r="L164" s="14">
        <f>24*(TblTimeSheet[[#This Row],[End Date and Time]]-TblTimeSheet[[#This Row],[Start Date and Time]])</f>
        <v>0.50000000005820766</v>
      </c>
      <c r="M16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
        <f>--(0&gt;(TblTimeSheet[[#This Row],[End Date and Time]]-TblTimeSheet[[#This Row],[Start Date and Time]]))</f>
        <v>0</v>
      </c>
    </row>
    <row r="165" spans="1:14" x14ac:dyDescent="0.25">
      <c r="A165" s="1"/>
      <c r="B165" s="2" t="s">
        <v>114</v>
      </c>
      <c r="C165" s="2" t="s">
        <v>116</v>
      </c>
      <c r="D165" s="2" t="s">
        <v>20</v>
      </c>
      <c r="E165" s="7" t="s">
        <v>461</v>
      </c>
      <c r="F165" s="3">
        <v>42250.6875</v>
      </c>
      <c r="G165" s="3">
        <v>42250.729166666664</v>
      </c>
      <c r="H165" s="1" t="s">
        <v>6</v>
      </c>
      <c r="I165" s="1" t="s">
        <v>38</v>
      </c>
      <c r="J165" s="1">
        <v>42250.730300925927</v>
      </c>
      <c r="K165" s="1" t="s">
        <v>701</v>
      </c>
      <c r="L165" s="14">
        <f>24*(TblTimeSheet[[#This Row],[End Date and Time]]-TblTimeSheet[[#This Row],[Start Date and Time]])</f>
        <v>0.99999999994179234</v>
      </c>
      <c r="M16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5">
        <f>--(0&gt;(TblTimeSheet[[#This Row],[End Date and Time]]-TblTimeSheet[[#This Row],[Start Date and Time]]))</f>
        <v>0</v>
      </c>
    </row>
    <row r="166" spans="1:14" x14ac:dyDescent="0.25">
      <c r="A166" s="1"/>
      <c r="B166" s="2" t="s">
        <v>114</v>
      </c>
      <c r="C166" s="2" t="s">
        <v>116</v>
      </c>
      <c r="D166" s="2" t="s">
        <v>20</v>
      </c>
      <c r="E166" s="7" t="s">
        <v>462</v>
      </c>
      <c r="F166" s="3">
        <v>42250.708333333336</v>
      </c>
      <c r="G166" s="3">
        <v>42250.729166666664</v>
      </c>
      <c r="H166" s="1" t="s">
        <v>6</v>
      </c>
      <c r="I166" s="1" t="s">
        <v>38</v>
      </c>
      <c r="J166" s="1">
        <v>42250.739178240743</v>
      </c>
      <c r="K166" s="1" t="s">
        <v>166</v>
      </c>
      <c r="L166" s="14">
        <f>24*(TblTimeSheet[[#This Row],[End Date and Time]]-TblTimeSheet[[#This Row],[Start Date and Time]])</f>
        <v>0.49999999988358468</v>
      </c>
      <c r="M16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6">
        <f>--(0&gt;(TblTimeSheet[[#This Row],[End Date and Time]]-TblTimeSheet[[#This Row],[Start Date and Time]]))</f>
        <v>0</v>
      </c>
    </row>
    <row r="167" spans="1:14" x14ac:dyDescent="0.25">
      <c r="A167" s="1"/>
      <c r="B167" s="2" t="s">
        <v>110</v>
      </c>
      <c r="C167" s="2" t="s">
        <v>41</v>
      </c>
      <c r="D167" s="2" t="s">
        <v>20</v>
      </c>
      <c r="E167" s="7" t="s">
        <v>463</v>
      </c>
      <c r="F167" s="3">
        <v>42250.666666666664</v>
      </c>
      <c r="G167" s="3">
        <v>42250.729166666664</v>
      </c>
      <c r="H167" s="1" t="s">
        <v>6</v>
      </c>
      <c r="I167" s="1" t="s">
        <v>38</v>
      </c>
      <c r="J167" s="1">
        <v>42250.754618055558</v>
      </c>
      <c r="K167" s="1" t="s">
        <v>41</v>
      </c>
      <c r="L167" s="14">
        <f>24*(TblTimeSheet[[#This Row],[End Date and Time]]-TblTimeSheet[[#This Row],[Start Date and Time]])</f>
        <v>1.5</v>
      </c>
      <c r="M16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
        <f>--(0&gt;(TblTimeSheet[[#This Row],[End Date and Time]]-TblTimeSheet[[#This Row],[Start Date and Time]]))</f>
        <v>0</v>
      </c>
    </row>
    <row r="168" spans="1:14" x14ac:dyDescent="0.25">
      <c r="A168" s="1"/>
      <c r="B168" s="2" t="s">
        <v>110</v>
      </c>
      <c r="C168" s="2" t="s">
        <v>41</v>
      </c>
      <c r="D168" s="2" t="s">
        <v>20</v>
      </c>
      <c r="E168" s="7" t="s">
        <v>464</v>
      </c>
      <c r="F168" s="3">
        <v>42251.416666666664</v>
      </c>
      <c r="G168" s="3">
        <v>42251.451388888891</v>
      </c>
      <c r="H168" s="1" t="s">
        <v>6</v>
      </c>
      <c r="I168" s="1" t="s">
        <v>38</v>
      </c>
      <c r="J168" s="1">
        <v>42251.447754629633</v>
      </c>
      <c r="K168" s="1" t="s">
        <v>41</v>
      </c>
      <c r="L168" s="14">
        <f>24*(TblTimeSheet[[#This Row],[End Date and Time]]-TblTimeSheet[[#This Row],[Start Date and Time]])</f>
        <v>0.8333333334303461</v>
      </c>
      <c r="M16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
        <f>--(0&gt;(TblTimeSheet[[#This Row],[End Date and Time]]-TblTimeSheet[[#This Row],[Start Date and Time]]))</f>
        <v>0</v>
      </c>
    </row>
    <row r="169" spans="1:14" x14ac:dyDescent="0.25">
      <c r="A169" s="1"/>
      <c r="B169" s="2" t="s">
        <v>114</v>
      </c>
      <c r="C169" s="2" t="s">
        <v>171</v>
      </c>
      <c r="D169" s="2" t="s">
        <v>20</v>
      </c>
      <c r="E169" s="7" t="s">
        <v>520</v>
      </c>
      <c r="F169" s="3">
        <v>42251.416666666664</v>
      </c>
      <c r="G169" s="3">
        <v>42251.5</v>
      </c>
      <c r="H169" s="1" t="s">
        <v>6</v>
      </c>
      <c r="I169" s="1" t="s">
        <v>38</v>
      </c>
      <c r="J169" s="1">
        <v>42251.597025462965</v>
      </c>
      <c r="K169" s="1" t="s">
        <v>171</v>
      </c>
      <c r="L169" s="14">
        <f>24*(TblTimeSheet[[#This Row],[End Date and Time]]-TblTimeSheet[[#This Row],[Start Date and Time]])</f>
        <v>2.0000000000582077</v>
      </c>
      <c r="M16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
        <f>--(0&gt;(TblTimeSheet[[#This Row],[End Date and Time]]-TblTimeSheet[[#This Row],[Start Date and Time]]))</f>
        <v>0</v>
      </c>
    </row>
    <row r="170" spans="1:14" x14ac:dyDescent="0.25">
      <c r="A170" s="1"/>
      <c r="B170" s="2" t="s">
        <v>114</v>
      </c>
      <c r="C170" s="2" t="s">
        <v>116</v>
      </c>
      <c r="D170" s="2" t="s">
        <v>20</v>
      </c>
      <c r="E170" s="7" t="s">
        <v>489</v>
      </c>
      <c r="F170" s="3">
        <v>42251.5</v>
      </c>
      <c r="G170" s="3">
        <v>42251.541666666664</v>
      </c>
      <c r="H170" s="1" t="s">
        <v>6</v>
      </c>
      <c r="I170" s="1" t="s">
        <v>38</v>
      </c>
      <c r="J170" s="1">
        <v>42251.609409722223</v>
      </c>
      <c r="K170" s="1" t="s">
        <v>166</v>
      </c>
      <c r="L170" s="14">
        <f>24*(TblTimeSheet[[#This Row],[End Date and Time]]-TblTimeSheet[[#This Row],[Start Date and Time]])</f>
        <v>0.99999999994179234</v>
      </c>
      <c r="M17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
        <f>--(0&gt;(TblTimeSheet[[#This Row],[End Date and Time]]-TblTimeSheet[[#This Row],[Start Date and Time]]))</f>
        <v>0</v>
      </c>
    </row>
    <row r="171" spans="1:14" x14ac:dyDescent="0.25">
      <c r="A171" s="1"/>
      <c r="B171" s="2" t="s">
        <v>114</v>
      </c>
      <c r="C171" s="2" t="s">
        <v>171</v>
      </c>
      <c r="D171" s="2" t="s">
        <v>20</v>
      </c>
      <c r="E171" s="7" t="s">
        <v>490</v>
      </c>
      <c r="F171" s="3">
        <v>42251.604166666664</v>
      </c>
      <c r="G171" s="3">
        <v>42251.666666666664</v>
      </c>
      <c r="H171" s="1" t="s">
        <v>6</v>
      </c>
      <c r="I171" s="1" t="s">
        <v>38</v>
      </c>
      <c r="J171" s="1">
        <v>42251.670312499999</v>
      </c>
      <c r="K171" s="1" t="s">
        <v>171</v>
      </c>
      <c r="L171" s="14">
        <f>24*(TblTimeSheet[[#This Row],[End Date and Time]]-TblTimeSheet[[#This Row],[Start Date and Time]])</f>
        <v>1.5</v>
      </c>
      <c r="M17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
        <f>--(0&gt;(TblTimeSheet[[#This Row],[End Date and Time]]-TblTimeSheet[[#This Row],[Start Date and Time]]))</f>
        <v>0</v>
      </c>
    </row>
    <row r="172" spans="1:14" x14ac:dyDescent="0.25">
      <c r="A172" s="1"/>
      <c r="B172" s="2" t="s">
        <v>110</v>
      </c>
      <c r="C172" s="2" t="s">
        <v>116</v>
      </c>
      <c r="D172" s="2" t="s">
        <v>20</v>
      </c>
      <c r="E172" s="7" t="s">
        <v>491</v>
      </c>
      <c r="F172" s="3">
        <v>42251.635416666664</v>
      </c>
      <c r="G172" s="3">
        <v>42251.666666666664</v>
      </c>
      <c r="H172" s="1" t="s">
        <v>6</v>
      </c>
      <c r="I172" s="1" t="s">
        <v>38</v>
      </c>
      <c r="J172" s="1">
        <v>42251.671956018516</v>
      </c>
      <c r="K172" s="1" t="s">
        <v>701</v>
      </c>
      <c r="L172" s="14">
        <f>24*(TblTimeSheet[[#This Row],[End Date and Time]]-TblTimeSheet[[#This Row],[Start Date and Time]])</f>
        <v>0.75</v>
      </c>
      <c r="M17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2">
        <f>--(0&gt;(TblTimeSheet[[#This Row],[End Date and Time]]-TblTimeSheet[[#This Row],[Start Date and Time]]))</f>
        <v>0</v>
      </c>
    </row>
    <row r="173" spans="1:14" x14ac:dyDescent="0.25">
      <c r="A173" s="1"/>
      <c r="B173" s="2" t="s">
        <v>114</v>
      </c>
      <c r="C173" s="2" t="s">
        <v>143</v>
      </c>
      <c r="D173" s="2" t="s">
        <v>20</v>
      </c>
      <c r="E173" s="7" t="s">
        <v>521</v>
      </c>
      <c r="F173" s="3">
        <v>42251.604166666664</v>
      </c>
      <c r="G173" s="3">
        <v>42251.666666666664</v>
      </c>
      <c r="H173" s="1" t="s">
        <v>6</v>
      </c>
      <c r="I173" s="1" t="s">
        <v>38</v>
      </c>
      <c r="J173" s="1">
        <v>42251.676226851851</v>
      </c>
      <c r="K173" s="1" t="s">
        <v>143</v>
      </c>
      <c r="L173" s="14">
        <f>24*(TblTimeSheet[[#This Row],[End Date and Time]]-TblTimeSheet[[#This Row],[Start Date and Time]])</f>
        <v>1.5</v>
      </c>
      <c r="M17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
        <f>--(0&gt;(TblTimeSheet[[#This Row],[End Date and Time]]-TblTimeSheet[[#This Row],[Start Date and Time]]))</f>
        <v>0</v>
      </c>
    </row>
    <row r="174" spans="1:14" x14ac:dyDescent="0.25">
      <c r="A174" s="1"/>
      <c r="B174" s="2" t="s">
        <v>114</v>
      </c>
      <c r="C174" s="2" t="s">
        <v>116</v>
      </c>
      <c r="D174" s="2" t="s">
        <v>20</v>
      </c>
      <c r="E174" s="7" t="s">
        <v>522</v>
      </c>
      <c r="F174" s="3">
        <v>42251.604166666664</v>
      </c>
      <c r="G174" s="3">
        <v>42251.666666666664</v>
      </c>
      <c r="H174" s="1" t="s">
        <v>6</v>
      </c>
      <c r="I174" s="1" t="s">
        <v>38</v>
      </c>
      <c r="J174" s="1">
        <v>42251.683356481481</v>
      </c>
      <c r="K174" s="1" t="s">
        <v>81</v>
      </c>
      <c r="L174" s="14">
        <f>24*(TblTimeSheet[[#This Row],[End Date and Time]]-TblTimeSheet[[#This Row],[Start Date and Time]])</f>
        <v>1.5</v>
      </c>
      <c r="M17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
        <f>--(0&gt;(TblTimeSheet[[#This Row],[End Date and Time]]-TblTimeSheet[[#This Row],[Start Date and Time]]))</f>
        <v>0</v>
      </c>
    </row>
    <row r="175" spans="1:14" x14ac:dyDescent="0.25">
      <c r="A175" s="1"/>
      <c r="B175" s="2" t="s">
        <v>110</v>
      </c>
      <c r="C175" s="2" t="s">
        <v>41</v>
      </c>
      <c r="D175" s="2" t="s">
        <v>20</v>
      </c>
      <c r="E175" s="7" t="s">
        <v>492</v>
      </c>
      <c r="F175" s="3">
        <v>42251.635416666664</v>
      </c>
      <c r="G175" s="3">
        <v>42251.729166666664</v>
      </c>
      <c r="H175" s="1" t="s">
        <v>6</v>
      </c>
      <c r="I175" s="1" t="s">
        <v>38</v>
      </c>
      <c r="J175" s="1">
        <v>42251.690347222226</v>
      </c>
      <c r="K175" s="1" t="s">
        <v>41</v>
      </c>
      <c r="L175" s="14">
        <f>24*(TblTimeSheet[[#This Row],[End Date and Time]]-TblTimeSheet[[#This Row],[Start Date and Time]])</f>
        <v>2.25</v>
      </c>
      <c r="M17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
        <f>--(0&gt;(TblTimeSheet[[#This Row],[End Date and Time]]-TblTimeSheet[[#This Row],[Start Date and Time]]))</f>
        <v>0</v>
      </c>
    </row>
    <row r="176" spans="1:14" x14ac:dyDescent="0.25">
      <c r="A176" s="1"/>
      <c r="B176" s="2" t="s">
        <v>114</v>
      </c>
      <c r="C176" s="2" t="s">
        <v>116</v>
      </c>
      <c r="D176" s="2" t="s">
        <v>20</v>
      </c>
      <c r="E176" s="7" t="s">
        <v>493</v>
      </c>
      <c r="F176" s="3">
        <v>42251.666666666664</v>
      </c>
      <c r="G176" s="3">
        <v>42251.6875</v>
      </c>
      <c r="H176" s="1" t="s">
        <v>6</v>
      </c>
      <c r="I176" s="1" t="s">
        <v>38</v>
      </c>
      <c r="J176" s="1">
        <v>42251.696805555555</v>
      </c>
      <c r="K176" s="1" t="s">
        <v>701</v>
      </c>
      <c r="L176" s="14">
        <f>24*(TblTimeSheet[[#This Row],[End Date and Time]]-TblTimeSheet[[#This Row],[Start Date and Time]])</f>
        <v>0.50000000005820766</v>
      </c>
      <c r="M17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6">
        <f>--(0&gt;(TblTimeSheet[[#This Row],[End Date and Time]]-TblTimeSheet[[#This Row],[Start Date and Time]]))</f>
        <v>0</v>
      </c>
    </row>
    <row r="177" spans="1:14" x14ac:dyDescent="0.25">
      <c r="A177" s="1"/>
      <c r="B177" s="2" t="s">
        <v>114</v>
      </c>
      <c r="C177" s="2" t="s">
        <v>116</v>
      </c>
      <c r="D177" s="2" t="s">
        <v>20</v>
      </c>
      <c r="E177" s="7" t="s">
        <v>441</v>
      </c>
      <c r="F177" s="3">
        <v>42251.666666666664</v>
      </c>
      <c r="G177" s="3">
        <v>42251.6875</v>
      </c>
      <c r="H177" s="1" t="s">
        <v>6</v>
      </c>
      <c r="I177" s="1" t="s">
        <v>38</v>
      </c>
      <c r="J177" s="1">
        <v>42251.700127314813</v>
      </c>
      <c r="K177" s="1" t="s">
        <v>39</v>
      </c>
      <c r="L177" s="14">
        <f>24*(TblTimeSheet[[#This Row],[End Date and Time]]-TblTimeSheet[[#This Row],[Start Date and Time]])</f>
        <v>0.50000000005820766</v>
      </c>
      <c r="M17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7">
        <f>--(0&gt;(TblTimeSheet[[#This Row],[End Date and Time]]-TblTimeSheet[[#This Row],[Start Date and Time]]))</f>
        <v>0</v>
      </c>
    </row>
    <row r="178" spans="1:14" x14ac:dyDescent="0.25">
      <c r="A178" s="1"/>
      <c r="B178" s="2" t="s">
        <v>108</v>
      </c>
      <c r="C178" s="2" t="s">
        <v>118</v>
      </c>
      <c r="D178" s="2" t="s">
        <v>32</v>
      </c>
      <c r="E178" s="7" t="s">
        <v>494</v>
      </c>
      <c r="F178" s="3">
        <v>42250.625</v>
      </c>
      <c r="G178" s="3">
        <v>42250.6875</v>
      </c>
      <c r="H178" s="1" t="s">
        <v>6</v>
      </c>
      <c r="I178" s="1" t="s">
        <v>38</v>
      </c>
      <c r="J178" s="1">
        <v>42251.700671296298</v>
      </c>
      <c r="K178" s="1" t="s">
        <v>118</v>
      </c>
      <c r="L178" s="14">
        <f>24*(TblTimeSheet[[#This Row],[End Date and Time]]-TblTimeSheet[[#This Row],[Start Date and Time]])</f>
        <v>1.5</v>
      </c>
      <c r="M17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
        <f>--(0&gt;(TblTimeSheet[[#This Row],[End Date and Time]]-TblTimeSheet[[#This Row],[Start Date and Time]]))</f>
        <v>0</v>
      </c>
    </row>
    <row r="179" spans="1:14" x14ac:dyDescent="0.25">
      <c r="A179" s="1"/>
      <c r="B179" s="2" t="s">
        <v>114</v>
      </c>
      <c r="C179" s="2" t="s">
        <v>116</v>
      </c>
      <c r="D179" s="2" t="s">
        <v>20</v>
      </c>
      <c r="E179" s="7" t="s">
        <v>495</v>
      </c>
      <c r="F179" s="3">
        <v>42251.583333333336</v>
      </c>
      <c r="G179" s="3">
        <v>42251.604166666664</v>
      </c>
      <c r="H179" s="1" t="s">
        <v>6</v>
      </c>
      <c r="I179" s="1" t="s">
        <v>38</v>
      </c>
      <c r="J179" s="1">
        <v>42251.70108796296</v>
      </c>
      <c r="K179" s="1" t="s">
        <v>701</v>
      </c>
      <c r="L179" s="14">
        <f>24*(TblTimeSheet[[#This Row],[End Date and Time]]-TblTimeSheet[[#This Row],[Start Date and Time]])</f>
        <v>0.49999999988358468</v>
      </c>
      <c r="M17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
        <f>--(0&gt;(TblTimeSheet[[#This Row],[End Date and Time]]-TblTimeSheet[[#This Row],[Start Date and Time]]))</f>
        <v>0</v>
      </c>
    </row>
    <row r="180" spans="1:14" x14ac:dyDescent="0.25">
      <c r="A180" s="1"/>
      <c r="B180" s="2" t="s">
        <v>108</v>
      </c>
      <c r="C180" s="2" t="s">
        <v>118</v>
      </c>
      <c r="D180" s="2" t="s">
        <v>32</v>
      </c>
      <c r="E180" s="7" t="s">
        <v>496</v>
      </c>
      <c r="F180" s="3">
        <v>42251.479166666664</v>
      </c>
      <c r="G180" s="3">
        <v>42251.541666666664</v>
      </c>
      <c r="H180" s="1" t="s">
        <v>6</v>
      </c>
      <c r="I180" s="1" t="s">
        <v>38</v>
      </c>
      <c r="J180" s="1">
        <v>42251.701678240737</v>
      </c>
      <c r="K180" s="1" t="s">
        <v>118</v>
      </c>
      <c r="L180" s="14">
        <f>24*(TblTimeSheet[[#This Row],[End Date and Time]]-TblTimeSheet[[#This Row],[Start Date and Time]])</f>
        <v>1.5</v>
      </c>
      <c r="M18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
        <f>--(0&gt;(TblTimeSheet[[#This Row],[End Date and Time]]-TblTimeSheet[[#This Row],[Start Date and Time]]))</f>
        <v>0</v>
      </c>
    </row>
    <row r="181" spans="1:14" x14ac:dyDescent="0.25">
      <c r="A181" s="1"/>
      <c r="B181" s="2" t="s">
        <v>114</v>
      </c>
      <c r="C181" s="2" t="s">
        <v>116</v>
      </c>
      <c r="D181" s="2" t="s">
        <v>20</v>
      </c>
      <c r="E181" s="7" t="s">
        <v>523</v>
      </c>
      <c r="F181" s="3">
        <v>42251.666666666664</v>
      </c>
      <c r="G181" s="3">
        <v>42251.697916666664</v>
      </c>
      <c r="H181" s="1" t="s">
        <v>6</v>
      </c>
      <c r="I181" s="1" t="s">
        <v>38</v>
      </c>
      <c r="J181" s="1">
        <v>42251.717974537038</v>
      </c>
      <c r="K181" s="1" t="s">
        <v>166</v>
      </c>
      <c r="L181" s="14">
        <f>24*(TblTimeSheet[[#This Row],[End Date and Time]]-TblTimeSheet[[#This Row],[Start Date and Time]])</f>
        <v>0.75</v>
      </c>
      <c r="M18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1">
        <f>--(0&gt;(TblTimeSheet[[#This Row],[End Date and Time]]-TblTimeSheet[[#This Row],[Start Date and Time]]))</f>
        <v>0</v>
      </c>
    </row>
    <row r="182" spans="1:14" ht="30" x14ac:dyDescent="0.25">
      <c r="A182" s="1"/>
      <c r="B182" s="2" t="s">
        <v>108</v>
      </c>
      <c r="C182" s="2" t="s">
        <v>41</v>
      </c>
      <c r="D182" s="2" t="s">
        <v>32</v>
      </c>
      <c r="E182" s="7" t="s">
        <v>497</v>
      </c>
      <c r="F182" s="3">
        <v>42251.479166666664</v>
      </c>
      <c r="G182" s="3">
        <v>42251.520833333336</v>
      </c>
      <c r="H182" s="1" t="s">
        <v>6</v>
      </c>
      <c r="I182" s="1" t="s">
        <v>38</v>
      </c>
      <c r="J182" s="1">
        <v>42252.391817129632</v>
      </c>
      <c r="K182" s="1" t="s">
        <v>41</v>
      </c>
      <c r="L182" s="14">
        <f>24*(TblTimeSheet[[#This Row],[End Date and Time]]-TblTimeSheet[[#This Row],[Start Date and Time]])</f>
        <v>1.0000000001164153</v>
      </c>
      <c r="M18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
        <f>--(0&gt;(TblTimeSheet[[#This Row],[End Date and Time]]-TblTimeSheet[[#This Row],[Start Date and Time]]))</f>
        <v>0</v>
      </c>
    </row>
    <row r="183" spans="1:14" x14ac:dyDescent="0.25">
      <c r="A183" s="1"/>
      <c r="B183" s="2" t="s">
        <v>110</v>
      </c>
      <c r="C183" s="2" t="s">
        <v>143</v>
      </c>
      <c r="D183" s="2" t="s">
        <v>32</v>
      </c>
      <c r="E183" s="7" t="s">
        <v>498</v>
      </c>
      <c r="F183" s="3">
        <v>42249.625</v>
      </c>
      <c r="G183" s="3">
        <v>42249.708333333336</v>
      </c>
      <c r="H183" s="1" t="s">
        <v>6</v>
      </c>
      <c r="I183" s="1" t="s">
        <v>38</v>
      </c>
      <c r="J183" s="1">
        <v>42252.462129629632</v>
      </c>
      <c r="K183" s="1" t="s">
        <v>143</v>
      </c>
      <c r="L183" s="14">
        <f>24*(TblTimeSheet[[#This Row],[End Date and Time]]-TblTimeSheet[[#This Row],[Start Date and Time]])</f>
        <v>2.0000000000582077</v>
      </c>
      <c r="M18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
        <f>--(0&gt;(TblTimeSheet[[#This Row],[End Date and Time]]-TblTimeSheet[[#This Row],[Start Date and Time]]))</f>
        <v>0</v>
      </c>
    </row>
    <row r="184" spans="1:14" x14ac:dyDescent="0.25">
      <c r="A184" s="1"/>
      <c r="B184" s="2" t="s">
        <v>114</v>
      </c>
      <c r="C184" s="2" t="s">
        <v>118</v>
      </c>
      <c r="D184" s="2" t="s">
        <v>20</v>
      </c>
      <c r="E184" s="7" t="s">
        <v>499</v>
      </c>
      <c r="F184" s="3">
        <v>42252.416666666664</v>
      </c>
      <c r="G184" s="3">
        <v>42252.4375</v>
      </c>
      <c r="H184" s="1" t="s">
        <v>6</v>
      </c>
      <c r="I184" s="1" t="s">
        <v>38</v>
      </c>
      <c r="J184" s="1">
        <v>42252.463310185187</v>
      </c>
      <c r="K184" s="1" t="s">
        <v>118</v>
      </c>
      <c r="L184" s="14">
        <f>24*(TblTimeSheet[[#This Row],[End Date and Time]]-TblTimeSheet[[#This Row],[Start Date and Time]])</f>
        <v>0.50000000005820766</v>
      </c>
      <c r="M18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
        <f>--(0&gt;(TblTimeSheet[[#This Row],[End Date and Time]]-TblTimeSheet[[#This Row],[Start Date and Time]]))</f>
        <v>0</v>
      </c>
    </row>
    <row r="185" spans="1:14" x14ac:dyDescent="0.25">
      <c r="A185" s="1"/>
      <c r="B185" s="2" t="s">
        <v>114</v>
      </c>
      <c r="C185" s="2" t="s">
        <v>118</v>
      </c>
      <c r="D185" s="2" t="s">
        <v>20</v>
      </c>
      <c r="E185" s="7" t="s">
        <v>500</v>
      </c>
      <c r="F185" s="3">
        <v>42252.4375</v>
      </c>
      <c r="G185" s="3">
        <v>42252.458333333336</v>
      </c>
      <c r="H185" s="1" t="s">
        <v>6</v>
      </c>
      <c r="I185" s="1" t="s">
        <v>38</v>
      </c>
      <c r="J185" s="1">
        <v>42252.463842592595</v>
      </c>
      <c r="K185" s="1" t="s">
        <v>118</v>
      </c>
      <c r="L185" s="14">
        <f>24*(TblTimeSheet[[#This Row],[End Date and Time]]-TblTimeSheet[[#This Row],[Start Date and Time]])</f>
        <v>0.50000000005820766</v>
      </c>
      <c r="M18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
        <f>--(0&gt;(TblTimeSheet[[#This Row],[End Date and Time]]-TblTimeSheet[[#This Row],[Start Date and Time]]))</f>
        <v>0</v>
      </c>
    </row>
    <row r="186" spans="1:14" x14ac:dyDescent="0.25">
      <c r="A186" s="1"/>
      <c r="B186" s="2" t="s">
        <v>108</v>
      </c>
      <c r="C186" s="2" t="s">
        <v>118</v>
      </c>
      <c r="D186" s="2" t="s">
        <v>32</v>
      </c>
      <c r="E186" s="7" t="s">
        <v>501</v>
      </c>
      <c r="F186" s="3">
        <v>42251.666666666664</v>
      </c>
      <c r="G186" s="3">
        <v>42251.708333333336</v>
      </c>
      <c r="H186" s="1" t="s">
        <v>6</v>
      </c>
      <c r="I186" s="1" t="s">
        <v>38</v>
      </c>
      <c r="J186" s="1">
        <v>42252.466967592591</v>
      </c>
      <c r="K186" s="1" t="s">
        <v>118</v>
      </c>
      <c r="L186" s="14">
        <f>24*(TblTimeSheet[[#This Row],[End Date and Time]]-TblTimeSheet[[#This Row],[Start Date and Time]])</f>
        <v>1.0000000001164153</v>
      </c>
      <c r="M18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
        <f>--(0&gt;(TblTimeSheet[[#This Row],[End Date and Time]]-TblTimeSheet[[#This Row],[Start Date and Time]]))</f>
        <v>0</v>
      </c>
    </row>
    <row r="187" spans="1:14" x14ac:dyDescent="0.25">
      <c r="A187" s="1"/>
      <c r="B187" s="2" t="s">
        <v>108</v>
      </c>
      <c r="C187" s="2" t="s">
        <v>43</v>
      </c>
      <c r="D187" s="2" t="s">
        <v>32</v>
      </c>
      <c r="E187" s="7" t="s">
        <v>502</v>
      </c>
      <c r="F187" s="3">
        <v>42251.666666666664</v>
      </c>
      <c r="G187" s="3">
        <v>42251.708333333336</v>
      </c>
      <c r="H187" s="1" t="s">
        <v>6</v>
      </c>
      <c r="I187" s="1" t="s">
        <v>38</v>
      </c>
      <c r="J187" s="1">
        <v>42252.498993055553</v>
      </c>
      <c r="K187" s="1" t="s">
        <v>43</v>
      </c>
      <c r="L187" s="14">
        <f>24*(TblTimeSheet[[#This Row],[End Date and Time]]-TblTimeSheet[[#This Row],[Start Date and Time]])</f>
        <v>1.0000000001164153</v>
      </c>
      <c r="M18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
        <f>--(0&gt;(TblTimeSheet[[#This Row],[End Date and Time]]-TblTimeSheet[[#This Row],[Start Date and Time]]))</f>
        <v>0</v>
      </c>
    </row>
    <row r="188" spans="1:14" x14ac:dyDescent="0.25">
      <c r="A188" s="1"/>
      <c r="B188" s="2" t="s">
        <v>114</v>
      </c>
      <c r="C188" s="2" t="s">
        <v>43</v>
      </c>
      <c r="D188" s="2" t="s">
        <v>20</v>
      </c>
      <c r="E188" s="7" t="s">
        <v>503</v>
      </c>
      <c r="F188" s="3">
        <v>42252.4375</v>
      </c>
      <c r="G188" s="3">
        <v>42252.458333333336</v>
      </c>
      <c r="H188" s="1" t="s">
        <v>6</v>
      </c>
      <c r="I188" s="1" t="s">
        <v>38</v>
      </c>
      <c r="J188" s="1">
        <v>42252.499930555554</v>
      </c>
      <c r="K188" s="1" t="s">
        <v>43</v>
      </c>
      <c r="L188" s="14">
        <f>24*(TblTimeSheet[[#This Row],[End Date and Time]]-TblTimeSheet[[#This Row],[Start Date and Time]])</f>
        <v>0.50000000005820766</v>
      </c>
      <c r="M18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
        <f>--(0&gt;(TblTimeSheet[[#This Row],[End Date and Time]]-TblTimeSheet[[#This Row],[Start Date and Time]]))</f>
        <v>0</v>
      </c>
    </row>
    <row r="189" spans="1:14" x14ac:dyDescent="0.25">
      <c r="A189" s="1"/>
      <c r="B189" s="2" t="s">
        <v>110</v>
      </c>
      <c r="C189" s="2" t="s">
        <v>143</v>
      </c>
      <c r="D189" s="2" t="s">
        <v>32</v>
      </c>
      <c r="E189" s="7" t="s">
        <v>504</v>
      </c>
      <c r="F189" s="3">
        <v>42252.5</v>
      </c>
      <c r="G189" s="3">
        <v>42252.541666666664</v>
      </c>
      <c r="H189" s="1" t="s">
        <v>6</v>
      </c>
      <c r="I189" s="1" t="s">
        <v>38</v>
      </c>
      <c r="J189" s="1">
        <v>42252.599490740744</v>
      </c>
      <c r="K189" s="1" t="s">
        <v>143</v>
      </c>
      <c r="L189" s="14">
        <f>24*(TblTimeSheet[[#This Row],[End Date and Time]]-TblTimeSheet[[#This Row],[Start Date and Time]])</f>
        <v>0.99999999994179234</v>
      </c>
      <c r="M18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
        <f>--(0&gt;(TblTimeSheet[[#This Row],[End Date and Time]]-TblTimeSheet[[#This Row],[Start Date and Time]]))</f>
        <v>0</v>
      </c>
    </row>
    <row r="190" spans="1:14" x14ac:dyDescent="0.25">
      <c r="A190" s="1"/>
      <c r="B190" s="2" t="s">
        <v>114</v>
      </c>
      <c r="C190" s="2" t="s">
        <v>116</v>
      </c>
      <c r="D190" s="2" t="s">
        <v>20</v>
      </c>
      <c r="E190" s="7" t="s">
        <v>505</v>
      </c>
      <c r="F190" s="3">
        <v>42252.416666666664</v>
      </c>
      <c r="G190" s="3">
        <v>42252.458333333336</v>
      </c>
      <c r="H190" s="1" t="s">
        <v>6</v>
      </c>
      <c r="I190" s="1" t="s">
        <v>38</v>
      </c>
      <c r="J190" s="1">
        <v>42252.602766203701</v>
      </c>
      <c r="K190" s="1" t="s">
        <v>701</v>
      </c>
      <c r="L190" s="14">
        <f>24*(TblTimeSheet[[#This Row],[End Date and Time]]-TblTimeSheet[[#This Row],[Start Date and Time]])</f>
        <v>1.0000000001164153</v>
      </c>
      <c r="M19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
        <f>--(0&gt;(TblTimeSheet[[#This Row],[End Date and Time]]-TblTimeSheet[[#This Row],[Start Date and Time]]))</f>
        <v>0</v>
      </c>
    </row>
    <row r="191" spans="1:14" x14ac:dyDescent="0.25">
      <c r="A191" s="1"/>
      <c r="B191" s="2" t="s">
        <v>114</v>
      </c>
      <c r="C191" s="2" t="s">
        <v>116</v>
      </c>
      <c r="D191" s="2" t="s">
        <v>20</v>
      </c>
      <c r="E191" s="7" t="s">
        <v>506</v>
      </c>
      <c r="F191" s="3">
        <v>42254.604166666664</v>
      </c>
      <c r="G191" s="3">
        <v>42254.645833333336</v>
      </c>
      <c r="H191" s="1" t="s">
        <v>6</v>
      </c>
      <c r="I191" s="1" t="s">
        <v>38</v>
      </c>
      <c r="J191" s="1">
        <v>42254.726990740739</v>
      </c>
      <c r="K191" s="1" t="s">
        <v>701</v>
      </c>
      <c r="L191" s="14">
        <f>24*(TblTimeSheet[[#This Row],[End Date and Time]]-TblTimeSheet[[#This Row],[Start Date and Time]])</f>
        <v>1.0000000001164153</v>
      </c>
      <c r="M19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
        <f>--(0&gt;(TblTimeSheet[[#This Row],[End Date and Time]]-TblTimeSheet[[#This Row],[Start Date and Time]]))</f>
        <v>0</v>
      </c>
    </row>
    <row r="192" spans="1:14" x14ac:dyDescent="0.25">
      <c r="A192" s="1"/>
      <c r="B192" s="2" t="s">
        <v>114</v>
      </c>
      <c r="C192" s="2" t="s">
        <v>116</v>
      </c>
      <c r="D192" s="2" t="s">
        <v>20</v>
      </c>
      <c r="E192" s="7" t="s">
        <v>507</v>
      </c>
      <c r="F192" s="3">
        <v>42254.645833333336</v>
      </c>
      <c r="G192" s="3">
        <v>42254.666666666664</v>
      </c>
      <c r="H192" s="1" t="s">
        <v>6</v>
      </c>
      <c r="I192" s="1" t="s">
        <v>38</v>
      </c>
      <c r="J192" s="1">
        <v>42254.727384259262</v>
      </c>
      <c r="K192" s="1" t="s">
        <v>701</v>
      </c>
      <c r="L192" s="14">
        <f>24*(TblTimeSheet[[#This Row],[End Date and Time]]-TblTimeSheet[[#This Row],[Start Date and Time]])</f>
        <v>0.49999999988358468</v>
      </c>
      <c r="M19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
        <f>--(0&gt;(TblTimeSheet[[#This Row],[End Date and Time]]-TblTimeSheet[[#This Row],[Start Date and Time]]))</f>
        <v>0</v>
      </c>
    </row>
    <row r="193" spans="1:14" x14ac:dyDescent="0.25">
      <c r="A193" s="1"/>
      <c r="B193" s="2" t="s">
        <v>114</v>
      </c>
      <c r="C193" s="2" t="s">
        <v>171</v>
      </c>
      <c r="D193" s="2" t="s">
        <v>20</v>
      </c>
      <c r="E193" s="7" t="s">
        <v>508</v>
      </c>
      <c r="F193" s="3">
        <v>42254.604166666664</v>
      </c>
      <c r="G193" s="3">
        <v>42254.645833333336</v>
      </c>
      <c r="H193" s="1" t="s">
        <v>6</v>
      </c>
      <c r="I193" s="1" t="s">
        <v>38</v>
      </c>
      <c r="J193" s="1">
        <v>42254.728831018518</v>
      </c>
      <c r="K193" s="1" t="s">
        <v>171</v>
      </c>
      <c r="L193" s="14">
        <f>24*(TblTimeSheet[[#This Row],[End Date and Time]]-TblTimeSheet[[#This Row],[Start Date and Time]])</f>
        <v>1.0000000001164153</v>
      </c>
      <c r="M19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
        <f>--(0&gt;(TblTimeSheet[[#This Row],[End Date and Time]]-TblTimeSheet[[#This Row],[Start Date and Time]]))</f>
        <v>0</v>
      </c>
    </row>
    <row r="194" spans="1:14" x14ac:dyDescent="0.25">
      <c r="A194" s="1"/>
      <c r="B194" s="2" t="s">
        <v>110</v>
      </c>
      <c r="C194" s="2" t="s">
        <v>41</v>
      </c>
      <c r="D194" s="2" t="s">
        <v>20</v>
      </c>
      <c r="E194" s="7" t="s">
        <v>509</v>
      </c>
      <c r="F194" s="3">
        <v>42252.708333333336</v>
      </c>
      <c r="G194" s="3">
        <v>42252.722222222219</v>
      </c>
      <c r="H194" s="1" t="s">
        <v>6</v>
      </c>
      <c r="I194" s="1" t="s">
        <v>38</v>
      </c>
      <c r="J194" s="1">
        <v>42255.453483796293</v>
      </c>
      <c r="K194" s="1" t="s">
        <v>41</v>
      </c>
      <c r="L194" s="14">
        <f>24*(TblTimeSheet[[#This Row],[End Date and Time]]-TblTimeSheet[[#This Row],[Start Date and Time]])</f>
        <v>0.33333333319751546</v>
      </c>
      <c r="M19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
        <f>--(0&gt;(TblTimeSheet[[#This Row],[End Date and Time]]-TblTimeSheet[[#This Row],[Start Date and Time]]))</f>
        <v>0</v>
      </c>
    </row>
    <row r="195" spans="1:14" x14ac:dyDescent="0.25">
      <c r="A195" s="1"/>
      <c r="B195" s="2" t="s">
        <v>108</v>
      </c>
      <c r="C195" s="2" t="s">
        <v>41</v>
      </c>
      <c r="D195" s="2" t="s">
        <v>32</v>
      </c>
      <c r="E195" s="7" t="s">
        <v>510</v>
      </c>
      <c r="F195" s="3">
        <v>42254.416666666664</v>
      </c>
      <c r="G195" s="3">
        <v>42254.541666666664</v>
      </c>
      <c r="H195" s="1" t="s">
        <v>6</v>
      </c>
      <c r="I195" s="1" t="s">
        <v>38</v>
      </c>
      <c r="J195" s="1">
        <v>42255.55667824074</v>
      </c>
      <c r="K195" s="1" t="s">
        <v>41</v>
      </c>
      <c r="L195" s="14">
        <f>24*(TblTimeSheet[[#This Row],[End Date and Time]]-TblTimeSheet[[#This Row],[Start Date and Time]])</f>
        <v>3</v>
      </c>
      <c r="M19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
        <f>--(0&gt;(TblTimeSheet[[#This Row],[End Date and Time]]-TblTimeSheet[[#This Row],[Start Date and Time]]))</f>
        <v>0</v>
      </c>
    </row>
    <row r="196" spans="1:14" x14ac:dyDescent="0.25">
      <c r="A196" s="1"/>
      <c r="B196" s="2" t="s">
        <v>108</v>
      </c>
      <c r="C196" s="2" t="s">
        <v>116</v>
      </c>
      <c r="D196" s="2" t="s">
        <v>32</v>
      </c>
      <c r="E196" s="7" t="s">
        <v>511</v>
      </c>
      <c r="F196" s="3">
        <v>42255.604166666664</v>
      </c>
      <c r="G196" s="3">
        <v>42255.729166666664</v>
      </c>
      <c r="H196" s="1" t="s">
        <v>6</v>
      </c>
      <c r="I196" s="1" t="s">
        <v>38</v>
      </c>
      <c r="J196" s="1">
        <v>42255.751898148148</v>
      </c>
      <c r="K196" s="1" t="s">
        <v>39</v>
      </c>
      <c r="L196" s="14">
        <f>24*(TblTimeSheet[[#This Row],[End Date and Time]]-TblTimeSheet[[#This Row],[Start Date and Time]])</f>
        <v>3</v>
      </c>
      <c r="M19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
        <f>--(0&gt;(TblTimeSheet[[#This Row],[End Date and Time]]-TblTimeSheet[[#This Row],[Start Date and Time]]))</f>
        <v>0</v>
      </c>
    </row>
    <row r="197" spans="1:14" x14ac:dyDescent="0.25">
      <c r="A197" s="1"/>
      <c r="B197" s="2" t="s">
        <v>108</v>
      </c>
      <c r="C197" s="2" t="s">
        <v>41</v>
      </c>
      <c r="D197" s="2" t="s">
        <v>32</v>
      </c>
      <c r="E197" s="7" t="s">
        <v>512</v>
      </c>
      <c r="F197" s="3">
        <v>42255.416666666664</v>
      </c>
      <c r="G197" s="3">
        <v>42255.5</v>
      </c>
      <c r="H197" s="1" t="s">
        <v>6</v>
      </c>
      <c r="I197" s="1" t="s">
        <v>38</v>
      </c>
      <c r="J197" s="1">
        <v>42256.387361111112</v>
      </c>
      <c r="K197" s="1" t="s">
        <v>41</v>
      </c>
      <c r="L197" s="14">
        <f>24*(TblTimeSheet[[#This Row],[End Date and Time]]-TblTimeSheet[[#This Row],[Start Date and Time]])</f>
        <v>2.0000000000582077</v>
      </c>
      <c r="M19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
        <f>--(0&gt;(TblTimeSheet[[#This Row],[End Date and Time]]-TblTimeSheet[[#This Row],[Start Date and Time]]))</f>
        <v>0</v>
      </c>
    </row>
    <row r="198" spans="1:14" x14ac:dyDescent="0.25">
      <c r="A198" s="1"/>
      <c r="B198" s="2" t="s">
        <v>114</v>
      </c>
      <c r="C198" s="2" t="s">
        <v>116</v>
      </c>
      <c r="D198" s="2" t="s">
        <v>20</v>
      </c>
      <c r="E198" s="7" t="s">
        <v>513</v>
      </c>
      <c r="F198" s="3">
        <v>42255.666666666664</v>
      </c>
      <c r="G198" s="3">
        <v>42255.690972222219</v>
      </c>
      <c r="H198" s="1" t="s">
        <v>6</v>
      </c>
      <c r="I198" s="1" t="s">
        <v>38</v>
      </c>
      <c r="J198" s="1">
        <v>42256.41238425926</v>
      </c>
      <c r="K198" s="1" t="s">
        <v>701</v>
      </c>
      <c r="L198" s="14">
        <f>24*(TblTimeSheet[[#This Row],[End Date and Time]]-TblTimeSheet[[#This Row],[Start Date and Time]])</f>
        <v>0.58333333331393078</v>
      </c>
      <c r="M19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8">
        <f>--(0&gt;(TblTimeSheet[[#This Row],[End Date and Time]]-TblTimeSheet[[#This Row],[Start Date and Time]]))</f>
        <v>0</v>
      </c>
    </row>
    <row r="199" spans="1:14" x14ac:dyDescent="0.25">
      <c r="A199" s="1"/>
      <c r="B199" s="2" t="s">
        <v>108</v>
      </c>
      <c r="C199" s="2" t="s">
        <v>118</v>
      </c>
      <c r="D199" s="2" t="s">
        <v>32</v>
      </c>
      <c r="E199" s="7" t="s">
        <v>514</v>
      </c>
      <c r="F199" s="3">
        <v>42254.625</v>
      </c>
      <c r="G199" s="3">
        <v>42254.708333333336</v>
      </c>
      <c r="H199" s="1" t="s">
        <v>6</v>
      </c>
      <c r="I199" s="1" t="s">
        <v>38</v>
      </c>
      <c r="J199" s="1">
        <v>42256.412627314814</v>
      </c>
      <c r="K199" s="1" t="s">
        <v>118</v>
      </c>
      <c r="L199" s="14">
        <f>24*(TblTimeSheet[[#This Row],[End Date and Time]]-TblTimeSheet[[#This Row],[Start Date and Time]])</f>
        <v>2.0000000000582077</v>
      </c>
      <c r="M19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
        <f>--(0&gt;(TblTimeSheet[[#This Row],[End Date and Time]]-TblTimeSheet[[#This Row],[Start Date and Time]]))</f>
        <v>0</v>
      </c>
    </row>
    <row r="200" spans="1:14" x14ac:dyDescent="0.25">
      <c r="A200" s="1"/>
      <c r="B200" s="2" t="s">
        <v>108</v>
      </c>
      <c r="C200" s="2" t="s">
        <v>118</v>
      </c>
      <c r="D200" s="2" t="s">
        <v>32</v>
      </c>
      <c r="E200" s="7" t="s">
        <v>514</v>
      </c>
      <c r="F200" s="3">
        <v>42255.375</v>
      </c>
      <c r="G200" s="3">
        <v>42255.541666666664</v>
      </c>
      <c r="H200" s="1" t="s">
        <v>6</v>
      </c>
      <c r="I200" s="1" t="s">
        <v>38</v>
      </c>
      <c r="J200" s="1">
        <v>42256.413680555554</v>
      </c>
      <c r="K200" s="1" t="s">
        <v>118</v>
      </c>
      <c r="L200" s="14">
        <f>24*(TblTimeSheet[[#This Row],[End Date and Time]]-TblTimeSheet[[#This Row],[Start Date and Time]])</f>
        <v>3.9999999999417923</v>
      </c>
      <c r="M20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
        <f>--(0&gt;(TblTimeSheet[[#This Row],[End Date and Time]]-TblTimeSheet[[#This Row],[Start Date and Time]]))</f>
        <v>0</v>
      </c>
    </row>
    <row r="201" spans="1:14" x14ac:dyDescent="0.25">
      <c r="A201" s="1"/>
      <c r="B201" s="2" t="s">
        <v>108</v>
      </c>
      <c r="C201" s="2" t="s">
        <v>454</v>
      </c>
      <c r="D201" s="2" t="s">
        <v>32</v>
      </c>
      <c r="E201" s="7" t="s">
        <v>515</v>
      </c>
      <c r="F201" s="3">
        <v>42256.479166666664</v>
      </c>
      <c r="G201" s="3">
        <v>42256.493055555555</v>
      </c>
      <c r="H201" s="1" t="s">
        <v>6</v>
      </c>
      <c r="I201" s="1" t="s">
        <v>38</v>
      </c>
      <c r="J201" s="1">
        <v>42256.499374999999</v>
      </c>
      <c r="K201" s="1" t="s">
        <v>454</v>
      </c>
      <c r="L201" s="14">
        <f>24*(TblTimeSheet[[#This Row],[End Date and Time]]-TblTimeSheet[[#This Row],[Start Date and Time]])</f>
        <v>0.33333333337213844</v>
      </c>
      <c r="M20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
        <f>--(0&gt;(TblTimeSheet[[#This Row],[End Date and Time]]-TblTimeSheet[[#This Row],[Start Date and Time]]))</f>
        <v>0</v>
      </c>
    </row>
    <row r="202" spans="1:14" x14ac:dyDescent="0.25">
      <c r="A202" s="1"/>
      <c r="B202" s="2" t="s">
        <v>108</v>
      </c>
      <c r="C202" s="2" t="s">
        <v>118</v>
      </c>
      <c r="D202" s="2" t="s">
        <v>32</v>
      </c>
      <c r="E202" s="7" t="s">
        <v>516</v>
      </c>
      <c r="F202" s="3">
        <v>42256.479166666664</v>
      </c>
      <c r="G202" s="3">
        <v>42256.493055555555</v>
      </c>
      <c r="H202" s="1" t="s">
        <v>6</v>
      </c>
      <c r="I202" s="1" t="s">
        <v>38</v>
      </c>
      <c r="J202" s="1">
        <v>42256.499537037038</v>
      </c>
      <c r="K202" s="1" t="s">
        <v>118</v>
      </c>
      <c r="L202" s="14">
        <f>24*(TblTimeSheet[[#This Row],[End Date and Time]]-TblTimeSheet[[#This Row],[Start Date and Time]])</f>
        <v>0.33333333337213844</v>
      </c>
      <c r="M20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
        <f>--(0&gt;(TblTimeSheet[[#This Row],[End Date and Time]]-TblTimeSheet[[#This Row],[Start Date and Time]]))</f>
        <v>0</v>
      </c>
    </row>
    <row r="203" spans="1:14" x14ac:dyDescent="0.25">
      <c r="A203" s="1"/>
      <c r="B203" s="2" t="s">
        <v>108</v>
      </c>
      <c r="C203" s="2" t="s">
        <v>116</v>
      </c>
      <c r="D203" s="2" t="s">
        <v>32</v>
      </c>
      <c r="E203" s="7" t="s">
        <v>517</v>
      </c>
      <c r="F203" s="3">
        <v>42256.444444444445</v>
      </c>
      <c r="G203" s="3">
        <v>42256.479166666664</v>
      </c>
      <c r="H203" s="1" t="s">
        <v>6</v>
      </c>
      <c r="I203" s="1" t="s">
        <v>38</v>
      </c>
      <c r="J203" s="1">
        <v>42256.72928240741</v>
      </c>
      <c r="K203" s="1" t="s">
        <v>39</v>
      </c>
      <c r="L203" s="14">
        <f>24*(TblTimeSheet[[#This Row],[End Date and Time]]-TblTimeSheet[[#This Row],[Start Date and Time]])</f>
        <v>0.83333333325572312</v>
      </c>
      <c r="M20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3">
        <f>--(0&gt;(TblTimeSheet[[#This Row],[End Date and Time]]-TblTimeSheet[[#This Row],[Start Date and Time]]))</f>
        <v>0</v>
      </c>
    </row>
    <row r="204" spans="1:14" x14ac:dyDescent="0.25">
      <c r="A204" s="1"/>
      <c r="B204" s="2" t="s">
        <v>108</v>
      </c>
      <c r="C204" s="2" t="s">
        <v>116</v>
      </c>
      <c r="D204" s="2" t="s">
        <v>32</v>
      </c>
      <c r="E204" s="7" t="s">
        <v>456</v>
      </c>
      <c r="F204" s="3">
        <v>42256.479166666664</v>
      </c>
      <c r="G204" s="3">
        <v>42256.493055555555</v>
      </c>
      <c r="H204" s="1" t="s">
        <v>6</v>
      </c>
      <c r="I204" s="1" t="s">
        <v>38</v>
      </c>
      <c r="J204" s="1">
        <v>42256.729571759257</v>
      </c>
      <c r="K204" s="1" t="s">
        <v>39</v>
      </c>
      <c r="L204" s="14">
        <f>24*(TblTimeSheet[[#This Row],[End Date and Time]]-TblTimeSheet[[#This Row],[Start Date and Time]])</f>
        <v>0.33333333337213844</v>
      </c>
      <c r="M20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4">
        <f>--(0&gt;(TblTimeSheet[[#This Row],[End Date and Time]]-TblTimeSheet[[#This Row],[Start Date and Time]]))</f>
        <v>0</v>
      </c>
    </row>
    <row r="205" spans="1:14" x14ac:dyDescent="0.25">
      <c r="A205" s="1"/>
      <c r="B205" s="2" t="s">
        <v>108</v>
      </c>
      <c r="C205" s="2" t="s">
        <v>116</v>
      </c>
      <c r="D205" s="2" t="s">
        <v>32</v>
      </c>
      <c r="E205" s="7" t="s">
        <v>518</v>
      </c>
      <c r="F205" s="3">
        <v>42256.604166666664</v>
      </c>
      <c r="G205" s="3">
        <v>42256.625</v>
      </c>
      <c r="H205" s="1" t="s">
        <v>6</v>
      </c>
      <c r="I205" s="1" t="s">
        <v>38</v>
      </c>
      <c r="J205" s="1">
        <v>42256.730011574073</v>
      </c>
      <c r="K205" s="1" t="s">
        <v>39</v>
      </c>
      <c r="L205" s="14">
        <f>24*(TblTimeSheet[[#This Row],[End Date and Time]]-TblTimeSheet[[#This Row],[Start Date and Time]])</f>
        <v>0.50000000005820766</v>
      </c>
      <c r="M20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5">
        <f>--(0&gt;(TblTimeSheet[[#This Row],[End Date and Time]]-TblTimeSheet[[#This Row],[Start Date and Time]]))</f>
        <v>0</v>
      </c>
    </row>
    <row r="206" spans="1:14" x14ac:dyDescent="0.25">
      <c r="A206" s="1"/>
      <c r="B206" s="2" t="s">
        <v>108</v>
      </c>
      <c r="C206" s="2" t="s">
        <v>116</v>
      </c>
      <c r="D206" s="2" t="s">
        <v>32</v>
      </c>
      <c r="E206" s="7" t="s">
        <v>519</v>
      </c>
      <c r="F206" s="3">
        <v>42256.444444444445</v>
      </c>
      <c r="G206" s="3">
        <v>42256.479166666664</v>
      </c>
      <c r="H206" s="1" t="s">
        <v>6</v>
      </c>
      <c r="I206" s="1" t="s">
        <v>38</v>
      </c>
      <c r="J206" s="1">
        <v>42256.730081018519</v>
      </c>
      <c r="K206" s="1" t="s">
        <v>166</v>
      </c>
      <c r="L206" s="14">
        <f>24*(TblTimeSheet[[#This Row],[End Date and Time]]-TblTimeSheet[[#This Row],[Start Date and Time]])</f>
        <v>0.83333333325572312</v>
      </c>
      <c r="M20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6">
        <f>--(0&gt;(TblTimeSheet[[#This Row],[End Date and Time]]-TblTimeSheet[[#This Row],[Start Date and Time]]))</f>
        <v>0</v>
      </c>
    </row>
    <row r="207" spans="1:14" x14ac:dyDescent="0.25">
      <c r="A207" s="1"/>
      <c r="B207" s="2" t="s">
        <v>108</v>
      </c>
      <c r="C207" s="2" t="s">
        <v>116</v>
      </c>
      <c r="D207" s="2" t="s">
        <v>32</v>
      </c>
      <c r="E207" s="7" t="s">
        <v>519</v>
      </c>
      <c r="F207" s="3">
        <v>42256.604166666664</v>
      </c>
      <c r="G207" s="3">
        <v>42256.625</v>
      </c>
      <c r="H207" s="1" t="s">
        <v>6</v>
      </c>
      <c r="I207" s="1" t="s">
        <v>38</v>
      </c>
      <c r="J207" s="1">
        <v>42256.730844907404</v>
      </c>
      <c r="K207" s="1" t="s">
        <v>166</v>
      </c>
      <c r="L207" s="14">
        <f>24*(TblTimeSheet[[#This Row],[End Date and Time]]-TblTimeSheet[[#This Row],[Start Date and Time]])</f>
        <v>0.50000000005820766</v>
      </c>
      <c r="M20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7">
        <f>--(0&gt;(TblTimeSheet[[#This Row],[End Date and Time]]-TblTimeSheet[[#This Row],[Start Date and Time]]))</f>
        <v>0</v>
      </c>
    </row>
    <row r="208" spans="1:14" ht="30" x14ac:dyDescent="0.25">
      <c r="A208" s="1"/>
      <c r="B208" s="2" t="s">
        <v>108</v>
      </c>
      <c r="C208" s="2" t="s">
        <v>116</v>
      </c>
      <c r="D208" s="2" t="s">
        <v>32</v>
      </c>
      <c r="E208" s="7" t="s">
        <v>524</v>
      </c>
      <c r="F208" s="3">
        <v>42256.479166666664</v>
      </c>
      <c r="G208" s="3">
        <v>42256.493055555555</v>
      </c>
      <c r="H208" s="1" t="s">
        <v>6</v>
      </c>
      <c r="I208" s="1" t="s">
        <v>38</v>
      </c>
      <c r="J208" s="1">
        <v>42256.732175925928</v>
      </c>
      <c r="K208" s="1" t="s">
        <v>701</v>
      </c>
      <c r="L208" s="14">
        <f>24*(TblTimeSheet[[#This Row],[End Date and Time]]-TblTimeSheet[[#This Row],[Start Date and Time]])</f>
        <v>0.33333333337213844</v>
      </c>
      <c r="M20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
        <f>--(0&gt;(TblTimeSheet[[#This Row],[End Date and Time]]-TblTimeSheet[[#This Row],[Start Date and Time]]))</f>
        <v>0</v>
      </c>
    </row>
    <row r="209" spans="1:14" x14ac:dyDescent="0.25">
      <c r="A209" s="1"/>
      <c r="B209" s="2" t="s">
        <v>108</v>
      </c>
      <c r="C209" s="2" t="s">
        <v>116</v>
      </c>
      <c r="D209" s="2" t="s">
        <v>32</v>
      </c>
      <c r="E209" s="7" t="s">
        <v>603</v>
      </c>
      <c r="F209" s="3">
        <v>42257.625</v>
      </c>
      <c r="G209" s="3">
        <v>42257.635416666664</v>
      </c>
      <c r="H209" s="1" t="s">
        <v>6</v>
      </c>
      <c r="I209" s="1" t="s">
        <v>38</v>
      </c>
      <c r="J209" s="1">
        <v>42258.432037037041</v>
      </c>
      <c r="K209" s="1" t="s">
        <v>166</v>
      </c>
      <c r="L209" s="14">
        <f>24*(TblTimeSheet[[#This Row],[End Date and Time]]-TblTimeSheet[[#This Row],[Start Date and Time]])</f>
        <v>0.24999999994179234</v>
      </c>
      <c r="M20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
        <f>--(0&gt;(TblTimeSheet[[#This Row],[End Date and Time]]-TblTimeSheet[[#This Row],[Start Date and Time]]))</f>
        <v>0</v>
      </c>
    </row>
    <row r="210" spans="1:14" x14ac:dyDescent="0.25">
      <c r="A210" s="1"/>
      <c r="B210" s="2" t="s">
        <v>108</v>
      </c>
      <c r="C210" s="2" t="s">
        <v>116</v>
      </c>
      <c r="D210" s="2" t="s">
        <v>32</v>
      </c>
      <c r="E210" s="7" t="s">
        <v>584</v>
      </c>
      <c r="F210" s="3">
        <v>42257.75</v>
      </c>
      <c r="G210" s="3">
        <v>42257.760416666664</v>
      </c>
      <c r="H210" s="1" t="s">
        <v>6</v>
      </c>
      <c r="I210" s="1" t="s">
        <v>38</v>
      </c>
      <c r="J210" s="1">
        <v>42258.432905092595</v>
      </c>
      <c r="K210" s="1" t="s">
        <v>166</v>
      </c>
      <c r="L210" s="14">
        <f>24*(TblTimeSheet[[#This Row],[End Date and Time]]-TblTimeSheet[[#This Row],[Start Date and Time]])</f>
        <v>0.24999999994179234</v>
      </c>
      <c r="M21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0">
        <f>--(0&gt;(TblTimeSheet[[#This Row],[End Date and Time]]-TblTimeSheet[[#This Row],[Start Date and Time]]))</f>
        <v>0</v>
      </c>
    </row>
    <row r="211" spans="1:14" x14ac:dyDescent="0.25">
      <c r="A211" s="1"/>
      <c r="B211" s="2" t="s">
        <v>110</v>
      </c>
      <c r="C211" s="2" t="s">
        <v>143</v>
      </c>
      <c r="D211" s="2" t="s">
        <v>32</v>
      </c>
      <c r="E211" s="7" t="s">
        <v>504</v>
      </c>
      <c r="F211" s="3">
        <v>42255.458333333336</v>
      </c>
      <c r="G211" s="3">
        <v>42255.5</v>
      </c>
      <c r="H211" s="1" t="s">
        <v>6</v>
      </c>
      <c r="I211" s="1" t="s">
        <v>38</v>
      </c>
      <c r="J211" s="1">
        <v>42258.451562499999</v>
      </c>
      <c r="K211" s="1" t="s">
        <v>143</v>
      </c>
      <c r="L211" s="14">
        <f>24*(TblTimeSheet[[#This Row],[End Date and Time]]-TblTimeSheet[[#This Row],[Start Date and Time]])</f>
        <v>0.99999999994179234</v>
      </c>
      <c r="M21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
        <f>--(0&gt;(TblTimeSheet[[#This Row],[End Date and Time]]-TblTimeSheet[[#This Row],[Start Date and Time]]))</f>
        <v>0</v>
      </c>
    </row>
    <row r="212" spans="1:14" x14ac:dyDescent="0.25">
      <c r="A212" s="1"/>
      <c r="B212" s="2" t="s">
        <v>108</v>
      </c>
      <c r="C212" s="2" t="s">
        <v>116</v>
      </c>
      <c r="D212" s="2" t="s">
        <v>32</v>
      </c>
      <c r="E212" s="7" t="s">
        <v>585</v>
      </c>
      <c r="F212" s="3">
        <v>42258.625</v>
      </c>
      <c r="G212" s="3">
        <v>42258.666666666664</v>
      </c>
      <c r="H212" s="1" t="s">
        <v>6</v>
      </c>
      <c r="I212" s="1" t="s">
        <v>38</v>
      </c>
      <c r="J212" s="1">
        <v>42258.753449074073</v>
      </c>
      <c r="K212" s="1" t="s">
        <v>39</v>
      </c>
      <c r="L212" s="14">
        <f>24*(TblTimeSheet[[#This Row],[End Date and Time]]-TblTimeSheet[[#This Row],[Start Date and Time]])</f>
        <v>0.99999999994179234</v>
      </c>
      <c r="M21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2">
        <f>--(0&gt;(TblTimeSheet[[#This Row],[End Date and Time]]-TblTimeSheet[[#This Row],[Start Date and Time]]))</f>
        <v>0</v>
      </c>
    </row>
    <row r="213" spans="1:14" x14ac:dyDescent="0.25">
      <c r="A213" s="1"/>
      <c r="B213" s="2" t="s">
        <v>108</v>
      </c>
      <c r="C213" s="2" t="s">
        <v>116</v>
      </c>
      <c r="D213" s="2" t="s">
        <v>32</v>
      </c>
      <c r="E213" s="7" t="s">
        <v>586</v>
      </c>
      <c r="F213" s="3">
        <v>42259.416666666664</v>
      </c>
      <c r="G213" s="3">
        <v>42259.458333333336</v>
      </c>
      <c r="H213" s="1" t="s">
        <v>6</v>
      </c>
      <c r="I213" s="1" t="s">
        <v>38</v>
      </c>
      <c r="J213" s="1">
        <v>42259.47550925926</v>
      </c>
      <c r="K213" s="1" t="s">
        <v>39</v>
      </c>
      <c r="L213" s="14">
        <f>24*(TblTimeSheet[[#This Row],[End Date and Time]]-TblTimeSheet[[#This Row],[Start Date and Time]])</f>
        <v>1.0000000001164153</v>
      </c>
      <c r="M21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
        <f>--(0&gt;(TblTimeSheet[[#This Row],[End Date and Time]]-TblTimeSheet[[#This Row],[Start Date and Time]]))</f>
        <v>0</v>
      </c>
    </row>
    <row r="214" spans="1:14" x14ac:dyDescent="0.25">
      <c r="A214" s="1"/>
      <c r="B214" s="2" t="s">
        <v>108</v>
      </c>
      <c r="C214" s="2" t="s">
        <v>116</v>
      </c>
      <c r="D214" s="2" t="s">
        <v>32</v>
      </c>
      <c r="E214" s="7" t="s">
        <v>587</v>
      </c>
      <c r="F214" s="3">
        <v>42259.6875</v>
      </c>
      <c r="G214" s="3">
        <v>42259.708333333336</v>
      </c>
      <c r="H214" s="1" t="s">
        <v>6</v>
      </c>
      <c r="I214" s="1" t="s">
        <v>38</v>
      </c>
      <c r="J214" s="1">
        <v>42259.71402777778</v>
      </c>
      <c r="K214" s="1" t="s">
        <v>39</v>
      </c>
      <c r="L214" s="14">
        <f>24*(TblTimeSheet[[#This Row],[End Date and Time]]-TblTimeSheet[[#This Row],[Start Date and Time]])</f>
        <v>0.50000000005820766</v>
      </c>
      <c r="M2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4">
        <f>--(0&gt;(TblTimeSheet[[#This Row],[End Date and Time]]-TblTimeSheet[[#This Row],[Start Date and Time]]))</f>
        <v>0</v>
      </c>
    </row>
    <row r="215" spans="1:14" x14ac:dyDescent="0.25">
      <c r="A215" s="1"/>
      <c r="B215" s="2" t="s">
        <v>108</v>
      </c>
      <c r="C215" s="2" t="s">
        <v>116</v>
      </c>
      <c r="D215" s="2" t="s">
        <v>32</v>
      </c>
      <c r="E215" s="7" t="s">
        <v>588</v>
      </c>
      <c r="F215" s="3">
        <v>42259.697916666664</v>
      </c>
      <c r="G215" s="3">
        <v>42259.71875</v>
      </c>
      <c r="H215" s="1" t="s">
        <v>6</v>
      </c>
      <c r="I215" s="1" t="s">
        <v>38</v>
      </c>
      <c r="J215" s="1">
        <v>42259.71775462963</v>
      </c>
      <c r="K215" s="1" t="s">
        <v>166</v>
      </c>
      <c r="L215" s="14">
        <f>24*(TblTimeSheet[[#This Row],[End Date and Time]]-TblTimeSheet[[#This Row],[Start Date and Time]])</f>
        <v>0.50000000005820766</v>
      </c>
      <c r="M21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5">
        <f>--(0&gt;(TblTimeSheet[[#This Row],[End Date and Time]]-TblTimeSheet[[#This Row],[Start Date and Time]]))</f>
        <v>0</v>
      </c>
    </row>
    <row r="216" spans="1:14" x14ac:dyDescent="0.25">
      <c r="A216" s="1"/>
      <c r="B216" s="2" t="s">
        <v>108</v>
      </c>
      <c r="C216" s="2" t="s">
        <v>118</v>
      </c>
      <c r="D216" s="2" t="s">
        <v>32</v>
      </c>
      <c r="E216" s="7" t="s">
        <v>456</v>
      </c>
      <c r="F216" s="3">
        <v>42261.395833333336</v>
      </c>
      <c r="G216" s="3">
        <v>42261.409722222219</v>
      </c>
      <c r="H216" s="1" t="s">
        <v>6</v>
      </c>
      <c r="I216" s="1" t="s">
        <v>38</v>
      </c>
      <c r="J216" s="1">
        <v>42261.420752314814</v>
      </c>
      <c r="K216" s="1" t="s">
        <v>118</v>
      </c>
      <c r="L216" s="14">
        <f>24*(TblTimeSheet[[#This Row],[End Date and Time]]-TblTimeSheet[[#This Row],[Start Date and Time]])</f>
        <v>0.33333333319751546</v>
      </c>
      <c r="M21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
        <f>--(0&gt;(TblTimeSheet[[#This Row],[End Date and Time]]-TblTimeSheet[[#This Row],[Start Date and Time]]))</f>
        <v>0</v>
      </c>
    </row>
    <row r="217" spans="1:14" x14ac:dyDescent="0.25">
      <c r="A217" s="1"/>
      <c r="B217" s="2" t="s">
        <v>108</v>
      </c>
      <c r="C217" s="2" t="s">
        <v>176</v>
      </c>
      <c r="D217" s="2" t="s">
        <v>32</v>
      </c>
      <c r="E217" s="7" t="s">
        <v>516</v>
      </c>
      <c r="F217" s="3">
        <v>42261.395833333336</v>
      </c>
      <c r="G217" s="3">
        <v>42261.409722222219</v>
      </c>
      <c r="H217" s="1" t="s">
        <v>6</v>
      </c>
      <c r="I217" s="1" t="s">
        <v>38</v>
      </c>
      <c r="J217" s="1">
        <v>42261.421898148146</v>
      </c>
      <c r="K217" s="1" t="s">
        <v>176</v>
      </c>
      <c r="L217" s="14">
        <f>24*(TblTimeSheet[[#This Row],[End Date and Time]]-TblTimeSheet[[#This Row],[Start Date and Time]])</f>
        <v>0.33333333319751546</v>
      </c>
      <c r="M21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
        <f>--(0&gt;(TblTimeSheet[[#This Row],[End Date and Time]]-TblTimeSheet[[#This Row],[Start Date and Time]]))</f>
        <v>0</v>
      </c>
    </row>
    <row r="218" spans="1:14" x14ac:dyDescent="0.25">
      <c r="A218" s="1"/>
      <c r="B218" s="2" t="s">
        <v>108</v>
      </c>
      <c r="C218" s="2" t="s">
        <v>116</v>
      </c>
      <c r="D218" s="2" t="s">
        <v>32</v>
      </c>
      <c r="E218" s="7" t="s">
        <v>589</v>
      </c>
      <c r="F218" s="3">
        <v>42261.395833333336</v>
      </c>
      <c r="G218" s="3">
        <v>42261.409722222219</v>
      </c>
      <c r="H218" s="1" t="s">
        <v>6</v>
      </c>
      <c r="I218" s="1" t="s">
        <v>38</v>
      </c>
      <c r="J218" s="1">
        <v>42261.424004629633</v>
      </c>
      <c r="K218" s="1" t="s">
        <v>39</v>
      </c>
      <c r="L218" s="14">
        <f>24*(TblTimeSheet[[#This Row],[End Date and Time]]-TblTimeSheet[[#This Row],[Start Date and Time]])</f>
        <v>0.33333333319751546</v>
      </c>
      <c r="M21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8">
        <f>--(0&gt;(TblTimeSheet[[#This Row],[End Date and Time]]-TblTimeSheet[[#This Row],[Start Date and Time]]))</f>
        <v>0</v>
      </c>
    </row>
    <row r="219" spans="1:14" x14ac:dyDescent="0.25">
      <c r="A219" s="1"/>
      <c r="B219" s="2" t="s">
        <v>108</v>
      </c>
      <c r="C219" s="2" t="s">
        <v>41</v>
      </c>
      <c r="D219" s="2" t="s">
        <v>32</v>
      </c>
      <c r="E219" s="7" t="s">
        <v>449</v>
      </c>
      <c r="F219" s="3">
        <v>42261.395833333336</v>
      </c>
      <c r="G219" s="3">
        <v>42261.409722222219</v>
      </c>
      <c r="H219" s="1" t="s">
        <v>6</v>
      </c>
      <c r="I219" s="1" t="s">
        <v>38</v>
      </c>
      <c r="J219" s="1">
        <v>42261.47011574074</v>
      </c>
      <c r="K219" s="1" t="s">
        <v>41</v>
      </c>
      <c r="L219" s="14">
        <f>24*(TblTimeSheet[[#This Row],[End Date and Time]]-TblTimeSheet[[#This Row],[Start Date and Time]])</f>
        <v>0.33333333319751546</v>
      </c>
      <c r="M21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
        <f>--(0&gt;(TblTimeSheet[[#This Row],[End Date and Time]]-TblTimeSheet[[#This Row],[Start Date and Time]]))</f>
        <v>0</v>
      </c>
    </row>
    <row r="220" spans="1:14" x14ac:dyDescent="0.25">
      <c r="A220" s="1"/>
      <c r="B220" s="2" t="s">
        <v>108</v>
      </c>
      <c r="C220" s="2" t="s">
        <v>116</v>
      </c>
      <c r="D220" s="2" t="s">
        <v>32</v>
      </c>
      <c r="E220" s="7" t="s">
        <v>590</v>
      </c>
      <c r="F220" s="3">
        <v>42261.395833333336</v>
      </c>
      <c r="G220" s="3">
        <v>42261.409722222219</v>
      </c>
      <c r="H220" s="1" t="s">
        <v>6</v>
      </c>
      <c r="I220" s="1" t="s">
        <v>38</v>
      </c>
      <c r="J220" s="1">
        <v>42261.48369212963</v>
      </c>
      <c r="K220" s="1" t="s">
        <v>701</v>
      </c>
      <c r="L220" s="14">
        <f>24*(TblTimeSheet[[#This Row],[End Date and Time]]-TblTimeSheet[[#This Row],[Start Date and Time]])</f>
        <v>0.33333333319751546</v>
      </c>
      <c r="M22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0">
        <f>--(0&gt;(TblTimeSheet[[#This Row],[End Date and Time]]-TblTimeSheet[[#This Row],[Start Date and Time]]))</f>
        <v>0</v>
      </c>
    </row>
    <row r="221" spans="1:14" x14ac:dyDescent="0.25">
      <c r="A221" s="1"/>
      <c r="B221" s="2" t="s">
        <v>110</v>
      </c>
      <c r="C221" s="2" t="s">
        <v>41</v>
      </c>
      <c r="D221" s="2" t="s">
        <v>20</v>
      </c>
      <c r="E221" s="7" t="s">
        <v>591</v>
      </c>
      <c r="F221" s="3">
        <v>42261.510416666664</v>
      </c>
      <c r="G221" s="3">
        <v>42261.53125</v>
      </c>
      <c r="H221" s="1" t="s">
        <v>6</v>
      </c>
      <c r="I221" s="1" t="s">
        <v>38</v>
      </c>
      <c r="J221" s="1">
        <v>42261.537673611114</v>
      </c>
      <c r="K221" s="1" t="s">
        <v>41</v>
      </c>
      <c r="L221" s="14">
        <f>24*(TblTimeSheet[[#This Row],[End Date and Time]]-TblTimeSheet[[#This Row],[Start Date and Time]])</f>
        <v>0.50000000005820766</v>
      </c>
      <c r="M22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1">
        <f>--(0&gt;(TblTimeSheet[[#This Row],[End Date and Time]]-TblTimeSheet[[#This Row],[Start Date and Time]]))</f>
        <v>0</v>
      </c>
    </row>
    <row r="222" spans="1:14" x14ac:dyDescent="0.25">
      <c r="A222" s="1"/>
      <c r="B222" s="2" t="s">
        <v>110</v>
      </c>
      <c r="C222" s="2" t="s">
        <v>116</v>
      </c>
      <c r="D222" s="2" t="s">
        <v>20</v>
      </c>
      <c r="E222" s="7" t="s">
        <v>456</v>
      </c>
      <c r="F222" s="3">
        <v>42261.510416666664</v>
      </c>
      <c r="G222" s="3">
        <v>42261.53125</v>
      </c>
      <c r="H222" s="1" t="s">
        <v>6</v>
      </c>
      <c r="I222" s="1" t="s">
        <v>38</v>
      </c>
      <c r="J222" s="1">
        <v>42261.538101851853</v>
      </c>
      <c r="K222" s="1" t="s">
        <v>701</v>
      </c>
      <c r="L222" s="14">
        <f>24*(TblTimeSheet[[#This Row],[End Date and Time]]-TblTimeSheet[[#This Row],[Start Date and Time]])</f>
        <v>0.50000000005820766</v>
      </c>
      <c r="M22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2">
        <f>--(0&gt;(TblTimeSheet[[#This Row],[End Date and Time]]-TblTimeSheet[[#This Row],[Start Date and Time]]))</f>
        <v>0</v>
      </c>
    </row>
    <row r="223" spans="1:14" x14ac:dyDescent="0.25">
      <c r="A223" s="1"/>
      <c r="B223" s="2" t="s">
        <v>110</v>
      </c>
      <c r="C223" s="2" t="s">
        <v>118</v>
      </c>
      <c r="D223" s="2" t="s">
        <v>20</v>
      </c>
      <c r="E223" s="7" t="s">
        <v>516</v>
      </c>
      <c r="F223" s="3">
        <v>42261.510416666664</v>
      </c>
      <c r="G223" s="3">
        <v>42261.53125</v>
      </c>
      <c r="H223" s="1" t="s">
        <v>6</v>
      </c>
      <c r="I223" s="1" t="s">
        <v>38</v>
      </c>
      <c r="J223" s="1">
        <v>42261.538321759261</v>
      </c>
      <c r="K223" s="1" t="s">
        <v>118</v>
      </c>
      <c r="L223" s="14">
        <f>24*(TblTimeSheet[[#This Row],[End Date and Time]]-TblTimeSheet[[#This Row],[Start Date and Time]])</f>
        <v>0.50000000005820766</v>
      </c>
      <c r="M22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3">
        <f>--(0&gt;(TblTimeSheet[[#This Row],[End Date and Time]]-TblTimeSheet[[#This Row],[Start Date and Time]]))</f>
        <v>0</v>
      </c>
    </row>
    <row r="224" spans="1:14" x14ac:dyDescent="0.25">
      <c r="A224" s="1"/>
      <c r="B224" s="2" t="s">
        <v>110</v>
      </c>
      <c r="C224" s="2" t="s">
        <v>42</v>
      </c>
      <c r="D224" s="2" t="s">
        <v>20</v>
      </c>
      <c r="E224" s="7" t="s">
        <v>592</v>
      </c>
      <c r="F224" s="3">
        <v>42254.625</v>
      </c>
      <c r="G224" s="3">
        <v>42254.729166666664</v>
      </c>
      <c r="H224" s="1" t="s">
        <v>6</v>
      </c>
      <c r="I224" s="1" t="s">
        <v>38</v>
      </c>
      <c r="J224" s="1">
        <v>42261.539004629631</v>
      </c>
      <c r="K224" s="1" t="s">
        <v>42</v>
      </c>
      <c r="L224" s="14">
        <f>24*(TblTimeSheet[[#This Row],[End Date and Time]]-TblTimeSheet[[#This Row],[Start Date and Time]])</f>
        <v>2.4999999999417923</v>
      </c>
      <c r="M22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
        <f>--(0&gt;(TblTimeSheet[[#This Row],[End Date and Time]]-TblTimeSheet[[#This Row],[Start Date and Time]]))</f>
        <v>0</v>
      </c>
    </row>
    <row r="225" spans="1:14" x14ac:dyDescent="0.25">
      <c r="A225" s="1"/>
      <c r="B225" s="2" t="s">
        <v>110</v>
      </c>
      <c r="C225" s="2" t="s">
        <v>42</v>
      </c>
      <c r="D225" s="2" t="s">
        <v>20</v>
      </c>
      <c r="E225" s="7" t="s">
        <v>592</v>
      </c>
      <c r="F225" s="3">
        <v>42255.614583333336</v>
      </c>
      <c r="G225" s="3">
        <v>42255.649305555555</v>
      </c>
      <c r="H225" s="1" t="s">
        <v>6</v>
      </c>
      <c r="I225" s="1" t="s">
        <v>38</v>
      </c>
      <c r="J225" s="1">
        <v>42261.540173611109</v>
      </c>
      <c r="K225" s="1" t="s">
        <v>42</v>
      </c>
      <c r="L225" s="14">
        <f>24*(TblTimeSheet[[#This Row],[End Date and Time]]-TblTimeSheet[[#This Row],[Start Date and Time]])</f>
        <v>0.83333333325572312</v>
      </c>
      <c r="M22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
        <f>--(0&gt;(TblTimeSheet[[#This Row],[End Date and Time]]-TblTimeSheet[[#This Row],[Start Date and Time]]))</f>
        <v>0</v>
      </c>
    </row>
    <row r="226" spans="1:14" x14ac:dyDescent="0.25">
      <c r="A226" s="1"/>
      <c r="B226" s="2" t="s">
        <v>110</v>
      </c>
      <c r="C226" s="2" t="s">
        <v>42</v>
      </c>
      <c r="D226" s="2" t="s">
        <v>20</v>
      </c>
      <c r="E226" s="7" t="s">
        <v>592</v>
      </c>
      <c r="F226" s="3">
        <v>42256.493055555555</v>
      </c>
      <c r="G226" s="3">
        <v>42256.552083333336</v>
      </c>
      <c r="H226" s="1" t="s">
        <v>6</v>
      </c>
      <c r="I226" s="1" t="s">
        <v>38</v>
      </c>
      <c r="J226" s="1">
        <v>42261.541666666664</v>
      </c>
      <c r="K226" s="1" t="s">
        <v>42</v>
      </c>
      <c r="L226" s="14">
        <f>24*(TblTimeSheet[[#This Row],[End Date and Time]]-TblTimeSheet[[#This Row],[Start Date and Time]])</f>
        <v>1.4166666667442769</v>
      </c>
      <c r="M22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
        <f>--(0&gt;(TblTimeSheet[[#This Row],[End Date and Time]]-TblTimeSheet[[#This Row],[Start Date and Time]]))</f>
        <v>0</v>
      </c>
    </row>
    <row r="227" spans="1:14" x14ac:dyDescent="0.25">
      <c r="A227" s="1"/>
      <c r="B227" s="2" t="s">
        <v>110</v>
      </c>
      <c r="C227" s="2" t="s">
        <v>42</v>
      </c>
      <c r="D227" s="2" t="s">
        <v>20</v>
      </c>
      <c r="E227" s="7" t="s">
        <v>592</v>
      </c>
      <c r="F227" s="3">
        <v>42256.59375</v>
      </c>
      <c r="G227" s="3">
        <v>42256.635416666664</v>
      </c>
      <c r="H227" s="1" t="s">
        <v>6</v>
      </c>
      <c r="I227" s="1" t="s">
        <v>38</v>
      </c>
      <c r="J227" s="1">
        <v>42261.542013888888</v>
      </c>
      <c r="K227" s="1" t="s">
        <v>42</v>
      </c>
      <c r="L227" s="14">
        <f>24*(TblTimeSheet[[#This Row],[End Date and Time]]-TblTimeSheet[[#This Row],[Start Date and Time]])</f>
        <v>0.99999999994179234</v>
      </c>
      <c r="M22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
        <f>--(0&gt;(TblTimeSheet[[#This Row],[End Date and Time]]-TblTimeSheet[[#This Row],[Start Date and Time]]))</f>
        <v>0</v>
      </c>
    </row>
    <row r="228" spans="1:14" x14ac:dyDescent="0.25">
      <c r="A228" s="1"/>
      <c r="B228" s="2" t="s">
        <v>110</v>
      </c>
      <c r="C228" s="2" t="s">
        <v>42</v>
      </c>
      <c r="D228" s="2" t="s">
        <v>20</v>
      </c>
      <c r="E228" s="7" t="s">
        <v>592</v>
      </c>
      <c r="F228" s="3">
        <v>42258.395833333336</v>
      </c>
      <c r="G228" s="3">
        <v>42258.479166666664</v>
      </c>
      <c r="H228" s="1" t="s">
        <v>6</v>
      </c>
      <c r="I228" s="1" t="s">
        <v>38</v>
      </c>
      <c r="J228" s="1">
        <v>42261.542361111111</v>
      </c>
      <c r="K228" s="1" t="s">
        <v>42</v>
      </c>
      <c r="L228" s="14">
        <f>24*(TblTimeSheet[[#This Row],[End Date and Time]]-TblTimeSheet[[#This Row],[Start Date and Time]])</f>
        <v>1.9999999998835847</v>
      </c>
      <c r="M22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
        <f>--(0&gt;(TblTimeSheet[[#This Row],[End Date and Time]]-TblTimeSheet[[#This Row],[Start Date and Time]]))</f>
        <v>0</v>
      </c>
    </row>
    <row r="229" spans="1:14" x14ac:dyDescent="0.25">
      <c r="A229" s="1"/>
      <c r="B229" s="2" t="s">
        <v>110</v>
      </c>
      <c r="C229" s="2" t="s">
        <v>41</v>
      </c>
      <c r="D229" s="2" t="s">
        <v>20</v>
      </c>
      <c r="E229" s="7" t="s">
        <v>593</v>
      </c>
      <c r="F229" s="3">
        <v>42261.510416666664</v>
      </c>
      <c r="G229" s="3">
        <v>42261.53125</v>
      </c>
      <c r="H229" s="1" t="s">
        <v>6</v>
      </c>
      <c r="I229" s="1" t="s">
        <v>38</v>
      </c>
      <c r="J229" s="1">
        <v>42264.760659722226</v>
      </c>
      <c r="K229" s="1" t="s">
        <v>41</v>
      </c>
      <c r="L229" s="14">
        <f>24*(TblTimeSheet[[#This Row],[End Date and Time]]-TblTimeSheet[[#This Row],[Start Date and Time]])</f>
        <v>0.50000000005820766</v>
      </c>
      <c r="M22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9">
        <f>--(0&gt;(TblTimeSheet[[#This Row],[End Date and Time]]-TblTimeSheet[[#This Row],[Start Date and Time]]))</f>
        <v>0</v>
      </c>
    </row>
    <row r="230" spans="1:14" x14ac:dyDescent="0.25">
      <c r="A230" s="1"/>
      <c r="B230" s="2" t="s">
        <v>108</v>
      </c>
      <c r="C230" s="2" t="s">
        <v>116</v>
      </c>
      <c r="D230" s="2" t="s">
        <v>32</v>
      </c>
      <c r="E230" s="7" t="s">
        <v>594</v>
      </c>
      <c r="F230" s="3">
        <v>42261.395833333336</v>
      </c>
      <c r="G230" s="3">
        <v>42261.409722222219</v>
      </c>
      <c r="H230" s="1" t="s">
        <v>6</v>
      </c>
      <c r="I230" s="1" t="s">
        <v>38</v>
      </c>
      <c r="J230" s="1">
        <v>42261.547986111109</v>
      </c>
      <c r="K230" s="1" t="s">
        <v>81</v>
      </c>
      <c r="L230" s="14">
        <f>24*(TblTimeSheet[[#This Row],[End Date and Time]]-TblTimeSheet[[#This Row],[Start Date and Time]])</f>
        <v>0.33333333319751546</v>
      </c>
      <c r="M23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0">
        <f>--(0&gt;(TblTimeSheet[[#This Row],[End Date and Time]]-TblTimeSheet[[#This Row],[Start Date and Time]]))</f>
        <v>0</v>
      </c>
    </row>
    <row r="231" spans="1:14" x14ac:dyDescent="0.25">
      <c r="A231" s="1"/>
      <c r="B231" s="2" t="s">
        <v>108</v>
      </c>
      <c r="C231" s="2" t="s">
        <v>41</v>
      </c>
      <c r="D231" s="2" t="s">
        <v>32</v>
      </c>
      <c r="E231" s="7" t="s">
        <v>449</v>
      </c>
      <c r="F231" s="3">
        <v>42256.479166666664</v>
      </c>
      <c r="G231" s="3">
        <v>42256.493055555555</v>
      </c>
      <c r="H231" s="1" t="s">
        <v>6</v>
      </c>
      <c r="I231" s="1" t="s">
        <v>38</v>
      </c>
      <c r="J231" s="1">
        <v>42261.595983796295</v>
      </c>
      <c r="K231" s="1" t="s">
        <v>41</v>
      </c>
      <c r="L231" s="14">
        <f>24*(TblTimeSheet[[#This Row],[End Date and Time]]-TblTimeSheet[[#This Row],[Start Date and Time]])</f>
        <v>0.33333333337213844</v>
      </c>
      <c r="M23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1">
        <f>--(0&gt;(TblTimeSheet[[#This Row],[End Date and Time]]-TblTimeSheet[[#This Row],[Start Date and Time]]))</f>
        <v>0</v>
      </c>
    </row>
    <row r="232" spans="1:14" x14ac:dyDescent="0.25">
      <c r="A232" s="1"/>
      <c r="B232" s="2" t="s">
        <v>110</v>
      </c>
      <c r="C232" s="2" t="s">
        <v>116</v>
      </c>
      <c r="D232" s="2" t="s">
        <v>20</v>
      </c>
      <c r="E232" s="7" t="s">
        <v>595</v>
      </c>
      <c r="F232" s="3">
        <v>42261.510416666664</v>
      </c>
      <c r="G232" s="3">
        <v>42261.53125</v>
      </c>
      <c r="H232" s="1" t="s">
        <v>6</v>
      </c>
      <c r="I232" s="1" t="s">
        <v>38</v>
      </c>
      <c r="J232" s="1">
        <v>42261.597210648149</v>
      </c>
      <c r="K232" s="1" t="s">
        <v>81</v>
      </c>
      <c r="L232" s="14">
        <f>24*(TblTimeSheet[[#This Row],[End Date and Time]]-TblTimeSheet[[#This Row],[Start Date and Time]])</f>
        <v>0.50000000005820766</v>
      </c>
      <c r="M23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2">
        <f>--(0&gt;(TblTimeSheet[[#This Row],[End Date and Time]]-TblTimeSheet[[#This Row],[Start Date and Time]]))</f>
        <v>0</v>
      </c>
    </row>
    <row r="233" spans="1:14" x14ac:dyDescent="0.25">
      <c r="A233" s="1"/>
      <c r="B233" s="2" t="s">
        <v>110</v>
      </c>
      <c r="C233" s="2" t="s">
        <v>41</v>
      </c>
      <c r="D233" s="2" t="s">
        <v>20</v>
      </c>
      <c r="E233" s="7" t="s">
        <v>596</v>
      </c>
      <c r="F233" s="3">
        <v>42254.625</v>
      </c>
      <c r="G233" s="3">
        <v>42254.729166666664</v>
      </c>
      <c r="H233" s="1" t="s">
        <v>6</v>
      </c>
      <c r="I233" s="1" t="s">
        <v>38</v>
      </c>
      <c r="J233" s="1">
        <v>42261.607847222222</v>
      </c>
      <c r="K233" s="1" t="s">
        <v>41</v>
      </c>
      <c r="L233" s="14">
        <f>24*(TblTimeSheet[[#This Row],[End Date and Time]]-TblTimeSheet[[#This Row],[Start Date and Time]])</f>
        <v>2.4999999999417923</v>
      </c>
      <c r="M23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3">
        <f>--(0&gt;(TblTimeSheet[[#This Row],[End Date and Time]]-TblTimeSheet[[#This Row],[Start Date and Time]]))</f>
        <v>0</v>
      </c>
    </row>
    <row r="234" spans="1:14" ht="45" x14ac:dyDescent="0.25">
      <c r="A234" s="1"/>
      <c r="B234" s="2" t="s">
        <v>110</v>
      </c>
      <c r="C234" s="2" t="s">
        <v>36</v>
      </c>
      <c r="D234" s="2" t="s">
        <v>20</v>
      </c>
      <c r="E234" s="7" t="s">
        <v>604</v>
      </c>
      <c r="F234" s="3">
        <v>42261.510416666664</v>
      </c>
      <c r="G234" s="3">
        <v>42261.53125</v>
      </c>
      <c r="H234" s="1" t="s">
        <v>6</v>
      </c>
      <c r="I234" s="1" t="s">
        <v>38</v>
      </c>
      <c r="J234" s="1">
        <v>42261.607870370368</v>
      </c>
      <c r="K234" s="1" t="s">
        <v>36</v>
      </c>
      <c r="L234" s="14">
        <f>24*(TblTimeSheet[[#This Row],[End Date and Time]]-TblTimeSheet[[#This Row],[Start Date and Time]])</f>
        <v>0.50000000005820766</v>
      </c>
      <c r="M23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
        <f>--(0&gt;(TblTimeSheet[[#This Row],[End Date and Time]]-TblTimeSheet[[#This Row],[Start Date and Time]]))</f>
        <v>0</v>
      </c>
    </row>
    <row r="235" spans="1:14" x14ac:dyDescent="0.25">
      <c r="A235" s="1"/>
      <c r="B235" s="2" t="s">
        <v>110</v>
      </c>
      <c r="C235" s="2" t="s">
        <v>41</v>
      </c>
      <c r="D235" s="2" t="s">
        <v>20</v>
      </c>
      <c r="E235" s="7" t="s">
        <v>596</v>
      </c>
      <c r="F235" s="3">
        <v>42255.614583333336</v>
      </c>
      <c r="G235" s="3">
        <v>42256.649305555555</v>
      </c>
      <c r="H235" s="1" t="s">
        <v>6</v>
      </c>
      <c r="I235" s="1" t="s">
        <v>38</v>
      </c>
      <c r="J235" s="1">
        <v>42261.608807870369</v>
      </c>
      <c r="K235" s="1" t="s">
        <v>41</v>
      </c>
      <c r="L235" s="14">
        <f>24*(TblTimeSheet[[#This Row],[End Date and Time]]-TblTimeSheet[[#This Row],[Start Date and Time]])</f>
        <v>24.833333333255723</v>
      </c>
      <c r="M23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
        <f>--(0&gt;(TblTimeSheet[[#This Row],[End Date and Time]]-TblTimeSheet[[#This Row],[Start Date and Time]]))</f>
        <v>0</v>
      </c>
    </row>
    <row r="236" spans="1:14" x14ac:dyDescent="0.25">
      <c r="A236" s="1"/>
      <c r="B236" s="2" t="s">
        <v>110</v>
      </c>
      <c r="C236" s="2" t="s">
        <v>41</v>
      </c>
      <c r="D236" s="2" t="s">
        <v>20</v>
      </c>
      <c r="E236" s="7" t="s">
        <v>596</v>
      </c>
      <c r="F236" s="3">
        <v>42256.493055555555</v>
      </c>
      <c r="G236" s="3">
        <v>42256.552083333336</v>
      </c>
      <c r="H236" s="1" t="s">
        <v>6</v>
      </c>
      <c r="I236" s="1" t="s">
        <v>38</v>
      </c>
      <c r="J236" s="1">
        <v>42261.609409722223</v>
      </c>
      <c r="K236" s="1" t="s">
        <v>41</v>
      </c>
      <c r="L236" s="14">
        <f>24*(TblTimeSheet[[#This Row],[End Date and Time]]-TblTimeSheet[[#This Row],[Start Date and Time]])</f>
        <v>1.4166666667442769</v>
      </c>
      <c r="M23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6">
        <f>--(0&gt;(TblTimeSheet[[#This Row],[End Date and Time]]-TblTimeSheet[[#This Row],[Start Date and Time]]))</f>
        <v>0</v>
      </c>
    </row>
    <row r="237" spans="1:14" x14ac:dyDescent="0.25">
      <c r="A237" s="1"/>
      <c r="B237" s="2" t="s">
        <v>110</v>
      </c>
      <c r="C237" s="2" t="s">
        <v>41</v>
      </c>
      <c r="D237" s="2" t="s">
        <v>20</v>
      </c>
      <c r="E237" s="7" t="s">
        <v>596</v>
      </c>
      <c r="F237" s="3">
        <v>42256.59375</v>
      </c>
      <c r="G237" s="3">
        <v>42256.635416666664</v>
      </c>
      <c r="H237" s="1" t="s">
        <v>6</v>
      </c>
      <c r="I237" s="1" t="s">
        <v>38</v>
      </c>
      <c r="J237" s="1">
        <v>42261.61010416667</v>
      </c>
      <c r="K237" s="1" t="s">
        <v>41</v>
      </c>
      <c r="L237" s="14">
        <f>24*(TblTimeSheet[[#This Row],[End Date and Time]]-TblTimeSheet[[#This Row],[Start Date and Time]])</f>
        <v>0.99999999994179234</v>
      </c>
      <c r="M23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7">
        <f>--(0&gt;(TblTimeSheet[[#This Row],[End Date and Time]]-TblTimeSheet[[#This Row],[Start Date and Time]]))</f>
        <v>0</v>
      </c>
    </row>
    <row r="238" spans="1:14" x14ac:dyDescent="0.25">
      <c r="A238" s="1"/>
      <c r="B238" s="2" t="s">
        <v>110</v>
      </c>
      <c r="C238" s="2" t="s">
        <v>41</v>
      </c>
      <c r="D238" s="2" t="s">
        <v>20</v>
      </c>
      <c r="E238" s="7" t="s">
        <v>596</v>
      </c>
      <c r="F238" s="3">
        <v>42258.395833333336</v>
      </c>
      <c r="G238" s="3">
        <v>42258.479166666664</v>
      </c>
      <c r="H238" s="1" t="s">
        <v>6</v>
      </c>
      <c r="I238" s="1" t="s">
        <v>38</v>
      </c>
      <c r="J238" s="1">
        <v>42261.610694444447</v>
      </c>
      <c r="K238" s="1" t="s">
        <v>41</v>
      </c>
      <c r="L238" s="14">
        <f>24*(TblTimeSheet[[#This Row],[End Date and Time]]-TblTimeSheet[[#This Row],[Start Date and Time]])</f>
        <v>1.9999999998835847</v>
      </c>
      <c r="M23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
        <f>--(0&gt;(TblTimeSheet[[#This Row],[End Date and Time]]-TblTimeSheet[[#This Row],[Start Date and Time]]))</f>
        <v>0</v>
      </c>
    </row>
    <row r="239" spans="1:14" x14ac:dyDescent="0.25">
      <c r="A239" s="1"/>
      <c r="B239" s="2" t="s">
        <v>110</v>
      </c>
      <c r="C239" s="2" t="s">
        <v>41</v>
      </c>
      <c r="D239" s="2" t="s">
        <v>20</v>
      </c>
      <c r="E239" s="7" t="s">
        <v>597</v>
      </c>
      <c r="F239" s="3">
        <v>42259.416666666664</v>
      </c>
      <c r="G239" s="3">
        <v>42259.541666666664</v>
      </c>
      <c r="H239" s="1" t="s">
        <v>6</v>
      </c>
      <c r="I239" s="1" t="s">
        <v>38</v>
      </c>
      <c r="J239" s="1">
        <v>42261.611342592594</v>
      </c>
      <c r="K239" s="1" t="s">
        <v>41</v>
      </c>
      <c r="L239" s="14">
        <f>24*(TblTimeSheet[[#This Row],[End Date and Time]]-TblTimeSheet[[#This Row],[Start Date and Time]])</f>
        <v>3</v>
      </c>
      <c r="M23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
        <f>--(0&gt;(TblTimeSheet[[#This Row],[End Date and Time]]-TblTimeSheet[[#This Row],[Start Date and Time]]))</f>
        <v>0</v>
      </c>
    </row>
    <row r="240" spans="1:14" x14ac:dyDescent="0.25">
      <c r="A240" s="1"/>
      <c r="B240" s="2" t="s">
        <v>110</v>
      </c>
      <c r="C240" s="2" t="s">
        <v>176</v>
      </c>
      <c r="D240" s="2" t="s">
        <v>20</v>
      </c>
      <c r="E240" s="7" t="s">
        <v>456</v>
      </c>
      <c r="F240" s="3">
        <v>42262.510416666664</v>
      </c>
      <c r="G240" s="3">
        <v>42262.53125</v>
      </c>
      <c r="H240" s="1" t="s">
        <v>6</v>
      </c>
      <c r="I240" s="1" t="s">
        <v>38</v>
      </c>
      <c r="J240" s="1">
        <v>42262.398379629631</v>
      </c>
      <c r="K240" s="1" t="s">
        <v>176</v>
      </c>
      <c r="L240" s="14">
        <f>24*(TblTimeSheet[[#This Row],[End Date and Time]]-TblTimeSheet[[#This Row],[Start Date and Time]])</f>
        <v>0.50000000005820766</v>
      </c>
      <c r="M24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
        <f>--(0&gt;(TblTimeSheet[[#This Row],[End Date and Time]]-TblTimeSheet[[#This Row],[Start Date and Time]]))</f>
        <v>0</v>
      </c>
    </row>
    <row r="241" spans="1:14" x14ac:dyDescent="0.25">
      <c r="A241" s="1"/>
      <c r="B241" s="2" t="s">
        <v>108</v>
      </c>
      <c r="C241" s="2" t="s">
        <v>454</v>
      </c>
      <c r="D241" s="2" t="s">
        <v>32</v>
      </c>
      <c r="E241" s="7" t="s">
        <v>449</v>
      </c>
      <c r="F241" s="3">
        <v>42261.395833333336</v>
      </c>
      <c r="G241" s="3">
        <v>42261.409722222219</v>
      </c>
      <c r="H241" s="1" t="s">
        <v>6</v>
      </c>
      <c r="I241" s="1" t="s">
        <v>38</v>
      </c>
      <c r="J241" s="1">
        <v>42262.413229166668</v>
      </c>
      <c r="K241" s="1" t="s">
        <v>454</v>
      </c>
      <c r="L241" s="14">
        <f>24*(TblTimeSheet[[#This Row],[End Date and Time]]-TblTimeSheet[[#This Row],[Start Date and Time]])</f>
        <v>0.33333333319751546</v>
      </c>
      <c r="M24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
        <f>--(0&gt;(TblTimeSheet[[#This Row],[End Date and Time]]-TblTimeSheet[[#This Row],[Start Date and Time]]))</f>
        <v>0</v>
      </c>
    </row>
    <row r="242" spans="1:14" x14ac:dyDescent="0.25">
      <c r="A242" s="1"/>
      <c r="B242" s="2" t="s">
        <v>110</v>
      </c>
      <c r="C242" s="2" t="s">
        <v>42</v>
      </c>
      <c r="D242" s="2" t="s">
        <v>20</v>
      </c>
      <c r="E242" s="7" t="s">
        <v>598</v>
      </c>
      <c r="F242" s="3">
        <v>42261.510416666664</v>
      </c>
      <c r="G242" s="3">
        <v>42261.53125</v>
      </c>
      <c r="H242" s="1" t="s">
        <v>6</v>
      </c>
      <c r="I242" s="1" t="s">
        <v>38</v>
      </c>
      <c r="J242" s="1">
        <v>42262.433854166666</v>
      </c>
      <c r="K242" s="1" t="s">
        <v>42</v>
      </c>
      <c r="L242" s="14">
        <f>24*(TblTimeSheet[[#This Row],[End Date and Time]]-TblTimeSheet[[#This Row],[Start Date and Time]])</f>
        <v>0.50000000005820766</v>
      </c>
      <c r="M24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
        <f>--(0&gt;(TblTimeSheet[[#This Row],[End Date and Time]]-TblTimeSheet[[#This Row],[Start Date and Time]]))</f>
        <v>0</v>
      </c>
    </row>
    <row r="243" spans="1:14" x14ac:dyDescent="0.25">
      <c r="A243" s="1"/>
      <c r="B243" s="2" t="s">
        <v>114</v>
      </c>
      <c r="C243" s="2" t="s">
        <v>116</v>
      </c>
      <c r="D243" s="2" t="s">
        <v>20</v>
      </c>
      <c r="E243" s="7" t="s">
        <v>599</v>
      </c>
      <c r="F243" s="3">
        <v>42261.666666666664</v>
      </c>
      <c r="G243" s="3">
        <v>42261.75</v>
      </c>
      <c r="H243" s="1" t="s">
        <v>6</v>
      </c>
      <c r="I243" s="1" t="s">
        <v>38</v>
      </c>
      <c r="J243" s="1">
        <v>42262.504502314812</v>
      </c>
      <c r="K243" s="1" t="s">
        <v>701</v>
      </c>
      <c r="L243" s="14">
        <f>24*(TblTimeSheet[[#This Row],[End Date and Time]]-TblTimeSheet[[#This Row],[Start Date and Time]])</f>
        <v>2.0000000000582077</v>
      </c>
      <c r="M24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3">
        <f>--(0&gt;(TblTimeSheet[[#This Row],[End Date and Time]]-TblTimeSheet[[#This Row],[Start Date and Time]]))</f>
        <v>0</v>
      </c>
    </row>
    <row r="244" spans="1:14" ht="30" x14ac:dyDescent="0.25">
      <c r="A244" s="1"/>
      <c r="B244" s="2" t="s">
        <v>108</v>
      </c>
      <c r="C244" s="2" t="s">
        <v>116</v>
      </c>
      <c r="D244" s="2" t="s">
        <v>32</v>
      </c>
      <c r="E244" s="7" t="s">
        <v>605</v>
      </c>
      <c r="F244" s="3">
        <v>42261.604166666664</v>
      </c>
      <c r="G244" s="3">
        <v>42261.729166666664</v>
      </c>
      <c r="H244" s="1" t="s">
        <v>6</v>
      </c>
      <c r="I244" s="1" t="s">
        <v>38</v>
      </c>
      <c r="J244" s="1">
        <v>42262.648055555554</v>
      </c>
      <c r="K244" s="1" t="s">
        <v>39</v>
      </c>
      <c r="L244" s="14">
        <f>24*(TblTimeSheet[[#This Row],[End Date and Time]]-TblTimeSheet[[#This Row],[Start Date and Time]])</f>
        <v>3</v>
      </c>
      <c r="M24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4">
        <f>--(0&gt;(TblTimeSheet[[#This Row],[End Date and Time]]-TblTimeSheet[[#This Row],[Start Date and Time]]))</f>
        <v>0</v>
      </c>
    </row>
    <row r="245" spans="1:14" x14ac:dyDescent="0.25">
      <c r="A245" s="1"/>
      <c r="B245" s="2" t="s">
        <v>108</v>
      </c>
      <c r="C245" s="2" t="s">
        <v>41</v>
      </c>
      <c r="D245" s="2" t="s">
        <v>32</v>
      </c>
      <c r="E245" s="7" t="s">
        <v>512</v>
      </c>
      <c r="F245" s="3">
        <v>42262.416666666664</v>
      </c>
      <c r="G245" s="3">
        <v>42262.729166666664</v>
      </c>
      <c r="H245" s="1" t="s">
        <v>6</v>
      </c>
      <c r="I245" s="1" t="s">
        <v>38</v>
      </c>
      <c r="J245" s="1">
        <v>42276.689803240741</v>
      </c>
      <c r="K245" s="1" t="s">
        <v>41</v>
      </c>
      <c r="L245" s="14">
        <f>24*(TblTimeSheet[[#This Row],[End Date and Time]]-TblTimeSheet[[#This Row],[Start Date and Time]])</f>
        <v>7.5</v>
      </c>
      <c r="M24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5">
        <f>--(0&gt;(TblTimeSheet[[#This Row],[End Date and Time]]-TblTimeSheet[[#This Row],[Start Date and Time]]))</f>
        <v>0</v>
      </c>
    </row>
    <row r="246" spans="1:14" x14ac:dyDescent="0.25">
      <c r="A246" s="1"/>
      <c r="B246" s="2" t="s">
        <v>108</v>
      </c>
      <c r="C246" s="2" t="s">
        <v>116</v>
      </c>
      <c r="D246" s="2" t="s">
        <v>32</v>
      </c>
      <c r="E246" s="7" t="s">
        <v>606</v>
      </c>
      <c r="F246" s="3">
        <v>42262.395833333336</v>
      </c>
      <c r="G246" s="3">
        <v>42262.479166666664</v>
      </c>
      <c r="H246" s="1" t="s">
        <v>6</v>
      </c>
      <c r="I246" s="1" t="s">
        <v>38</v>
      </c>
      <c r="J246" s="1">
        <v>42262.766631944447</v>
      </c>
      <c r="K246" s="1" t="s">
        <v>39</v>
      </c>
      <c r="L246" s="14">
        <f>24*(TblTimeSheet[[#This Row],[End Date and Time]]-TblTimeSheet[[#This Row],[Start Date and Time]])</f>
        <v>1.9999999998835847</v>
      </c>
      <c r="M24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
        <f>--(0&gt;(TblTimeSheet[[#This Row],[End Date and Time]]-TblTimeSheet[[#This Row],[Start Date and Time]]))</f>
        <v>0</v>
      </c>
    </row>
    <row r="247" spans="1:14" x14ac:dyDescent="0.25">
      <c r="A247" s="1"/>
      <c r="B247" s="2" t="s">
        <v>114</v>
      </c>
      <c r="C247" s="2" t="s">
        <v>42</v>
      </c>
      <c r="D247" s="2" t="s">
        <v>20</v>
      </c>
      <c r="E247" s="7" t="s">
        <v>600</v>
      </c>
      <c r="F247" s="3">
        <v>42263.416666666664</v>
      </c>
      <c r="G247" s="3">
        <v>42263.524305555555</v>
      </c>
      <c r="H247" s="1" t="s">
        <v>6</v>
      </c>
      <c r="I247" s="1" t="s">
        <v>38</v>
      </c>
      <c r="J247" s="1">
        <v>42263.524039351854</v>
      </c>
      <c r="K247" s="1" t="s">
        <v>42</v>
      </c>
      <c r="L247" s="14">
        <f>24*(TblTimeSheet[[#This Row],[End Date and Time]]-TblTimeSheet[[#This Row],[Start Date and Time]])</f>
        <v>2.5833333333721384</v>
      </c>
      <c r="M24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
        <f>--(0&gt;(TblTimeSheet[[#This Row],[End Date and Time]]-TblTimeSheet[[#This Row],[Start Date and Time]]))</f>
        <v>0</v>
      </c>
    </row>
    <row r="248" spans="1:14" x14ac:dyDescent="0.25">
      <c r="A248" s="1"/>
      <c r="B248" s="2" t="s">
        <v>114</v>
      </c>
      <c r="C248" s="2" t="s">
        <v>116</v>
      </c>
      <c r="D248" s="2" t="s">
        <v>20</v>
      </c>
      <c r="E248" s="7" t="s">
        <v>607</v>
      </c>
      <c r="F248" s="3">
        <v>42263.416666666664</v>
      </c>
      <c r="G248" s="3">
        <v>42263.524305555555</v>
      </c>
      <c r="H248" s="1" t="s">
        <v>6</v>
      </c>
      <c r="I248" s="1" t="s">
        <v>38</v>
      </c>
      <c r="J248" s="1">
        <v>42263.552662037036</v>
      </c>
      <c r="K248" s="1" t="s">
        <v>701</v>
      </c>
      <c r="L248" s="14">
        <f>24*(TblTimeSheet[[#This Row],[End Date and Time]]-TblTimeSheet[[#This Row],[Start Date and Time]])</f>
        <v>2.5833333333721384</v>
      </c>
      <c r="M24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8">
        <f>--(0&gt;(TblTimeSheet[[#This Row],[End Date and Time]]-TblTimeSheet[[#This Row],[Start Date and Time]]))</f>
        <v>0</v>
      </c>
    </row>
    <row r="249" spans="1:14" x14ac:dyDescent="0.25">
      <c r="A249" s="1"/>
      <c r="B249" s="2" t="s">
        <v>108</v>
      </c>
      <c r="C249" s="2" t="s">
        <v>116</v>
      </c>
      <c r="D249" s="2" t="s">
        <v>32</v>
      </c>
      <c r="E249" s="7" t="s">
        <v>608</v>
      </c>
      <c r="F249" s="3">
        <v>42263.395833333336</v>
      </c>
      <c r="G249" s="3">
        <v>42263.5</v>
      </c>
      <c r="H249" s="1" t="s">
        <v>6</v>
      </c>
      <c r="I249" s="1" t="s">
        <v>38</v>
      </c>
      <c r="J249" s="1">
        <v>42263.608298611114</v>
      </c>
      <c r="K249" s="1" t="s">
        <v>39</v>
      </c>
      <c r="L249" s="14">
        <f>24*(TblTimeSheet[[#This Row],[End Date and Time]]-TblTimeSheet[[#This Row],[Start Date and Time]])</f>
        <v>2.4999999999417923</v>
      </c>
      <c r="M24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9">
        <f>--(0&gt;(TblTimeSheet[[#This Row],[End Date and Time]]-TblTimeSheet[[#This Row],[Start Date and Time]]))</f>
        <v>0</v>
      </c>
    </row>
    <row r="250" spans="1:14" x14ac:dyDescent="0.25">
      <c r="A250" s="1"/>
      <c r="B250" s="2" t="s">
        <v>114</v>
      </c>
      <c r="C250" s="2" t="s">
        <v>116</v>
      </c>
      <c r="D250" s="2" t="s">
        <v>20</v>
      </c>
      <c r="E250" s="7" t="s">
        <v>601</v>
      </c>
      <c r="F250" s="3">
        <v>42263.527777777781</v>
      </c>
      <c r="G250" s="3">
        <v>42263.545138888891</v>
      </c>
      <c r="H250" s="1" t="s">
        <v>6</v>
      </c>
      <c r="I250" s="1" t="s">
        <v>38</v>
      </c>
      <c r="J250" s="1">
        <v>42263.633055555554</v>
      </c>
      <c r="K250" s="1" t="s">
        <v>701</v>
      </c>
      <c r="L250" s="14">
        <f>24*(TblTimeSheet[[#This Row],[End Date and Time]]-TblTimeSheet[[#This Row],[Start Date and Time]])</f>
        <v>0.41666666662786156</v>
      </c>
      <c r="M25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
        <f>--(0&gt;(TblTimeSheet[[#This Row],[End Date and Time]]-TblTimeSheet[[#This Row],[Start Date and Time]]))</f>
        <v>0</v>
      </c>
    </row>
    <row r="251" spans="1:14" x14ac:dyDescent="0.25">
      <c r="A251" s="1"/>
      <c r="B251" s="2" t="s">
        <v>108</v>
      </c>
      <c r="C251" s="2" t="s">
        <v>116</v>
      </c>
      <c r="D251" s="2" t="s">
        <v>32</v>
      </c>
      <c r="E251" s="7" t="s">
        <v>609</v>
      </c>
      <c r="F251" s="3">
        <v>42263.604166666664</v>
      </c>
      <c r="G251" s="3">
        <v>42263.645833333336</v>
      </c>
      <c r="H251" s="1" t="s">
        <v>6</v>
      </c>
      <c r="I251" s="1" t="s">
        <v>38</v>
      </c>
      <c r="J251" s="1">
        <v>42263.717187499999</v>
      </c>
      <c r="K251" s="1" t="s">
        <v>39</v>
      </c>
      <c r="L251" s="14">
        <f>24*(TblTimeSheet[[#This Row],[End Date and Time]]-TblTimeSheet[[#This Row],[Start Date and Time]])</f>
        <v>1.0000000001164153</v>
      </c>
      <c r="M25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
        <f>--(0&gt;(TblTimeSheet[[#This Row],[End Date and Time]]-TblTimeSheet[[#This Row],[Start Date and Time]]))</f>
        <v>0</v>
      </c>
    </row>
    <row r="252" spans="1:14" x14ac:dyDescent="0.25">
      <c r="A252" s="1"/>
      <c r="B252" s="2" t="s">
        <v>110</v>
      </c>
      <c r="C252" s="2" t="s">
        <v>143</v>
      </c>
      <c r="D252" s="2" t="s">
        <v>32</v>
      </c>
      <c r="E252" s="7" t="s">
        <v>504</v>
      </c>
      <c r="F252" s="3">
        <v>42263.6875</v>
      </c>
      <c r="G252" s="3">
        <v>42263.729166666664</v>
      </c>
      <c r="H252" s="1" t="s">
        <v>6</v>
      </c>
      <c r="I252" s="1" t="s">
        <v>38</v>
      </c>
      <c r="J252" s="1">
        <v>42263.73133101852</v>
      </c>
      <c r="K252" s="1" t="s">
        <v>143</v>
      </c>
      <c r="L252" s="14">
        <f>24*(TblTimeSheet[[#This Row],[End Date and Time]]-TblTimeSheet[[#This Row],[Start Date and Time]])</f>
        <v>0.99999999994179234</v>
      </c>
      <c r="M25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
        <f>--(0&gt;(TblTimeSheet[[#This Row],[End Date and Time]]-TblTimeSheet[[#This Row],[Start Date and Time]]))</f>
        <v>0</v>
      </c>
    </row>
    <row r="253" spans="1:14" x14ac:dyDescent="0.25">
      <c r="A253" s="1"/>
      <c r="B253" s="2" t="s">
        <v>108</v>
      </c>
      <c r="C253" s="2" t="s">
        <v>454</v>
      </c>
      <c r="D253" s="2" t="s">
        <v>32</v>
      </c>
      <c r="E253" s="7" t="s">
        <v>602</v>
      </c>
      <c r="F253" s="3">
        <v>42263.458333333336</v>
      </c>
      <c r="G253" s="3">
        <v>42263.541666666664</v>
      </c>
      <c r="H253" s="1" t="s">
        <v>6</v>
      </c>
      <c r="I253" s="1" t="s">
        <v>38</v>
      </c>
      <c r="J253" s="1">
        <v>42263.745266203703</v>
      </c>
      <c r="K253" s="1" t="s">
        <v>454</v>
      </c>
      <c r="L253" s="14">
        <f>24*(TblTimeSheet[[#This Row],[End Date and Time]]-TblTimeSheet[[#This Row],[Start Date and Time]])</f>
        <v>1.9999999998835847</v>
      </c>
      <c r="M25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
        <f>--(0&gt;(TblTimeSheet[[#This Row],[End Date and Time]]-TblTimeSheet[[#This Row],[Start Date and Time]]))</f>
        <v>0</v>
      </c>
    </row>
    <row r="254" spans="1:14" x14ac:dyDescent="0.25">
      <c r="A254" s="1"/>
      <c r="B254" s="2" t="s">
        <v>108</v>
      </c>
      <c r="C254" s="2" t="s">
        <v>116</v>
      </c>
      <c r="D254" s="2" t="s">
        <v>32</v>
      </c>
      <c r="E254" s="7" t="s">
        <v>798</v>
      </c>
      <c r="F254" s="3">
        <v>42264.416666666664</v>
      </c>
      <c r="G254" s="3">
        <v>42264.520833333336</v>
      </c>
      <c r="H254" s="1" t="s">
        <v>6</v>
      </c>
      <c r="I254" s="1" t="s">
        <v>38</v>
      </c>
      <c r="J254" s="1">
        <v>42265.526273148149</v>
      </c>
      <c r="K254" s="1" t="s">
        <v>39</v>
      </c>
      <c r="L254" s="14">
        <f>24*(TblTimeSheet[[#This Row],[End Date and Time]]-TblTimeSheet[[#This Row],[Start Date and Time]])</f>
        <v>2.5000000001164153</v>
      </c>
      <c r="M25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
        <f>--(0&gt;(TblTimeSheet[[#This Row],[End Date and Time]]-TblTimeSheet[[#This Row],[Start Date and Time]]))</f>
        <v>0</v>
      </c>
    </row>
    <row r="255" spans="1:14" ht="30" x14ac:dyDescent="0.25">
      <c r="A255" s="1"/>
      <c r="B255" s="2" t="s">
        <v>108</v>
      </c>
      <c r="C255" s="2" t="s">
        <v>116</v>
      </c>
      <c r="D255" s="2" t="s">
        <v>32</v>
      </c>
      <c r="E255" s="7" t="s">
        <v>799</v>
      </c>
      <c r="F255" s="3">
        <v>42265.506944444445</v>
      </c>
      <c r="G255" s="3">
        <v>42265.517361111109</v>
      </c>
      <c r="H255" s="1" t="s">
        <v>6</v>
      </c>
      <c r="I255" s="1" t="s">
        <v>38</v>
      </c>
      <c r="J255" s="1">
        <v>42265.529097222221</v>
      </c>
      <c r="K255" s="1" t="s">
        <v>39</v>
      </c>
      <c r="L255" s="14">
        <f>24*(TblTimeSheet[[#This Row],[End Date and Time]]-TblTimeSheet[[#This Row],[Start Date and Time]])</f>
        <v>0.24999999994179234</v>
      </c>
      <c r="M25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5">
        <f>--(0&gt;(TblTimeSheet[[#This Row],[End Date and Time]]-TblTimeSheet[[#This Row],[Start Date and Time]]))</f>
        <v>0</v>
      </c>
    </row>
    <row r="256" spans="1:14" ht="30" x14ac:dyDescent="0.25">
      <c r="A256" s="1"/>
      <c r="B256" s="2" t="s">
        <v>108</v>
      </c>
      <c r="C256" s="2" t="s">
        <v>143</v>
      </c>
      <c r="D256" s="2" t="s">
        <v>32</v>
      </c>
      <c r="E256" s="7" t="s">
        <v>800</v>
      </c>
      <c r="F256" s="3">
        <v>42265.506944444445</v>
      </c>
      <c r="G256" s="3">
        <v>42265.517361111109</v>
      </c>
      <c r="H256" s="1" t="s">
        <v>6</v>
      </c>
      <c r="I256" s="1" t="s">
        <v>38</v>
      </c>
      <c r="J256" s="1">
        <v>42265.533090277779</v>
      </c>
      <c r="K256" s="1" t="s">
        <v>143</v>
      </c>
      <c r="L256" s="14">
        <f>24*(TblTimeSheet[[#This Row],[End Date and Time]]-TblTimeSheet[[#This Row],[Start Date and Time]])</f>
        <v>0.24999999994179234</v>
      </c>
      <c r="M25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6">
        <f>--(0&gt;(TblTimeSheet[[#This Row],[End Date and Time]]-TblTimeSheet[[#This Row],[Start Date and Time]]))</f>
        <v>0</v>
      </c>
    </row>
    <row r="257" spans="1:14" ht="30" x14ac:dyDescent="0.25">
      <c r="A257" s="1"/>
      <c r="B257" s="2" t="s">
        <v>110</v>
      </c>
      <c r="C257" s="2" t="s">
        <v>143</v>
      </c>
      <c r="D257" s="2" t="s">
        <v>32</v>
      </c>
      <c r="E257" s="7" t="s">
        <v>801</v>
      </c>
      <c r="F257" s="3">
        <v>42265.53125</v>
      </c>
      <c r="G257" s="3">
        <v>42265.541666666664</v>
      </c>
      <c r="H257" s="1" t="s">
        <v>6</v>
      </c>
      <c r="I257" s="1" t="s">
        <v>38</v>
      </c>
      <c r="J257" s="1">
        <v>42273.647962962961</v>
      </c>
      <c r="K257" s="1" t="s">
        <v>41</v>
      </c>
      <c r="L257" s="14">
        <f>24*(TblTimeSheet[[#This Row],[End Date and Time]]-TblTimeSheet[[#This Row],[Start Date and Time]])</f>
        <v>0.24999999994179234</v>
      </c>
      <c r="M25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7">
        <f>--(0&gt;(TblTimeSheet[[#This Row],[End Date and Time]]-TblTimeSheet[[#This Row],[Start Date and Time]]))</f>
        <v>0</v>
      </c>
    </row>
    <row r="258" spans="1:14" x14ac:dyDescent="0.25">
      <c r="A258" s="1"/>
      <c r="B258" s="2" t="s">
        <v>114</v>
      </c>
      <c r="C258" s="2" t="s">
        <v>171</v>
      </c>
      <c r="D258" s="2" t="s">
        <v>32</v>
      </c>
      <c r="E258" s="7" t="s">
        <v>702</v>
      </c>
      <c r="F258" s="3">
        <v>42265.395833333336</v>
      </c>
      <c r="G258" s="3">
        <v>42265.520833333336</v>
      </c>
      <c r="H258" s="1" t="s">
        <v>6</v>
      </c>
      <c r="I258" s="1" t="s">
        <v>38</v>
      </c>
      <c r="J258" s="1">
        <v>42265.595081018517</v>
      </c>
      <c r="K258" s="1" t="s">
        <v>171</v>
      </c>
      <c r="L258" s="14">
        <f>24*(TblTimeSheet[[#This Row],[End Date and Time]]-TblTimeSheet[[#This Row],[Start Date and Time]])</f>
        <v>3</v>
      </c>
      <c r="M25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
        <f>--(0&gt;(TblTimeSheet[[#This Row],[End Date and Time]]-TblTimeSheet[[#This Row],[Start Date and Time]]))</f>
        <v>0</v>
      </c>
    </row>
    <row r="259" spans="1:14" x14ac:dyDescent="0.25">
      <c r="A259" s="1"/>
      <c r="B259" s="2" t="s">
        <v>110</v>
      </c>
      <c r="C259" s="2" t="s">
        <v>116</v>
      </c>
      <c r="D259" s="2" t="s">
        <v>32</v>
      </c>
      <c r="E259" s="7" t="s">
        <v>802</v>
      </c>
      <c r="F259" s="3">
        <v>42265.53125</v>
      </c>
      <c r="G259" s="3">
        <v>42265.541666666664</v>
      </c>
      <c r="H259" s="1" t="s">
        <v>6</v>
      </c>
      <c r="I259" s="1" t="s">
        <v>38</v>
      </c>
      <c r="J259" s="1">
        <v>42265.607037037036</v>
      </c>
      <c r="K259" s="1" t="s">
        <v>39</v>
      </c>
      <c r="L259" s="14">
        <f>24*(TblTimeSheet[[#This Row],[End Date and Time]]-TblTimeSheet[[#This Row],[Start Date and Time]])</f>
        <v>0.24999999994179234</v>
      </c>
      <c r="M25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
        <f>--(0&gt;(TblTimeSheet[[#This Row],[End Date and Time]]-TblTimeSheet[[#This Row],[Start Date and Time]]))</f>
        <v>0</v>
      </c>
    </row>
    <row r="260" spans="1:14" x14ac:dyDescent="0.25">
      <c r="A260" s="1"/>
      <c r="B260" s="2" t="s">
        <v>108</v>
      </c>
      <c r="C260" s="2" t="s">
        <v>118</v>
      </c>
      <c r="D260" s="2" t="s">
        <v>32</v>
      </c>
      <c r="E260" s="7" t="s">
        <v>703</v>
      </c>
      <c r="F260" s="3">
        <v>42265.506944444445</v>
      </c>
      <c r="G260" s="3">
        <v>42265.517361111109</v>
      </c>
      <c r="H260" s="1" t="s">
        <v>6</v>
      </c>
      <c r="I260" s="1" t="s">
        <v>38</v>
      </c>
      <c r="J260" s="1">
        <v>42265.629421296297</v>
      </c>
      <c r="K260" s="1" t="s">
        <v>118</v>
      </c>
      <c r="L260" s="14">
        <f>24*(TblTimeSheet[[#This Row],[End Date and Time]]-TblTimeSheet[[#This Row],[Start Date and Time]])</f>
        <v>0.24999999994179234</v>
      </c>
      <c r="M26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
        <f>--(0&gt;(TblTimeSheet[[#This Row],[End Date and Time]]-TblTimeSheet[[#This Row],[Start Date and Time]]))</f>
        <v>0</v>
      </c>
    </row>
    <row r="261" spans="1:14" x14ac:dyDescent="0.25">
      <c r="A261" s="1"/>
      <c r="B261" s="2" t="s">
        <v>110</v>
      </c>
      <c r="C261" s="2" t="s">
        <v>118</v>
      </c>
      <c r="D261" s="2" t="s">
        <v>32</v>
      </c>
      <c r="E261" s="7" t="s">
        <v>704</v>
      </c>
      <c r="F261" s="3">
        <v>42265.53125</v>
      </c>
      <c r="G261" s="3">
        <v>42265.541666666664</v>
      </c>
      <c r="H261" s="1" t="s">
        <v>6</v>
      </c>
      <c r="I261" s="1" t="s">
        <v>38</v>
      </c>
      <c r="J261" s="1">
        <v>42265.725682870368</v>
      </c>
      <c r="K261" s="1" t="s">
        <v>118</v>
      </c>
      <c r="L261" s="14">
        <f>24*(TblTimeSheet[[#This Row],[End Date and Time]]-TblTimeSheet[[#This Row],[Start Date and Time]])</f>
        <v>0.24999999994179234</v>
      </c>
      <c r="M26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
        <f>--(0&gt;(TblTimeSheet[[#This Row],[End Date and Time]]-TblTimeSheet[[#This Row],[Start Date and Time]]))</f>
        <v>0</v>
      </c>
    </row>
    <row r="262" spans="1:14" x14ac:dyDescent="0.25">
      <c r="A262" s="1"/>
      <c r="B262" s="2" t="s">
        <v>114</v>
      </c>
      <c r="C262" s="2" t="s">
        <v>116</v>
      </c>
      <c r="D262" s="2" t="s">
        <v>32</v>
      </c>
      <c r="E262" s="7" t="s">
        <v>705</v>
      </c>
      <c r="F262" s="3">
        <v>42265.666666666664</v>
      </c>
      <c r="G262" s="3">
        <v>42265.6875</v>
      </c>
      <c r="H262" s="1" t="s">
        <v>6</v>
      </c>
      <c r="I262" s="1" t="s">
        <v>38</v>
      </c>
      <c r="J262" s="1">
        <v>42265.675462962965</v>
      </c>
      <c r="K262" s="1" t="s">
        <v>701</v>
      </c>
      <c r="L262" s="14">
        <f>24*(TblTimeSheet[[#This Row],[End Date and Time]]-TblTimeSheet[[#This Row],[Start Date and Time]])</f>
        <v>0.50000000005820766</v>
      </c>
      <c r="M26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2">
        <f>--(0&gt;(TblTimeSheet[[#This Row],[End Date and Time]]-TblTimeSheet[[#This Row],[Start Date and Time]]))</f>
        <v>0</v>
      </c>
    </row>
    <row r="263" spans="1:14" ht="45" x14ac:dyDescent="0.25">
      <c r="A263" s="1"/>
      <c r="B263" s="2" t="s">
        <v>108</v>
      </c>
      <c r="C263" s="2" t="s">
        <v>116</v>
      </c>
      <c r="D263" s="2" t="s">
        <v>32</v>
      </c>
      <c r="E263" s="7" t="s">
        <v>803</v>
      </c>
      <c r="F263" s="3">
        <v>42265.506944444445</v>
      </c>
      <c r="G263" s="3">
        <v>42265.517361111109</v>
      </c>
      <c r="H263" s="1" t="s">
        <v>6</v>
      </c>
      <c r="I263" s="1" t="s">
        <v>38</v>
      </c>
      <c r="J263" s="1">
        <v>42265.678368055553</v>
      </c>
      <c r="K263" s="1" t="s">
        <v>701</v>
      </c>
      <c r="L263" s="14">
        <f>24*(TblTimeSheet[[#This Row],[End Date and Time]]-TblTimeSheet[[#This Row],[Start Date and Time]])</f>
        <v>0.24999999994179234</v>
      </c>
      <c r="M26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3">
        <f>--(0&gt;(TblTimeSheet[[#This Row],[End Date and Time]]-TblTimeSheet[[#This Row],[Start Date and Time]]))</f>
        <v>0</v>
      </c>
    </row>
    <row r="264" spans="1:14" x14ac:dyDescent="0.25">
      <c r="A264" s="1"/>
      <c r="B264" s="2" t="s">
        <v>114</v>
      </c>
      <c r="C264" s="2" t="s">
        <v>41</v>
      </c>
      <c r="D264" s="2" t="s">
        <v>32</v>
      </c>
      <c r="E264" s="7" t="s">
        <v>706</v>
      </c>
      <c r="F264" s="3">
        <v>42265.708333333336</v>
      </c>
      <c r="G264" s="3">
        <v>42265.71875</v>
      </c>
      <c r="H264" s="1" t="s">
        <v>6</v>
      </c>
      <c r="I264" s="1" t="s">
        <v>38</v>
      </c>
      <c r="J264" s="1">
        <v>42265.71503472222</v>
      </c>
      <c r="K264" s="1" t="s">
        <v>41</v>
      </c>
      <c r="L264" s="14">
        <f>24*(TblTimeSheet[[#This Row],[End Date and Time]]-TblTimeSheet[[#This Row],[Start Date and Time]])</f>
        <v>0.24999999994179234</v>
      </c>
      <c r="M26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
        <f>--(0&gt;(TblTimeSheet[[#This Row],[End Date and Time]]-TblTimeSheet[[#This Row],[Start Date and Time]]))</f>
        <v>0</v>
      </c>
    </row>
    <row r="265" spans="1:14" x14ac:dyDescent="0.25">
      <c r="A265" s="1"/>
      <c r="B265" s="2" t="s">
        <v>114</v>
      </c>
      <c r="C265" s="2" t="s">
        <v>171</v>
      </c>
      <c r="D265" s="2" t="s">
        <v>32</v>
      </c>
      <c r="E265" s="7" t="s">
        <v>804</v>
      </c>
      <c r="F265" s="3">
        <v>42265.708333333336</v>
      </c>
      <c r="G265" s="3">
        <v>42265.71875</v>
      </c>
      <c r="H265" s="1" t="s">
        <v>6</v>
      </c>
      <c r="I265" s="1" t="s">
        <v>38</v>
      </c>
      <c r="J265" s="1">
        <v>42265.719560185185</v>
      </c>
      <c r="K265" s="1" t="s">
        <v>171</v>
      </c>
      <c r="L265" s="14">
        <f>24*(TblTimeSheet[[#This Row],[End Date and Time]]-TblTimeSheet[[#This Row],[Start Date and Time]])</f>
        <v>0.24999999994179234</v>
      </c>
      <c r="M26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
        <f>--(0&gt;(TblTimeSheet[[#This Row],[End Date and Time]]-TblTimeSheet[[#This Row],[Start Date and Time]]))</f>
        <v>0</v>
      </c>
    </row>
    <row r="266" spans="1:14" ht="45" x14ac:dyDescent="0.25">
      <c r="A266" s="1"/>
      <c r="B266" s="2" t="s">
        <v>110</v>
      </c>
      <c r="C266" s="2" t="s">
        <v>41</v>
      </c>
      <c r="D266" s="2" t="s">
        <v>32</v>
      </c>
      <c r="E266" s="7" t="s">
        <v>805</v>
      </c>
      <c r="F266" s="3">
        <v>42265.53125</v>
      </c>
      <c r="G266" s="3">
        <v>42265.541666666664</v>
      </c>
      <c r="H266" s="1" t="s">
        <v>6</v>
      </c>
      <c r="I266" s="1" t="s">
        <v>38</v>
      </c>
      <c r="J266" s="1">
        <v>42265.723611111112</v>
      </c>
      <c r="K266" s="1" t="s">
        <v>41</v>
      </c>
      <c r="L266" s="14">
        <f>24*(TblTimeSheet[[#This Row],[End Date and Time]]-TblTimeSheet[[#This Row],[Start Date and Time]])</f>
        <v>0.24999999994179234</v>
      </c>
      <c r="M26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
        <f>--(0&gt;(TblTimeSheet[[#This Row],[End Date and Time]]-TblTimeSheet[[#This Row],[Start Date and Time]]))</f>
        <v>0</v>
      </c>
    </row>
    <row r="267" spans="1:14" x14ac:dyDescent="0.25">
      <c r="A267" s="1"/>
      <c r="B267" s="2" t="s">
        <v>110</v>
      </c>
      <c r="C267" s="2" t="s">
        <v>116</v>
      </c>
      <c r="D267" s="2" t="s">
        <v>32</v>
      </c>
      <c r="E267" s="7" t="s">
        <v>806</v>
      </c>
      <c r="F267" s="3">
        <v>42265.53125</v>
      </c>
      <c r="G267" s="3">
        <v>42265.541666666664</v>
      </c>
      <c r="H267" s="1" t="s">
        <v>6</v>
      </c>
      <c r="I267" s="1" t="s">
        <v>38</v>
      </c>
      <c r="J267" s="1">
        <v>42265.725914351853</v>
      </c>
      <c r="K267" s="1" t="s">
        <v>701</v>
      </c>
      <c r="L267" s="14">
        <f>24*(TblTimeSheet[[#This Row],[End Date and Time]]-TblTimeSheet[[#This Row],[Start Date and Time]])</f>
        <v>0.24999999994179234</v>
      </c>
      <c r="M26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7">
        <f>--(0&gt;(TblTimeSheet[[#This Row],[End Date and Time]]-TblTimeSheet[[#This Row],[Start Date and Time]]))</f>
        <v>0</v>
      </c>
    </row>
    <row r="268" spans="1:14" x14ac:dyDescent="0.25">
      <c r="A268" s="1"/>
      <c r="B268" s="2" t="s">
        <v>108</v>
      </c>
      <c r="C268" s="2" t="s">
        <v>116</v>
      </c>
      <c r="D268" s="2" t="s">
        <v>32</v>
      </c>
      <c r="E268" s="7" t="s">
        <v>807</v>
      </c>
      <c r="F268" s="3">
        <v>42265.604166666664</v>
      </c>
      <c r="G268" s="3">
        <v>42265.6875</v>
      </c>
      <c r="H268" s="1" t="s">
        <v>6</v>
      </c>
      <c r="I268" s="1" t="s">
        <v>38</v>
      </c>
      <c r="J268" s="1">
        <v>42266.390231481484</v>
      </c>
      <c r="K268" s="1" t="s">
        <v>39</v>
      </c>
      <c r="L268" s="14">
        <f>24*(TblTimeSheet[[#This Row],[End Date and Time]]-TblTimeSheet[[#This Row],[Start Date and Time]])</f>
        <v>2.0000000000582077</v>
      </c>
      <c r="M26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8">
        <f>--(0&gt;(TblTimeSheet[[#This Row],[End Date and Time]]-TblTimeSheet[[#This Row],[Start Date and Time]]))</f>
        <v>0</v>
      </c>
    </row>
    <row r="269" spans="1:14" x14ac:dyDescent="0.25">
      <c r="A269" s="1"/>
      <c r="B269" s="2" t="s">
        <v>110</v>
      </c>
      <c r="C269" s="2" t="s">
        <v>118</v>
      </c>
      <c r="D269" s="2" t="s">
        <v>32</v>
      </c>
      <c r="E269" s="7" t="s">
        <v>707</v>
      </c>
      <c r="F269" s="3">
        <v>42268.416666666664</v>
      </c>
      <c r="G269" s="3">
        <v>42268.458333333336</v>
      </c>
      <c r="H269" s="1" t="s">
        <v>6</v>
      </c>
      <c r="I269" s="1" t="s">
        <v>38</v>
      </c>
      <c r="J269" s="1">
        <v>42268.487326388888</v>
      </c>
      <c r="K269" s="1" t="s">
        <v>118</v>
      </c>
      <c r="L269" s="14">
        <f>24*(TblTimeSheet[[#This Row],[End Date and Time]]-TblTimeSheet[[#This Row],[Start Date and Time]])</f>
        <v>1.0000000001164153</v>
      </c>
      <c r="M26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
        <f>--(0&gt;(TblTimeSheet[[#This Row],[End Date and Time]]-TblTimeSheet[[#This Row],[Start Date and Time]]))</f>
        <v>0</v>
      </c>
    </row>
    <row r="270" spans="1:14" x14ac:dyDescent="0.25">
      <c r="A270" s="1"/>
      <c r="B270" s="2" t="s">
        <v>110</v>
      </c>
      <c r="C270" s="2" t="s">
        <v>118</v>
      </c>
      <c r="D270" s="2" t="s">
        <v>32</v>
      </c>
      <c r="E270" s="7" t="s">
        <v>708</v>
      </c>
      <c r="F270" s="3">
        <v>42268.458333333336</v>
      </c>
      <c r="G270" s="3">
        <v>42268.479166666664</v>
      </c>
      <c r="H270" s="1" t="s">
        <v>6</v>
      </c>
      <c r="I270" s="1" t="s">
        <v>38</v>
      </c>
      <c r="J270" s="1">
        <v>42268.488287037035</v>
      </c>
      <c r="K270" s="1" t="s">
        <v>118</v>
      </c>
      <c r="L270" s="14">
        <f>24*(TblTimeSheet[[#This Row],[End Date and Time]]-TblTimeSheet[[#This Row],[Start Date and Time]])</f>
        <v>0.49999999988358468</v>
      </c>
      <c r="M27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
        <f>--(0&gt;(TblTimeSheet[[#This Row],[End Date and Time]]-TblTimeSheet[[#This Row],[Start Date and Time]]))</f>
        <v>0</v>
      </c>
    </row>
    <row r="271" spans="1:14" x14ac:dyDescent="0.25">
      <c r="A271" s="1"/>
      <c r="B271" s="2" t="s">
        <v>110</v>
      </c>
      <c r="C271" s="2" t="s">
        <v>43</v>
      </c>
      <c r="D271" s="2" t="s">
        <v>32</v>
      </c>
      <c r="E271" s="7" t="s">
        <v>709</v>
      </c>
      <c r="F271" s="3">
        <v>42268.458333333336</v>
      </c>
      <c r="G271" s="3">
        <v>42268.479166666664</v>
      </c>
      <c r="H271" s="1" t="s">
        <v>6</v>
      </c>
      <c r="I271" s="1" t="s">
        <v>38</v>
      </c>
      <c r="J271" s="1">
        <v>42268.490937499999</v>
      </c>
      <c r="K271" s="1" t="s">
        <v>43</v>
      </c>
      <c r="L271" s="14">
        <f>24*(TblTimeSheet[[#This Row],[End Date and Time]]-TblTimeSheet[[#This Row],[Start Date and Time]])</f>
        <v>0.49999999988358468</v>
      </c>
      <c r="M27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
        <f>--(0&gt;(TblTimeSheet[[#This Row],[End Date and Time]]-TblTimeSheet[[#This Row],[Start Date and Time]]))</f>
        <v>0</v>
      </c>
    </row>
    <row r="272" spans="1:14" x14ac:dyDescent="0.25">
      <c r="A272" s="1"/>
      <c r="B272" s="2" t="s">
        <v>114</v>
      </c>
      <c r="C272" s="2" t="s">
        <v>171</v>
      </c>
      <c r="D272" s="2" t="s">
        <v>32</v>
      </c>
      <c r="E272" s="7" t="s">
        <v>710</v>
      </c>
      <c r="F272" s="3">
        <v>42268.458333333336</v>
      </c>
      <c r="G272" s="3">
        <v>42268.520833333336</v>
      </c>
      <c r="H272" s="1" t="s">
        <v>6</v>
      </c>
      <c r="I272" s="1" t="s">
        <v>38</v>
      </c>
      <c r="J272" s="1">
        <v>42269.442465277774</v>
      </c>
      <c r="K272" s="1" t="s">
        <v>171</v>
      </c>
      <c r="L272" s="14">
        <f>24*(TblTimeSheet[[#This Row],[End Date and Time]]-TblTimeSheet[[#This Row],[Start Date and Time]])</f>
        <v>1.5</v>
      </c>
      <c r="M27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
        <f>--(0&gt;(TblTimeSheet[[#This Row],[End Date and Time]]-TblTimeSheet[[#This Row],[Start Date and Time]]))</f>
        <v>0</v>
      </c>
    </row>
    <row r="273" spans="1:14" x14ac:dyDescent="0.25">
      <c r="A273" s="1"/>
      <c r="B273" s="2" t="s">
        <v>108</v>
      </c>
      <c r="C273" s="2" t="s">
        <v>41</v>
      </c>
      <c r="D273" s="2" t="s">
        <v>32</v>
      </c>
      <c r="E273" s="7" t="s">
        <v>711</v>
      </c>
      <c r="F273" s="3">
        <v>42265.506944444445</v>
      </c>
      <c r="G273" s="3">
        <v>42265.517361111109</v>
      </c>
      <c r="H273" s="1" t="s">
        <v>6</v>
      </c>
      <c r="I273" s="1" t="s">
        <v>38</v>
      </c>
      <c r="J273" s="1">
        <v>42269.449780092589</v>
      </c>
      <c r="K273" s="1" t="s">
        <v>41</v>
      </c>
      <c r="L273" s="14">
        <f>24*(TblTimeSheet[[#This Row],[End Date and Time]]-TblTimeSheet[[#This Row],[Start Date and Time]])</f>
        <v>0.24999999994179234</v>
      </c>
      <c r="M27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
        <f>--(0&gt;(TblTimeSheet[[#This Row],[End Date and Time]]-TblTimeSheet[[#This Row],[Start Date and Time]]))</f>
        <v>0</v>
      </c>
    </row>
    <row r="274" spans="1:14" x14ac:dyDescent="0.25">
      <c r="A274" s="1"/>
      <c r="B274" s="2" t="s">
        <v>108</v>
      </c>
      <c r="C274" s="2" t="s">
        <v>454</v>
      </c>
      <c r="D274" s="2" t="s">
        <v>32</v>
      </c>
      <c r="E274" s="7" t="s">
        <v>449</v>
      </c>
      <c r="F274" s="3">
        <v>42265.506944444445</v>
      </c>
      <c r="G274" s="3">
        <v>42265.517361111109</v>
      </c>
      <c r="H274" s="1" t="s">
        <v>6</v>
      </c>
      <c r="I274" s="1" t="s">
        <v>38</v>
      </c>
      <c r="J274" s="1">
        <v>42269.518877314818</v>
      </c>
      <c r="K274" s="1" t="s">
        <v>454</v>
      </c>
      <c r="L274" s="14">
        <f>24*(TblTimeSheet[[#This Row],[End Date and Time]]-TblTimeSheet[[#This Row],[Start Date and Time]])</f>
        <v>0.24999999994179234</v>
      </c>
      <c r="M27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
        <f>--(0&gt;(TblTimeSheet[[#This Row],[End Date and Time]]-TblTimeSheet[[#This Row],[Start Date and Time]]))</f>
        <v>0</v>
      </c>
    </row>
    <row r="275" spans="1:14" x14ac:dyDescent="0.25">
      <c r="A275" s="1"/>
      <c r="B275" s="2" t="s">
        <v>114</v>
      </c>
      <c r="C275" s="2" t="s">
        <v>116</v>
      </c>
      <c r="D275" s="2" t="s">
        <v>32</v>
      </c>
      <c r="E275" s="7" t="s">
        <v>712</v>
      </c>
      <c r="F275" s="3">
        <v>42269.625</v>
      </c>
      <c r="G275" s="3">
        <v>42269.694444444445</v>
      </c>
      <c r="H275" s="1" t="s">
        <v>6</v>
      </c>
      <c r="I275" s="1" t="s">
        <v>38</v>
      </c>
      <c r="J275" s="1">
        <v>42269.746481481481</v>
      </c>
      <c r="K275" s="1" t="s">
        <v>166</v>
      </c>
      <c r="L275" s="14">
        <f>24*(TblTimeSheet[[#This Row],[End Date and Time]]-TblTimeSheet[[#This Row],[Start Date and Time]])</f>
        <v>1.6666666666860692</v>
      </c>
      <c r="M27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
        <f>--(0&gt;(TblTimeSheet[[#This Row],[End Date and Time]]-TblTimeSheet[[#This Row],[Start Date and Time]]))</f>
        <v>0</v>
      </c>
    </row>
    <row r="276" spans="1:14" x14ac:dyDescent="0.25">
      <c r="A276" s="1"/>
      <c r="B276" s="2" t="s">
        <v>108</v>
      </c>
      <c r="C276" s="2" t="s">
        <v>176</v>
      </c>
      <c r="D276" s="2" t="s">
        <v>32</v>
      </c>
      <c r="E276" s="7" t="s">
        <v>808</v>
      </c>
      <c r="F276" s="3">
        <v>42269.416666666664</v>
      </c>
      <c r="G276" s="3">
        <v>42269.541666666664</v>
      </c>
      <c r="H276" s="1" t="s">
        <v>6</v>
      </c>
      <c r="I276" s="1" t="s">
        <v>38</v>
      </c>
      <c r="J276" s="1">
        <v>42270.455694444441</v>
      </c>
      <c r="K276" s="1" t="s">
        <v>176</v>
      </c>
      <c r="L276" s="14">
        <f>24*(TblTimeSheet[[#This Row],[End Date and Time]]-TblTimeSheet[[#This Row],[Start Date and Time]])</f>
        <v>3</v>
      </c>
      <c r="M27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
        <f>--(0&gt;(TblTimeSheet[[#This Row],[End Date and Time]]-TblTimeSheet[[#This Row],[Start Date and Time]]))</f>
        <v>0</v>
      </c>
    </row>
    <row r="277" spans="1:14" x14ac:dyDescent="0.25">
      <c r="A277" s="1"/>
      <c r="B277" s="2" t="s">
        <v>114</v>
      </c>
      <c r="C277" s="2" t="s">
        <v>171</v>
      </c>
      <c r="D277" s="2" t="s">
        <v>32</v>
      </c>
      <c r="E277" s="7" t="s">
        <v>809</v>
      </c>
      <c r="F277" s="3">
        <v>42270.53125</v>
      </c>
      <c r="G277" s="3">
        <v>42270.586805555555</v>
      </c>
      <c r="H277" s="1" t="s">
        <v>6</v>
      </c>
      <c r="I277" s="1" t="s">
        <v>38</v>
      </c>
      <c r="J277" s="1">
        <v>42270.54409722222</v>
      </c>
      <c r="K277" s="1" t="s">
        <v>171</v>
      </c>
      <c r="L277" s="14">
        <f>24*(TblTimeSheet[[#This Row],[End Date and Time]]-TblTimeSheet[[#This Row],[Start Date and Time]])</f>
        <v>1.3333333333139308</v>
      </c>
      <c r="M27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
        <f>--(0&gt;(TblTimeSheet[[#This Row],[End Date and Time]]-TblTimeSheet[[#This Row],[Start Date and Time]]))</f>
        <v>0</v>
      </c>
    </row>
    <row r="278" spans="1:14" x14ac:dyDescent="0.25">
      <c r="A278" s="1"/>
      <c r="B278" s="2" t="s">
        <v>114</v>
      </c>
      <c r="C278" s="2" t="s">
        <v>176</v>
      </c>
      <c r="D278" s="2" t="s">
        <v>32</v>
      </c>
      <c r="E278" s="7" t="s">
        <v>449</v>
      </c>
      <c r="F278" s="3">
        <v>42270.53125</v>
      </c>
      <c r="G278" s="3">
        <v>42270.545138888891</v>
      </c>
      <c r="H278" s="1" t="s">
        <v>6</v>
      </c>
      <c r="I278" s="1" t="s">
        <v>38</v>
      </c>
      <c r="J278" s="1">
        <v>42270.598530092589</v>
      </c>
      <c r="K278" s="1" t="s">
        <v>176</v>
      </c>
      <c r="L278" s="14">
        <f>24*(TblTimeSheet[[#This Row],[End Date and Time]]-TblTimeSheet[[#This Row],[Start Date and Time]])</f>
        <v>0.33333333337213844</v>
      </c>
      <c r="M27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78">
        <f>--(0&gt;(TblTimeSheet[[#This Row],[End Date and Time]]-TblTimeSheet[[#This Row],[Start Date and Time]]))</f>
        <v>0</v>
      </c>
    </row>
    <row r="279" spans="1:14" x14ac:dyDescent="0.25">
      <c r="A279" s="1"/>
      <c r="B279" s="2" t="s">
        <v>114</v>
      </c>
      <c r="C279" s="2" t="s">
        <v>116</v>
      </c>
      <c r="D279" s="2" t="s">
        <v>32</v>
      </c>
      <c r="E279" s="7" t="s">
        <v>713</v>
      </c>
      <c r="F279" s="3">
        <v>42270.53125</v>
      </c>
      <c r="G279" s="3">
        <v>42270.545138888891</v>
      </c>
      <c r="H279" s="1" t="s">
        <v>6</v>
      </c>
      <c r="I279" s="1" t="s">
        <v>38</v>
      </c>
      <c r="J279" s="1">
        <v>42270.649930555555</v>
      </c>
      <c r="K279" s="1" t="s">
        <v>166</v>
      </c>
      <c r="L279" s="14">
        <f>24*(TblTimeSheet[[#This Row],[End Date and Time]]-TblTimeSheet[[#This Row],[Start Date and Time]])</f>
        <v>0.33333333337213844</v>
      </c>
      <c r="M27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79">
        <f>--(0&gt;(TblTimeSheet[[#This Row],[End Date and Time]]-TblTimeSheet[[#This Row],[Start Date and Time]]))</f>
        <v>0</v>
      </c>
    </row>
    <row r="280" spans="1:14" x14ac:dyDescent="0.25">
      <c r="A280" s="1"/>
      <c r="B280" s="2" t="s">
        <v>114</v>
      </c>
      <c r="C280" s="2" t="s">
        <v>118</v>
      </c>
      <c r="D280" s="2" t="s">
        <v>32</v>
      </c>
      <c r="E280" s="7" t="s">
        <v>714</v>
      </c>
      <c r="F280" s="3">
        <v>42270.53125</v>
      </c>
      <c r="G280" s="3">
        <v>42270.545138888891</v>
      </c>
      <c r="H280" s="1" t="s">
        <v>6</v>
      </c>
      <c r="I280" s="1" t="s">
        <v>38</v>
      </c>
      <c r="J280" s="1">
        <v>42270.683495370373</v>
      </c>
      <c r="K280" s="1" t="s">
        <v>118</v>
      </c>
      <c r="L280" s="14">
        <f>24*(TblTimeSheet[[#This Row],[End Date and Time]]-TblTimeSheet[[#This Row],[Start Date and Time]])</f>
        <v>0.33333333337213844</v>
      </c>
      <c r="M28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
        <f>--(0&gt;(TblTimeSheet[[#This Row],[End Date and Time]]-TblTimeSheet[[#This Row],[Start Date and Time]]))</f>
        <v>0</v>
      </c>
    </row>
    <row r="281" spans="1:14" x14ac:dyDescent="0.25">
      <c r="A281" s="1"/>
      <c r="B281" s="2" t="s">
        <v>114</v>
      </c>
      <c r="C281" s="2" t="s">
        <v>116</v>
      </c>
      <c r="D281" s="2" t="s">
        <v>32</v>
      </c>
      <c r="E281" s="7" t="s">
        <v>715</v>
      </c>
      <c r="F281" s="3">
        <v>42270.53125</v>
      </c>
      <c r="G281" s="3">
        <v>42270.545138888891</v>
      </c>
      <c r="H281" s="1" t="s">
        <v>6</v>
      </c>
      <c r="I281" s="1" t="s">
        <v>38</v>
      </c>
      <c r="J281" s="1">
        <v>42271.397083333337</v>
      </c>
      <c r="K281" s="1" t="s">
        <v>701</v>
      </c>
      <c r="L281" s="14">
        <f>24*(TblTimeSheet[[#This Row],[End Date and Time]]-TblTimeSheet[[#This Row],[Start Date and Time]])</f>
        <v>0.33333333337213844</v>
      </c>
      <c r="M28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1">
        <f>--(0&gt;(TblTimeSheet[[#This Row],[End Date and Time]]-TblTimeSheet[[#This Row],[Start Date and Time]]))</f>
        <v>0</v>
      </c>
    </row>
    <row r="282" spans="1:14" x14ac:dyDescent="0.25">
      <c r="A282" s="1"/>
      <c r="B282" s="2" t="s">
        <v>110</v>
      </c>
      <c r="C282" s="2" t="s">
        <v>116</v>
      </c>
      <c r="D282" s="2" t="s">
        <v>32</v>
      </c>
      <c r="E282" s="7" t="s">
        <v>716</v>
      </c>
      <c r="F282" s="3">
        <v>42270.625</v>
      </c>
      <c r="G282" s="3">
        <v>42270.729166666664</v>
      </c>
      <c r="H282" s="1" t="s">
        <v>6</v>
      </c>
      <c r="I282" s="1" t="s">
        <v>38</v>
      </c>
      <c r="J282" s="1">
        <v>42271.396874999999</v>
      </c>
      <c r="K282" s="1" t="s">
        <v>701</v>
      </c>
      <c r="L282" s="14">
        <f>24*(TblTimeSheet[[#This Row],[End Date and Time]]-TblTimeSheet[[#This Row],[Start Date and Time]])</f>
        <v>2.4999999999417923</v>
      </c>
      <c r="M28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2">
        <f>--(0&gt;(TblTimeSheet[[#This Row],[End Date and Time]]-TblTimeSheet[[#This Row],[Start Date and Time]]))</f>
        <v>0</v>
      </c>
    </row>
    <row r="283" spans="1:14" x14ac:dyDescent="0.25">
      <c r="A283" s="1"/>
      <c r="B283" s="2" t="s">
        <v>108</v>
      </c>
      <c r="C283" s="2" t="s">
        <v>118</v>
      </c>
      <c r="D283" s="2" t="s">
        <v>32</v>
      </c>
      <c r="E283" s="7" t="s">
        <v>717</v>
      </c>
      <c r="F283" s="3">
        <v>42270.625</v>
      </c>
      <c r="G283" s="3">
        <v>42270.729166666664</v>
      </c>
      <c r="H283" s="1" t="s">
        <v>6</v>
      </c>
      <c r="I283" s="1" t="s">
        <v>38</v>
      </c>
      <c r="J283" s="1">
        <v>42271.39880787037</v>
      </c>
      <c r="K283" s="1" t="s">
        <v>118</v>
      </c>
      <c r="L283" s="14">
        <f>24*(TblTimeSheet[[#This Row],[End Date and Time]]-TblTimeSheet[[#This Row],[Start Date and Time]])</f>
        <v>2.4999999999417923</v>
      </c>
      <c r="M28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
        <f>--(0&gt;(TblTimeSheet[[#This Row],[End Date and Time]]-TblTimeSheet[[#This Row],[Start Date and Time]]))</f>
        <v>0</v>
      </c>
    </row>
    <row r="284" spans="1:14" x14ac:dyDescent="0.25">
      <c r="A284" s="1"/>
      <c r="B284" s="2" t="s">
        <v>114</v>
      </c>
      <c r="C284" s="2" t="s">
        <v>116</v>
      </c>
      <c r="D284" s="2" t="s">
        <v>32</v>
      </c>
      <c r="E284" s="7" t="s">
        <v>718</v>
      </c>
      <c r="F284" s="3">
        <v>42270.625</v>
      </c>
      <c r="G284" s="3">
        <v>42270.708333333336</v>
      </c>
      <c r="H284" s="1" t="s">
        <v>6</v>
      </c>
      <c r="I284" s="1" t="s">
        <v>38</v>
      </c>
      <c r="J284" s="1">
        <v>42271.408414351848</v>
      </c>
      <c r="K284" s="1" t="s">
        <v>166</v>
      </c>
      <c r="L284" s="14">
        <f>24*(TblTimeSheet[[#This Row],[End Date and Time]]-TblTimeSheet[[#This Row],[Start Date and Time]])</f>
        <v>2.0000000000582077</v>
      </c>
      <c r="M28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4">
        <f>--(0&gt;(TblTimeSheet[[#This Row],[End Date and Time]]-TblTimeSheet[[#This Row],[Start Date and Time]]))</f>
        <v>0</v>
      </c>
    </row>
    <row r="285" spans="1:14" x14ac:dyDescent="0.25">
      <c r="A285" s="1"/>
      <c r="B285" s="2" t="s">
        <v>108</v>
      </c>
      <c r="C285" s="2" t="s">
        <v>42</v>
      </c>
      <c r="D285" s="2" t="s">
        <v>32</v>
      </c>
      <c r="E285" s="7" t="s">
        <v>516</v>
      </c>
      <c r="F285" s="3">
        <v>42265.506944444445</v>
      </c>
      <c r="G285" s="3">
        <v>42265.517361111109</v>
      </c>
      <c r="H285" s="1" t="s">
        <v>6</v>
      </c>
      <c r="I285" s="1" t="s">
        <v>38</v>
      </c>
      <c r="J285" s="1">
        <v>42278.546655092592</v>
      </c>
      <c r="K285" s="1" t="s">
        <v>42</v>
      </c>
      <c r="L285" s="14">
        <f>24*(TblTimeSheet[[#This Row],[End Date and Time]]-TblTimeSheet[[#This Row],[Start Date and Time]])</f>
        <v>0.24999999994179234</v>
      </c>
      <c r="M28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
        <f>--(0&gt;(TblTimeSheet[[#This Row],[End Date and Time]]-TblTimeSheet[[#This Row],[Start Date and Time]]))</f>
        <v>0</v>
      </c>
    </row>
    <row r="286" spans="1:14" x14ac:dyDescent="0.25">
      <c r="A286" s="1"/>
      <c r="B286" s="2" t="s">
        <v>114</v>
      </c>
      <c r="C286" s="2" t="s">
        <v>42</v>
      </c>
      <c r="D286" s="2" t="s">
        <v>32</v>
      </c>
      <c r="E286" s="7" t="s">
        <v>516</v>
      </c>
      <c r="F286" s="3">
        <v>42270.53125</v>
      </c>
      <c r="G286" s="3">
        <v>42270.545138888891</v>
      </c>
      <c r="H286" s="1" t="s">
        <v>6</v>
      </c>
      <c r="I286" s="1" t="s">
        <v>38</v>
      </c>
      <c r="J286" s="1">
        <v>42271.54173611111</v>
      </c>
      <c r="K286" s="1" t="s">
        <v>42</v>
      </c>
      <c r="L286" s="14">
        <f>24*(TblTimeSheet[[#This Row],[End Date and Time]]-TblTimeSheet[[#This Row],[Start Date and Time]])</f>
        <v>0.33333333337213844</v>
      </c>
      <c r="M28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
        <f>--(0&gt;(TblTimeSheet[[#This Row],[End Date and Time]]-TblTimeSheet[[#This Row],[Start Date and Time]]))</f>
        <v>0</v>
      </c>
    </row>
    <row r="287" spans="1:14" x14ac:dyDescent="0.25">
      <c r="A287" s="1"/>
      <c r="B287" s="2" t="s">
        <v>108</v>
      </c>
      <c r="C287" s="2" t="s">
        <v>41</v>
      </c>
      <c r="D287" s="2" t="s">
        <v>32</v>
      </c>
      <c r="E287" s="7" t="s">
        <v>510</v>
      </c>
      <c r="F287" s="3">
        <v>42268.395833333336</v>
      </c>
      <c r="G287" s="3">
        <v>42268.520833333336</v>
      </c>
      <c r="H287" s="1" t="s">
        <v>6</v>
      </c>
      <c r="I287" s="1" t="s">
        <v>38</v>
      </c>
      <c r="J287" s="1">
        <v>42271.749641203707</v>
      </c>
      <c r="K287" s="1" t="s">
        <v>41</v>
      </c>
      <c r="L287" s="14">
        <f>24*(TblTimeSheet[[#This Row],[End Date and Time]]-TblTimeSheet[[#This Row],[Start Date and Time]])</f>
        <v>3</v>
      </c>
      <c r="M28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
        <f>--(0&gt;(TblTimeSheet[[#This Row],[End Date and Time]]-TblTimeSheet[[#This Row],[Start Date and Time]]))</f>
        <v>0</v>
      </c>
    </row>
    <row r="288" spans="1:14" x14ac:dyDescent="0.25">
      <c r="A288" s="1"/>
      <c r="B288" s="2" t="s">
        <v>108</v>
      </c>
      <c r="C288" s="2" t="s">
        <v>41</v>
      </c>
      <c r="D288" s="2" t="s">
        <v>32</v>
      </c>
      <c r="E288" s="7" t="s">
        <v>504</v>
      </c>
      <c r="F288" s="3">
        <v>42268.583333333336</v>
      </c>
      <c r="G288" s="3">
        <v>42268.729166666664</v>
      </c>
      <c r="H288" s="1" t="s">
        <v>6</v>
      </c>
      <c r="I288" s="1" t="s">
        <v>38</v>
      </c>
      <c r="J288" s="1">
        <v>42271.750578703701</v>
      </c>
      <c r="K288" s="1" t="s">
        <v>41</v>
      </c>
      <c r="L288" s="14">
        <f>24*(TblTimeSheet[[#This Row],[End Date and Time]]-TblTimeSheet[[#This Row],[Start Date and Time]])</f>
        <v>3.4999999998835847</v>
      </c>
      <c r="M28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
        <f>--(0&gt;(TblTimeSheet[[#This Row],[End Date and Time]]-TblTimeSheet[[#This Row],[Start Date and Time]]))</f>
        <v>0</v>
      </c>
    </row>
    <row r="289" spans="1:14" x14ac:dyDescent="0.25">
      <c r="A289" s="1"/>
      <c r="B289" s="2" t="s">
        <v>108</v>
      </c>
      <c r="C289" s="2" t="s">
        <v>41</v>
      </c>
      <c r="D289" s="2" t="s">
        <v>32</v>
      </c>
      <c r="E289" s="7" t="s">
        <v>810</v>
      </c>
      <c r="F289" s="3">
        <v>42269.416666666664</v>
      </c>
      <c r="G289" s="3">
        <v>42269.541666666664</v>
      </c>
      <c r="H289" s="1" t="s">
        <v>6</v>
      </c>
      <c r="I289" s="1" t="s">
        <v>38</v>
      </c>
      <c r="J289" s="1">
        <v>42271.751527777778</v>
      </c>
      <c r="K289" s="1" t="s">
        <v>41</v>
      </c>
      <c r="L289" s="14">
        <f>24*(TblTimeSheet[[#This Row],[End Date and Time]]-TblTimeSheet[[#This Row],[Start Date and Time]])</f>
        <v>3</v>
      </c>
      <c r="M28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
        <f>--(0&gt;(TblTimeSheet[[#This Row],[End Date and Time]]-TblTimeSheet[[#This Row],[Start Date and Time]]))</f>
        <v>0</v>
      </c>
    </row>
    <row r="290" spans="1:14" x14ac:dyDescent="0.25">
      <c r="A290" s="1"/>
      <c r="B290" s="2" t="s">
        <v>108</v>
      </c>
      <c r="C290" s="2" t="s">
        <v>41</v>
      </c>
      <c r="D290" s="2" t="s">
        <v>32</v>
      </c>
      <c r="E290" s="7" t="s">
        <v>719</v>
      </c>
      <c r="F290" s="3">
        <v>42269.583333333336</v>
      </c>
      <c r="G290" s="3">
        <v>42269.729166666664</v>
      </c>
      <c r="H290" s="1" t="s">
        <v>6</v>
      </c>
      <c r="I290" s="1" t="s">
        <v>38</v>
      </c>
      <c r="J290" s="1">
        <v>42271.75204861111</v>
      </c>
      <c r="K290" s="1" t="s">
        <v>41</v>
      </c>
      <c r="L290" s="14">
        <f>24*(TblTimeSheet[[#This Row],[End Date and Time]]-TblTimeSheet[[#This Row],[Start Date and Time]])</f>
        <v>3.4999999998835847</v>
      </c>
      <c r="M29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
        <f>--(0&gt;(TblTimeSheet[[#This Row],[End Date and Time]]-TblTimeSheet[[#This Row],[Start Date and Time]]))</f>
        <v>0</v>
      </c>
    </row>
    <row r="291" spans="1:14" x14ac:dyDescent="0.25">
      <c r="A291" s="1"/>
      <c r="B291" s="2" t="s">
        <v>108</v>
      </c>
      <c r="C291" s="2" t="s">
        <v>118</v>
      </c>
      <c r="D291" s="2" t="s">
        <v>32</v>
      </c>
      <c r="E291" s="7" t="s">
        <v>720</v>
      </c>
      <c r="F291" s="3">
        <v>42271.5625</v>
      </c>
      <c r="G291" s="3">
        <v>42271.729166666664</v>
      </c>
      <c r="H291" s="1" t="s">
        <v>6</v>
      </c>
      <c r="I291" s="1" t="s">
        <v>38</v>
      </c>
      <c r="J291" s="1">
        <v>42272.386979166666</v>
      </c>
      <c r="K291" s="1" t="s">
        <v>118</v>
      </c>
      <c r="L291" s="14">
        <f>24*(TblTimeSheet[[#This Row],[End Date and Time]]-TblTimeSheet[[#This Row],[Start Date and Time]])</f>
        <v>3.9999999999417923</v>
      </c>
      <c r="M29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1">
        <f>--(0&gt;(TblTimeSheet[[#This Row],[End Date and Time]]-TblTimeSheet[[#This Row],[Start Date and Time]]))</f>
        <v>0</v>
      </c>
    </row>
    <row r="292" spans="1:14" x14ac:dyDescent="0.25">
      <c r="A292" s="1"/>
      <c r="B292" s="2" t="s">
        <v>108</v>
      </c>
      <c r="C292" s="2" t="s">
        <v>41</v>
      </c>
      <c r="D292" s="2" t="s">
        <v>32</v>
      </c>
      <c r="E292" s="7" t="s">
        <v>721</v>
      </c>
      <c r="F292" s="3">
        <v>42271.416666666664</v>
      </c>
      <c r="G292" s="3">
        <v>42271.583333333336</v>
      </c>
      <c r="H292" s="1" t="s">
        <v>6</v>
      </c>
      <c r="I292" s="1" t="s">
        <v>38</v>
      </c>
      <c r="J292" s="1">
        <v>42272.411620370367</v>
      </c>
      <c r="K292" s="1" t="s">
        <v>41</v>
      </c>
      <c r="L292" s="14">
        <f>24*(TblTimeSheet[[#This Row],[End Date and Time]]-TblTimeSheet[[#This Row],[Start Date and Time]])</f>
        <v>4.0000000001164153</v>
      </c>
      <c r="M29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2">
        <f>--(0&gt;(TblTimeSheet[[#This Row],[End Date and Time]]-TblTimeSheet[[#This Row],[Start Date and Time]]))</f>
        <v>0</v>
      </c>
    </row>
    <row r="293" spans="1:14" x14ac:dyDescent="0.25">
      <c r="A293" s="1"/>
      <c r="B293" s="2" t="s">
        <v>114</v>
      </c>
      <c r="C293" s="2" t="s">
        <v>116</v>
      </c>
      <c r="D293" s="2" t="s">
        <v>32</v>
      </c>
      <c r="E293" s="7" t="s">
        <v>722</v>
      </c>
      <c r="F293" s="3">
        <v>42271.583333333336</v>
      </c>
      <c r="G293" s="3">
        <v>42271.6875</v>
      </c>
      <c r="H293" s="1" t="s">
        <v>6</v>
      </c>
      <c r="I293" s="1" t="s">
        <v>38</v>
      </c>
      <c r="J293" s="1">
        <v>42272.415092592593</v>
      </c>
      <c r="K293" s="1" t="s">
        <v>166</v>
      </c>
      <c r="L293" s="14">
        <f>24*(TblTimeSheet[[#This Row],[End Date and Time]]-TblTimeSheet[[#This Row],[Start Date and Time]])</f>
        <v>2.4999999999417923</v>
      </c>
      <c r="M29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3">
        <f>--(0&gt;(TblTimeSheet[[#This Row],[End Date and Time]]-TblTimeSheet[[#This Row],[Start Date and Time]]))</f>
        <v>0</v>
      </c>
    </row>
    <row r="294" spans="1:14" x14ac:dyDescent="0.25">
      <c r="A294" s="1"/>
      <c r="B294" s="2" t="s">
        <v>110</v>
      </c>
      <c r="C294" s="2" t="s">
        <v>116</v>
      </c>
      <c r="D294" s="2" t="s">
        <v>32</v>
      </c>
      <c r="E294" s="7" t="s">
        <v>723</v>
      </c>
      <c r="F294" s="3">
        <v>42272.395833333336</v>
      </c>
      <c r="G294" s="3">
        <v>42272.472222222219</v>
      </c>
      <c r="H294" s="1" t="s">
        <v>6</v>
      </c>
      <c r="I294" s="1" t="s">
        <v>38</v>
      </c>
      <c r="J294" s="1">
        <v>42272.472071759257</v>
      </c>
      <c r="K294" s="1" t="s">
        <v>701</v>
      </c>
      <c r="L294" s="14">
        <f>24*(TblTimeSheet[[#This Row],[End Date and Time]]-TblTimeSheet[[#This Row],[Start Date and Time]])</f>
        <v>1.8333333331975155</v>
      </c>
      <c r="M29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4">
        <f>--(0&gt;(TblTimeSheet[[#This Row],[End Date and Time]]-TblTimeSheet[[#This Row],[Start Date and Time]]))</f>
        <v>0</v>
      </c>
    </row>
    <row r="295" spans="1:14" x14ac:dyDescent="0.25">
      <c r="A295" s="1"/>
      <c r="B295" s="2" t="s">
        <v>108</v>
      </c>
      <c r="C295" s="2" t="s">
        <v>176</v>
      </c>
      <c r="D295" s="2" t="s">
        <v>32</v>
      </c>
      <c r="E295" s="7" t="s">
        <v>735</v>
      </c>
      <c r="F295" s="3">
        <v>42271.395833333336</v>
      </c>
      <c r="G295" s="3">
        <v>42271.520833333336</v>
      </c>
      <c r="H295" s="1" t="s">
        <v>6</v>
      </c>
      <c r="I295" s="1" t="s">
        <v>38</v>
      </c>
      <c r="J295" s="1">
        <v>42272.475983796299</v>
      </c>
      <c r="K295" s="1" t="s">
        <v>176</v>
      </c>
      <c r="L295" s="14">
        <f>24*(TblTimeSheet[[#This Row],[End Date and Time]]-TblTimeSheet[[#This Row],[Start Date and Time]])</f>
        <v>3</v>
      </c>
      <c r="M29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5">
        <f>--(0&gt;(TblTimeSheet[[#This Row],[End Date and Time]]-TblTimeSheet[[#This Row],[Start Date and Time]]))</f>
        <v>0</v>
      </c>
    </row>
    <row r="296" spans="1:14" x14ac:dyDescent="0.25">
      <c r="A296" s="1"/>
      <c r="B296" s="2" t="s">
        <v>108</v>
      </c>
      <c r="C296" s="2" t="s">
        <v>176</v>
      </c>
      <c r="D296" s="2" t="s">
        <v>32</v>
      </c>
      <c r="E296" s="7" t="s">
        <v>724</v>
      </c>
      <c r="F296" s="3">
        <v>42271.583333333336</v>
      </c>
      <c r="G296" s="3">
        <v>42271.729166666664</v>
      </c>
      <c r="H296" s="1" t="s">
        <v>6</v>
      </c>
      <c r="I296" s="1" t="s">
        <v>38</v>
      </c>
      <c r="J296" s="1">
        <v>42272.476655092592</v>
      </c>
      <c r="K296" s="1" t="s">
        <v>176</v>
      </c>
      <c r="L296" s="14">
        <f>24*(TblTimeSheet[[#This Row],[End Date and Time]]-TblTimeSheet[[#This Row],[Start Date and Time]])</f>
        <v>3.4999999998835847</v>
      </c>
      <c r="M29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6">
        <f>--(0&gt;(TblTimeSheet[[#This Row],[End Date and Time]]-TblTimeSheet[[#This Row],[Start Date and Time]]))</f>
        <v>0</v>
      </c>
    </row>
    <row r="297" spans="1:14" x14ac:dyDescent="0.25">
      <c r="A297" s="1"/>
      <c r="B297" s="2" t="s">
        <v>108</v>
      </c>
      <c r="C297" s="2" t="s">
        <v>454</v>
      </c>
      <c r="D297" s="2" t="s">
        <v>32</v>
      </c>
      <c r="E297" s="7" t="s">
        <v>725</v>
      </c>
      <c r="F297" s="3">
        <v>42268.395833333336</v>
      </c>
      <c r="G297" s="3">
        <v>42268.520833333336</v>
      </c>
      <c r="H297" s="1" t="s">
        <v>6</v>
      </c>
      <c r="I297" s="1" t="s">
        <v>38</v>
      </c>
      <c r="J297" s="1">
        <v>42272.481319444443</v>
      </c>
      <c r="K297" s="1" t="s">
        <v>454</v>
      </c>
      <c r="L297" s="14">
        <f>24*(TblTimeSheet[[#This Row],[End Date and Time]]-TblTimeSheet[[#This Row],[Start Date and Time]])</f>
        <v>3</v>
      </c>
      <c r="M29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7">
        <f>--(0&gt;(TblTimeSheet[[#This Row],[End Date and Time]]-TblTimeSheet[[#This Row],[Start Date and Time]]))</f>
        <v>0</v>
      </c>
    </row>
    <row r="298" spans="1:14" x14ac:dyDescent="0.25">
      <c r="A298" s="1"/>
      <c r="B298" s="2" t="s">
        <v>108</v>
      </c>
      <c r="C298" s="2" t="s">
        <v>454</v>
      </c>
      <c r="D298" s="2" t="s">
        <v>32</v>
      </c>
      <c r="E298" s="7" t="s">
        <v>726</v>
      </c>
      <c r="F298" s="3">
        <v>42268.583333333336</v>
      </c>
      <c r="G298" s="3">
        <v>42268.729166666664</v>
      </c>
      <c r="H298" s="1" t="s">
        <v>6</v>
      </c>
      <c r="I298" s="1" t="s">
        <v>38</v>
      </c>
      <c r="J298" s="1">
        <v>42272.482858796298</v>
      </c>
      <c r="K298" s="1" t="s">
        <v>454</v>
      </c>
      <c r="L298" s="14">
        <f>24*(TblTimeSheet[[#This Row],[End Date and Time]]-TblTimeSheet[[#This Row],[Start Date and Time]])</f>
        <v>3.4999999998835847</v>
      </c>
      <c r="M29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8">
        <f>--(0&gt;(TblTimeSheet[[#This Row],[End Date and Time]]-TblTimeSheet[[#This Row],[Start Date and Time]]))</f>
        <v>0</v>
      </c>
    </row>
    <row r="299" spans="1:14" x14ac:dyDescent="0.25">
      <c r="A299" s="1"/>
      <c r="B299" s="2" t="s">
        <v>108</v>
      </c>
      <c r="C299" s="2" t="s">
        <v>454</v>
      </c>
      <c r="D299" s="2" t="s">
        <v>32</v>
      </c>
      <c r="E299" s="7" t="s">
        <v>811</v>
      </c>
      <c r="F299" s="3">
        <v>42269.416666666664</v>
      </c>
      <c r="G299" s="3">
        <v>42269.520833333336</v>
      </c>
      <c r="H299" s="1" t="s">
        <v>6</v>
      </c>
      <c r="I299" s="1" t="s">
        <v>38</v>
      </c>
      <c r="J299" s="1">
        <v>42272.489016203705</v>
      </c>
      <c r="K299" s="1" t="s">
        <v>454</v>
      </c>
      <c r="L299" s="14">
        <f>24*(TblTimeSheet[[#This Row],[End Date and Time]]-TblTimeSheet[[#This Row],[Start Date and Time]])</f>
        <v>2.5000000001164153</v>
      </c>
      <c r="M29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9">
        <f>--(0&gt;(TblTimeSheet[[#This Row],[End Date and Time]]-TblTimeSheet[[#This Row],[Start Date and Time]]))</f>
        <v>0</v>
      </c>
    </row>
    <row r="300" spans="1:14" x14ac:dyDescent="0.25">
      <c r="A300" s="1"/>
      <c r="B300" s="2" t="s">
        <v>108</v>
      </c>
      <c r="C300" s="2" t="s">
        <v>454</v>
      </c>
      <c r="D300" s="2" t="s">
        <v>32</v>
      </c>
      <c r="E300" s="7" t="s">
        <v>812</v>
      </c>
      <c r="F300" s="3">
        <v>42272.583333333336</v>
      </c>
      <c r="G300" s="3">
        <v>42272.729166666664</v>
      </c>
      <c r="H300" s="1" t="s">
        <v>6</v>
      </c>
      <c r="I300" s="1" t="s">
        <v>38</v>
      </c>
      <c r="J300" s="1">
        <v>42272.489641203705</v>
      </c>
      <c r="K300" s="1" t="s">
        <v>454</v>
      </c>
      <c r="L300" s="14">
        <f>24*(TblTimeSheet[[#This Row],[End Date and Time]]-TblTimeSheet[[#This Row],[Start Date and Time]])</f>
        <v>3.4999999998835847</v>
      </c>
      <c r="M30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0">
        <f>--(0&gt;(TblTimeSheet[[#This Row],[End Date and Time]]-TblTimeSheet[[#This Row],[Start Date and Time]]))</f>
        <v>0</v>
      </c>
    </row>
    <row r="301" spans="1:14" x14ac:dyDescent="0.25">
      <c r="A301" s="1"/>
      <c r="B301" s="2" t="s">
        <v>108</v>
      </c>
      <c r="C301" s="2" t="s">
        <v>118</v>
      </c>
      <c r="D301" s="2" t="s">
        <v>32</v>
      </c>
      <c r="E301" s="7" t="s">
        <v>727</v>
      </c>
      <c r="F301" s="3">
        <v>42271.416666666664</v>
      </c>
      <c r="G301" s="3">
        <v>42271.447916666664</v>
      </c>
      <c r="H301" s="1" t="s">
        <v>6</v>
      </c>
      <c r="I301" s="1" t="s">
        <v>38</v>
      </c>
      <c r="J301" s="1">
        <v>42272.523240740738</v>
      </c>
      <c r="K301" s="1" t="s">
        <v>118</v>
      </c>
      <c r="L301" s="14">
        <f>24*(TblTimeSheet[[#This Row],[End Date and Time]]-TblTimeSheet[[#This Row],[Start Date and Time]])</f>
        <v>0.75</v>
      </c>
      <c r="M30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1">
        <f>--(0&gt;(TblTimeSheet[[#This Row],[End Date and Time]]-TblTimeSheet[[#This Row],[Start Date and Time]]))</f>
        <v>0</v>
      </c>
    </row>
    <row r="302" spans="1:14" x14ac:dyDescent="0.25">
      <c r="A302" s="1"/>
      <c r="B302" s="2" t="s">
        <v>108</v>
      </c>
      <c r="C302" s="2" t="s">
        <v>118</v>
      </c>
      <c r="D302" s="2" t="s">
        <v>32</v>
      </c>
      <c r="E302" s="7" t="s">
        <v>813</v>
      </c>
      <c r="F302" s="3">
        <v>42272.416666666664</v>
      </c>
      <c r="G302" s="3">
        <v>42272.5</v>
      </c>
      <c r="H302" s="1" t="s">
        <v>6</v>
      </c>
      <c r="I302" s="1" t="s">
        <v>38</v>
      </c>
      <c r="J302" s="1">
        <v>42272.523900462962</v>
      </c>
      <c r="K302" s="1" t="s">
        <v>118</v>
      </c>
      <c r="L302" s="14">
        <f>24*(TblTimeSheet[[#This Row],[End Date and Time]]-TblTimeSheet[[#This Row],[Start Date and Time]])</f>
        <v>2.0000000000582077</v>
      </c>
      <c r="M30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2">
        <f>--(0&gt;(TblTimeSheet[[#This Row],[End Date and Time]]-TblTimeSheet[[#This Row],[Start Date and Time]]))</f>
        <v>0</v>
      </c>
    </row>
    <row r="303" spans="1:14" x14ac:dyDescent="0.25">
      <c r="A303" s="1"/>
      <c r="B303" s="2" t="s">
        <v>108</v>
      </c>
      <c r="C303" s="2" t="s">
        <v>41</v>
      </c>
      <c r="D303" s="2" t="s">
        <v>32</v>
      </c>
      <c r="E303" s="7" t="s">
        <v>728</v>
      </c>
      <c r="F303" s="3">
        <v>42272.583333333336</v>
      </c>
      <c r="G303" s="3">
        <v>42272.625</v>
      </c>
      <c r="H303" s="1" t="s">
        <v>6</v>
      </c>
      <c r="I303" s="1" t="s">
        <v>38</v>
      </c>
      <c r="J303" s="1">
        <v>42272.68959490741</v>
      </c>
      <c r="K303" s="1" t="s">
        <v>41</v>
      </c>
      <c r="L303" s="14">
        <f>24*(TblTimeSheet[[#This Row],[End Date and Time]]-TblTimeSheet[[#This Row],[Start Date and Time]])</f>
        <v>0.99999999994179234</v>
      </c>
      <c r="M30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3">
        <f>--(0&gt;(TblTimeSheet[[#This Row],[End Date and Time]]-TblTimeSheet[[#This Row],[Start Date and Time]]))</f>
        <v>0</v>
      </c>
    </row>
    <row r="304" spans="1:14" x14ac:dyDescent="0.25">
      <c r="A304" s="1"/>
      <c r="B304" s="2" t="s">
        <v>108</v>
      </c>
      <c r="C304" s="2" t="s">
        <v>118</v>
      </c>
      <c r="D304" s="2" t="s">
        <v>32</v>
      </c>
      <c r="E304" s="7" t="s">
        <v>729</v>
      </c>
      <c r="F304" s="3">
        <v>42272.583333333336</v>
      </c>
      <c r="G304" s="3">
        <v>42272.625</v>
      </c>
      <c r="H304" s="1" t="s">
        <v>6</v>
      </c>
      <c r="I304" s="1" t="s">
        <v>38</v>
      </c>
      <c r="J304" s="1">
        <v>42272.690972222219</v>
      </c>
      <c r="K304" s="1" t="s">
        <v>118</v>
      </c>
      <c r="L304" s="14">
        <f>24*(TblTimeSheet[[#This Row],[End Date and Time]]-TblTimeSheet[[#This Row],[Start Date and Time]])</f>
        <v>0.99999999994179234</v>
      </c>
      <c r="M30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4">
        <f>--(0&gt;(TblTimeSheet[[#This Row],[End Date and Time]]-TblTimeSheet[[#This Row],[Start Date and Time]]))</f>
        <v>0</v>
      </c>
    </row>
    <row r="305" spans="1:14" x14ac:dyDescent="0.25">
      <c r="A305" s="1"/>
      <c r="B305" s="2" t="s">
        <v>108</v>
      </c>
      <c r="C305" s="2" t="s">
        <v>116</v>
      </c>
      <c r="D305" s="2" t="s">
        <v>32</v>
      </c>
      <c r="E305" s="7" t="s">
        <v>730</v>
      </c>
      <c r="F305" s="3">
        <v>42272.583333333336</v>
      </c>
      <c r="G305" s="3">
        <v>42272.625</v>
      </c>
      <c r="H305" s="1" t="s">
        <v>6</v>
      </c>
      <c r="I305" s="1" t="s">
        <v>38</v>
      </c>
      <c r="J305" s="1">
        <v>42272.693645833337</v>
      </c>
      <c r="K305" s="1" t="s">
        <v>39</v>
      </c>
      <c r="L305" s="14">
        <f>24*(TblTimeSheet[[#This Row],[End Date and Time]]-TblTimeSheet[[#This Row],[Start Date and Time]])</f>
        <v>0.99999999994179234</v>
      </c>
      <c r="M30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05">
        <f>--(0&gt;(TblTimeSheet[[#This Row],[End Date and Time]]-TblTimeSheet[[#This Row],[Start Date and Time]]))</f>
        <v>0</v>
      </c>
    </row>
    <row r="306" spans="1:14" x14ac:dyDescent="0.25">
      <c r="A306" s="1"/>
      <c r="B306" s="2" t="s">
        <v>108</v>
      </c>
      <c r="C306" s="2" t="s">
        <v>116</v>
      </c>
      <c r="D306" s="2" t="s">
        <v>32</v>
      </c>
      <c r="E306" s="7" t="s">
        <v>731</v>
      </c>
      <c r="F306" s="3">
        <v>42272.635416666664</v>
      </c>
      <c r="G306" s="3">
        <v>42272.71875</v>
      </c>
      <c r="H306" s="1" t="s">
        <v>6</v>
      </c>
      <c r="I306" s="1" t="s">
        <v>38</v>
      </c>
      <c r="J306" s="1">
        <v>42272.722291666665</v>
      </c>
      <c r="K306" s="1" t="s">
        <v>39</v>
      </c>
      <c r="L306" s="14">
        <f>24*(TblTimeSheet[[#This Row],[End Date and Time]]-TblTimeSheet[[#This Row],[Start Date and Time]])</f>
        <v>2.0000000000582077</v>
      </c>
      <c r="M30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06">
        <f>--(0&gt;(TblTimeSheet[[#This Row],[End Date and Time]]-TblTimeSheet[[#This Row],[Start Date and Time]]))</f>
        <v>0</v>
      </c>
    </row>
    <row r="307" spans="1:14" x14ac:dyDescent="0.25">
      <c r="A307" s="1"/>
      <c r="B307" s="2" t="s">
        <v>110</v>
      </c>
      <c r="C307" s="2" t="s">
        <v>143</v>
      </c>
      <c r="D307" s="2" t="s">
        <v>32</v>
      </c>
      <c r="E307" s="7" t="s">
        <v>732</v>
      </c>
      <c r="F307" s="3">
        <v>42272.416666666664</v>
      </c>
      <c r="G307" s="3">
        <v>42272.583333333336</v>
      </c>
      <c r="H307" s="1" t="s">
        <v>6</v>
      </c>
      <c r="I307" s="1" t="s">
        <v>38</v>
      </c>
      <c r="J307" s="1">
        <v>42272.741226851853</v>
      </c>
      <c r="K307" s="1" t="s">
        <v>143</v>
      </c>
      <c r="L307" s="14">
        <f>24*(TblTimeSheet[[#This Row],[End Date and Time]]-TblTimeSheet[[#This Row],[Start Date and Time]])</f>
        <v>4.0000000001164153</v>
      </c>
      <c r="M30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7">
        <f>--(0&gt;(TblTimeSheet[[#This Row],[End Date and Time]]-TblTimeSheet[[#This Row],[Start Date and Time]]))</f>
        <v>0</v>
      </c>
    </row>
    <row r="308" spans="1:14" x14ac:dyDescent="0.25">
      <c r="A308" s="1"/>
      <c r="B308" s="2" t="s">
        <v>114</v>
      </c>
      <c r="C308" s="2" t="s">
        <v>116</v>
      </c>
      <c r="D308" s="2" t="s">
        <v>32</v>
      </c>
      <c r="E308" s="7" t="s">
        <v>733</v>
      </c>
      <c r="F308" s="3">
        <v>42272.59375</v>
      </c>
      <c r="G308" s="3">
        <v>42272.75</v>
      </c>
      <c r="H308" s="1" t="s">
        <v>6</v>
      </c>
      <c r="I308" s="1" t="s">
        <v>38</v>
      </c>
      <c r="J308" s="1">
        <v>42273.432187500002</v>
      </c>
      <c r="K308" s="1" t="s">
        <v>166</v>
      </c>
      <c r="L308" s="14">
        <f>24*(TblTimeSheet[[#This Row],[End Date and Time]]-TblTimeSheet[[#This Row],[Start Date and Time]])</f>
        <v>3.75</v>
      </c>
      <c r="M30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08">
        <f>--(0&gt;(TblTimeSheet[[#This Row],[End Date and Time]]-TblTimeSheet[[#This Row],[Start Date and Time]]))</f>
        <v>0</v>
      </c>
    </row>
    <row r="309" spans="1:14" x14ac:dyDescent="0.25">
      <c r="A309" s="1"/>
      <c r="B309" s="2" t="s">
        <v>108</v>
      </c>
      <c r="C309" s="2" t="s">
        <v>454</v>
      </c>
      <c r="D309" s="2" t="s">
        <v>32</v>
      </c>
      <c r="E309" s="7" t="s">
        <v>734</v>
      </c>
      <c r="F309" s="3">
        <v>42273.416666666664</v>
      </c>
      <c r="G309" s="3">
        <v>42273.520833333336</v>
      </c>
      <c r="H309" s="1" t="s">
        <v>6</v>
      </c>
      <c r="I309" s="1" t="s">
        <v>38</v>
      </c>
      <c r="J309" s="1">
        <v>42273.602476851855</v>
      </c>
      <c r="K309" s="1" t="s">
        <v>454</v>
      </c>
      <c r="L309" s="14">
        <f>24*(TblTimeSheet[[#This Row],[End Date and Time]]-TblTimeSheet[[#This Row],[Start Date and Time]])</f>
        <v>2.5000000001164153</v>
      </c>
      <c r="M30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09">
        <f>--(0&gt;(TblTimeSheet[[#This Row],[End Date and Time]]-TblTimeSheet[[#This Row],[Start Date and Time]]))</f>
        <v>0</v>
      </c>
    </row>
    <row r="310" spans="1:14" x14ac:dyDescent="0.25">
      <c r="A310" s="1"/>
      <c r="B310" s="2" t="s">
        <v>110</v>
      </c>
      <c r="C310" s="2" t="s">
        <v>176</v>
      </c>
      <c r="D310" s="2" t="s">
        <v>32</v>
      </c>
      <c r="E310" s="7" t="s">
        <v>735</v>
      </c>
      <c r="F310" s="3">
        <v>42270.416666666664</v>
      </c>
      <c r="G310" s="3">
        <v>42270.583333333336</v>
      </c>
      <c r="H310" s="1" t="s">
        <v>6</v>
      </c>
      <c r="I310" s="1" t="s">
        <v>38</v>
      </c>
      <c r="J310" s="1">
        <v>42273.618275462963</v>
      </c>
      <c r="K310" s="1" t="s">
        <v>176</v>
      </c>
      <c r="L310" s="14">
        <f>24*(TblTimeSheet[[#This Row],[End Date and Time]]-TblTimeSheet[[#This Row],[Start Date and Time]])</f>
        <v>4.0000000001164153</v>
      </c>
      <c r="M31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0">
        <f>--(0&gt;(TblTimeSheet[[#This Row],[End Date and Time]]-TblTimeSheet[[#This Row],[Start Date and Time]]))</f>
        <v>0</v>
      </c>
    </row>
    <row r="311" spans="1:14" x14ac:dyDescent="0.25">
      <c r="A311" s="1"/>
      <c r="B311" s="2" t="s">
        <v>110</v>
      </c>
      <c r="C311" s="2" t="s">
        <v>176</v>
      </c>
      <c r="D311" s="2" t="s">
        <v>32</v>
      </c>
      <c r="E311" s="7" t="s">
        <v>735</v>
      </c>
      <c r="F311" s="3">
        <v>42270.666666666664</v>
      </c>
      <c r="G311" s="3">
        <v>42270.732638888891</v>
      </c>
      <c r="H311" s="1" t="s">
        <v>6</v>
      </c>
      <c r="I311" s="1" t="s">
        <v>38</v>
      </c>
      <c r="J311" s="1">
        <v>42446.647129629629</v>
      </c>
      <c r="K311" s="1" t="s">
        <v>176</v>
      </c>
      <c r="L311" s="14">
        <f>24*(TblTimeSheet[[#This Row],[End Date and Time]]-TblTimeSheet[[#This Row],[Start Date and Time]])</f>
        <v>1.5833333334303461</v>
      </c>
      <c r="M31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1">
        <f>--(0&gt;(TblTimeSheet[[#This Row],[End Date and Time]]-TblTimeSheet[[#This Row],[Start Date and Time]]))</f>
        <v>0</v>
      </c>
    </row>
    <row r="312" spans="1:14" x14ac:dyDescent="0.25">
      <c r="A312" s="1"/>
      <c r="B312" s="2" t="s">
        <v>110</v>
      </c>
      <c r="C312" s="2" t="s">
        <v>176</v>
      </c>
      <c r="D312" s="2" t="s">
        <v>32</v>
      </c>
      <c r="E312" s="7" t="s">
        <v>735</v>
      </c>
      <c r="F312" s="3">
        <v>42272.458333333336</v>
      </c>
      <c r="G312" s="3">
        <v>42272.541666666664</v>
      </c>
      <c r="H312" s="1" t="s">
        <v>6</v>
      </c>
      <c r="I312" s="1" t="s">
        <v>38</v>
      </c>
      <c r="J312" s="1">
        <v>42273.619247685187</v>
      </c>
      <c r="K312" s="1" t="s">
        <v>176</v>
      </c>
      <c r="L312" s="14">
        <f>24*(TblTimeSheet[[#This Row],[End Date and Time]]-TblTimeSheet[[#This Row],[Start Date and Time]])</f>
        <v>1.9999999998835847</v>
      </c>
      <c r="M31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2">
        <f>--(0&gt;(TblTimeSheet[[#This Row],[End Date and Time]]-TblTimeSheet[[#This Row],[Start Date and Time]]))</f>
        <v>0</v>
      </c>
    </row>
    <row r="313" spans="1:14" x14ac:dyDescent="0.25">
      <c r="A313" s="1"/>
      <c r="B313" s="2" t="s">
        <v>110</v>
      </c>
      <c r="C313" s="2" t="s">
        <v>176</v>
      </c>
      <c r="D313" s="2" t="s">
        <v>32</v>
      </c>
      <c r="E313" s="7" t="s">
        <v>735</v>
      </c>
      <c r="F313" s="3">
        <v>42273.375</v>
      </c>
      <c r="G313" s="3">
        <v>42273.625</v>
      </c>
      <c r="H313" s="1" t="s">
        <v>6</v>
      </c>
      <c r="I313" s="1" t="s">
        <v>38</v>
      </c>
      <c r="J313" s="1">
        <v>42273.619675925926</v>
      </c>
      <c r="K313" s="1" t="s">
        <v>176</v>
      </c>
      <c r="L313" s="14">
        <f>24*(TblTimeSheet[[#This Row],[End Date and Time]]-TblTimeSheet[[#This Row],[Start Date and Time]])</f>
        <v>6</v>
      </c>
      <c r="M31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3">
        <f>--(0&gt;(TblTimeSheet[[#This Row],[End Date and Time]]-TblTimeSheet[[#This Row],[Start Date and Time]]))</f>
        <v>0</v>
      </c>
    </row>
    <row r="314" spans="1:14" x14ac:dyDescent="0.25">
      <c r="A314" s="1"/>
      <c r="B314" s="2" t="s">
        <v>110</v>
      </c>
      <c r="C314" s="2" t="s">
        <v>143</v>
      </c>
      <c r="D314" s="2" t="s">
        <v>32</v>
      </c>
      <c r="E314" s="7" t="s">
        <v>736</v>
      </c>
      <c r="F314" s="3">
        <v>42265.416666666664</v>
      </c>
      <c r="G314" s="3">
        <v>42265.541666666664</v>
      </c>
      <c r="H314" s="1" t="s">
        <v>6</v>
      </c>
      <c r="I314" s="1" t="s">
        <v>38</v>
      </c>
      <c r="J314" s="1">
        <v>42273.644745370373</v>
      </c>
      <c r="K314" s="1" t="s">
        <v>41</v>
      </c>
      <c r="L314" s="14">
        <f>24*(TblTimeSheet[[#This Row],[End Date and Time]]-TblTimeSheet[[#This Row],[Start Date and Time]])</f>
        <v>3</v>
      </c>
      <c r="M3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14">
        <f>--(0&gt;(TblTimeSheet[[#This Row],[End Date and Time]]-TblTimeSheet[[#This Row],[Start Date and Time]]))</f>
        <v>0</v>
      </c>
    </row>
    <row r="315" spans="1:14" x14ac:dyDescent="0.25">
      <c r="A315" s="1"/>
      <c r="B315" s="2" t="s">
        <v>110</v>
      </c>
      <c r="C315" s="2" t="s">
        <v>143</v>
      </c>
      <c r="D315" s="2" t="s">
        <v>32</v>
      </c>
      <c r="E315" s="7" t="s">
        <v>736</v>
      </c>
      <c r="F315" s="3">
        <v>42265.625</v>
      </c>
      <c r="G315" s="3">
        <v>42265.666666666664</v>
      </c>
      <c r="H315" s="1" t="s">
        <v>6</v>
      </c>
      <c r="I315" s="1" t="s">
        <v>38</v>
      </c>
      <c r="J315" s="1">
        <v>42273.621527777781</v>
      </c>
      <c r="K315" s="1" t="s">
        <v>41</v>
      </c>
      <c r="L315" s="14">
        <f>24*(TblTimeSheet[[#This Row],[End Date and Time]]-TblTimeSheet[[#This Row],[Start Date and Time]])</f>
        <v>0.99999999994179234</v>
      </c>
      <c r="M31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5">
        <f>--(0&gt;(TblTimeSheet[[#This Row],[End Date and Time]]-TblTimeSheet[[#This Row],[Start Date and Time]]))</f>
        <v>0</v>
      </c>
    </row>
    <row r="316" spans="1:14" x14ac:dyDescent="0.25">
      <c r="A316" s="1"/>
      <c r="B316" s="2" t="s">
        <v>110</v>
      </c>
      <c r="C316" s="2" t="s">
        <v>143</v>
      </c>
      <c r="D316" s="2" t="s">
        <v>32</v>
      </c>
      <c r="E316" s="7" t="s">
        <v>736</v>
      </c>
      <c r="F316" s="3">
        <v>42269.479166666664</v>
      </c>
      <c r="G316" s="3">
        <v>42269.541666666664</v>
      </c>
      <c r="H316" s="1" t="s">
        <v>6</v>
      </c>
      <c r="I316" s="1" t="s">
        <v>38</v>
      </c>
      <c r="J316" s="1">
        <v>42273.62263888889</v>
      </c>
      <c r="K316" s="1" t="s">
        <v>41</v>
      </c>
      <c r="L316" s="14">
        <f>24*(TblTimeSheet[[#This Row],[End Date and Time]]-TblTimeSheet[[#This Row],[Start Date and Time]])</f>
        <v>1.5</v>
      </c>
      <c r="M31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6">
        <f>--(0&gt;(TblTimeSheet[[#This Row],[End Date and Time]]-TblTimeSheet[[#This Row],[Start Date and Time]]))</f>
        <v>0</v>
      </c>
    </row>
    <row r="317" spans="1:14" x14ac:dyDescent="0.25">
      <c r="A317" s="1"/>
      <c r="B317" s="2" t="s">
        <v>110</v>
      </c>
      <c r="C317" s="2" t="s">
        <v>143</v>
      </c>
      <c r="D317" s="2" t="s">
        <v>32</v>
      </c>
      <c r="E317" s="7" t="s">
        <v>736</v>
      </c>
      <c r="F317" s="3">
        <v>42269.625</v>
      </c>
      <c r="G317" s="3">
        <v>42269.666666666664</v>
      </c>
      <c r="H317" s="1" t="s">
        <v>6</v>
      </c>
      <c r="I317" s="1" t="s">
        <v>38</v>
      </c>
      <c r="J317" s="1">
        <v>42273.623252314814</v>
      </c>
      <c r="K317" s="1" t="s">
        <v>41</v>
      </c>
      <c r="L317" s="14">
        <f>24*(TblTimeSheet[[#This Row],[End Date and Time]]-TblTimeSheet[[#This Row],[Start Date and Time]])</f>
        <v>0.99999999994179234</v>
      </c>
      <c r="M31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7">
        <f>--(0&gt;(TblTimeSheet[[#This Row],[End Date and Time]]-TblTimeSheet[[#This Row],[Start Date and Time]]))</f>
        <v>0</v>
      </c>
    </row>
    <row r="318" spans="1:14" x14ac:dyDescent="0.25">
      <c r="A318" s="1"/>
      <c r="B318" s="2" t="s">
        <v>110</v>
      </c>
      <c r="C318" s="2" t="s">
        <v>118</v>
      </c>
      <c r="D318" s="2" t="s">
        <v>32</v>
      </c>
      <c r="E318" s="7" t="s">
        <v>737</v>
      </c>
      <c r="F318" s="3">
        <v>42273.416666666664</v>
      </c>
      <c r="G318" s="3">
        <v>42273.541666666664</v>
      </c>
      <c r="H318" s="1" t="s">
        <v>6</v>
      </c>
      <c r="I318" s="1" t="s">
        <v>38</v>
      </c>
      <c r="J318" s="1">
        <v>42273.629606481481</v>
      </c>
      <c r="K318" s="1" t="s">
        <v>118</v>
      </c>
      <c r="L318" s="14">
        <f>24*(TblTimeSheet[[#This Row],[End Date and Time]]-TblTimeSheet[[#This Row],[Start Date and Time]])</f>
        <v>3</v>
      </c>
      <c r="M31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8">
        <f>--(0&gt;(TblTimeSheet[[#This Row],[End Date and Time]]-TblTimeSheet[[#This Row],[Start Date and Time]]))</f>
        <v>0</v>
      </c>
    </row>
    <row r="319" spans="1:14" x14ac:dyDescent="0.25">
      <c r="A319" s="1"/>
      <c r="B319" s="2" t="s">
        <v>110</v>
      </c>
      <c r="C319" s="2" t="s">
        <v>118</v>
      </c>
      <c r="D319" s="2" t="s">
        <v>32</v>
      </c>
      <c r="E319" s="7" t="s">
        <v>738</v>
      </c>
      <c r="F319" s="3">
        <v>42273.583333333336</v>
      </c>
      <c r="G319" s="3">
        <v>42273.604166666664</v>
      </c>
      <c r="H319" s="1" t="s">
        <v>6</v>
      </c>
      <c r="I319" s="1" t="s">
        <v>38</v>
      </c>
      <c r="J319" s="1">
        <v>42273.631053240744</v>
      </c>
      <c r="K319" s="1" t="s">
        <v>118</v>
      </c>
      <c r="L319" s="14">
        <f>24*(TblTimeSheet[[#This Row],[End Date and Time]]-TblTimeSheet[[#This Row],[Start Date and Time]])</f>
        <v>0.49999999988358468</v>
      </c>
      <c r="M31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19">
        <f>--(0&gt;(TblTimeSheet[[#This Row],[End Date and Time]]-TblTimeSheet[[#This Row],[Start Date and Time]]))</f>
        <v>0</v>
      </c>
    </row>
    <row r="320" spans="1:14" x14ac:dyDescent="0.25">
      <c r="A320" s="1"/>
      <c r="B320" s="2" t="s">
        <v>110</v>
      </c>
      <c r="C320" s="2" t="s">
        <v>116</v>
      </c>
      <c r="D320" s="2" t="s">
        <v>32</v>
      </c>
      <c r="E320" s="7" t="s">
        <v>739</v>
      </c>
      <c r="F320" s="3">
        <v>42273.416666666664</v>
      </c>
      <c r="G320" s="3">
        <v>42273.541666666664</v>
      </c>
      <c r="H320" s="1" t="s">
        <v>6</v>
      </c>
      <c r="I320" s="1" t="s">
        <v>38</v>
      </c>
      <c r="J320" s="1">
        <v>42273.639328703706</v>
      </c>
      <c r="K320" s="1" t="s">
        <v>701</v>
      </c>
      <c r="L320" s="14">
        <f>24*(TblTimeSheet[[#This Row],[End Date and Time]]-TblTimeSheet[[#This Row],[Start Date and Time]])</f>
        <v>3</v>
      </c>
      <c r="M32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0">
        <f>--(0&gt;(TblTimeSheet[[#This Row],[End Date and Time]]-TblTimeSheet[[#This Row],[Start Date and Time]]))</f>
        <v>0</v>
      </c>
    </row>
    <row r="321" spans="1:14" x14ac:dyDescent="0.25">
      <c r="A321" s="1"/>
      <c r="B321" s="2" t="s">
        <v>110</v>
      </c>
      <c r="C321" s="2" t="s">
        <v>116</v>
      </c>
      <c r="D321" s="2" t="s">
        <v>32</v>
      </c>
      <c r="E321" s="7" t="s">
        <v>740</v>
      </c>
      <c r="F321" s="3">
        <v>42273.583333333336</v>
      </c>
      <c r="G321" s="3">
        <v>42273.635416666664</v>
      </c>
      <c r="H321" s="1" t="s">
        <v>6</v>
      </c>
      <c r="I321" s="1" t="s">
        <v>38</v>
      </c>
      <c r="J321" s="1">
        <v>42273.639872685184</v>
      </c>
      <c r="K321" s="1" t="s">
        <v>701</v>
      </c>
      <c r="L321" s="14">
        <f>24*(TblTimeSheet[[#This Row],[End Date and Time]]-TblTimeSheet[[#This Row],[Start Date and Time]])</f>
        <v>1.2499999998835847</v>
      </c>
      <c r="M32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21">
        <f>--(0&gt;(TblTimeSheet[[#This Row],[End Date and Time]]-TblTimeSheet[[#This Row],[Start Date and Time]]))</f>
        <v>0</v>
      </c>
    </row>
    <row r="322" spans="1:14" x14ac:dyDescent="0.25">
      <c r="A322" s="1"/>
      <c r="B322" s="2" t="s">
        <v>108</v>
      </c>
      <c r="C322" s="2" t="s">
        <v>454</v>
      </c>
      <c r="D322" s="2" t="s">
        <v>32</v>
      </c>
      <c r="E322" s="7" t="s">
        <v>741</v>
      </c>
      <c r="F322" s="3">
        <v>42275.583333333336</v>
      </c>
      <c r="G322" s="3">
        <v>42275.71875</v>
      </c>
      <c r="H322" s="1" t="s">
        <v>6</v>
      </c>
      <c r="I322" s="1" t="s">
        <v>38</v>
      </c>
      <c r="J322" s="1">
        <v>42275.710833333331</v>
      </c>
      <c r="K322" s="1" t="s">
        <v>454</v>
      </c>
      <c r="L322" s="14">
        <f>24*(TblTimeSheet[[#This Row],[End Date and Time]]-TblTimeSheet[[#This Row],[Start Date and Time]])</f>
        <v>3.2499999999417923</v>
      </c>
      <c r="M32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2">
        <f>--(0&gt;(TblTimeSheet[[#This Row],[End Date and Time]]-TblTimeSheet[[#This Row],[Start Date and Time]]))</f>
        <v>0</v>
      </c>
    </row>
    <row r="323" spans="1:14" x14ac:dyDescent="0.25">
      <c r="A323" s="1"/>
      <c r="B323" s="2" t="s">
        <v>108</v>
      </c>
      <c r="C323" s="2" t="s">
        <v>143</v>
      </c>
      <c r="D323" s="2" t="s">
        <v>34</v>
      </c>
      <c r="E323" s="7" t="s">
        <v>742</v>
      </c>
      <c r="F323" s="3">
        <v>42275.458333333336</v>
      </c>
      <c r="G323" s="3">
        <v>42275.5</v>
      </c>
      <c r="H323" s="1" t="s">
        <v>6</v>
      </c>
      <c r="I323" s="1" t="s">
        <v>38</v>
      </c>
      <c r="J323" s="1">
        <v>42276.375185185185</v>
      </c>
      <c r="K323" s="1" t="s">
        <v>143</v>
      </c>
      <c r="L323" s="14">
        <f>24*(TblTimeSheet[[#This Row],[End Date and Time]]-TblTimeSheet[[#This Row],[Start Date and Time]])</f>
        <v>0.99999999994179234</v>
      </c>
      <c r="M32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3">
        <f>--(0&gt;(TblTimeSheet[[#This Row],[End Date and Time]]-TblTimeSheet[[#This Row],[Start Date and Time]]))</f>
        <v>0</v>
      </c>
    </row>
    <row r="324" spans="1:14" x14ac:dyDescent="0.25">
      <c r="A324" s="1"/>
      <c r="B324" s="2" t="s">
        <v>108</v>
      </c>
      <c r="C324" s="2" t="s">
        <v>116</v>
      </c>
      <c r="D324" s="2" t="s">
        <v>32</v>
      </c>
      <c r="E324" s="7" t="s">
        <v>743</v>
      </c>
      <c r="F324" s="3">
        <v>42276.458333333336</v>
      </c>
      <c r="G324" s="3">
        <v>42276.5</v>
      </c>
      <c r="H324" s="1" t="s">
        <v>6</v>
      </c>
      <c r="I324" s="1" t="s">
        <v>38</v>
      </c>
      <c r="J324" s="1">
        <v>42276.508344907408</v>
      </c>
      <c r="K324" s="1" t="s">
        <v>701</v>
      </c>
      <c r="L324" s="14">
        <f>24*(TblTimeSheet[[#This Row],[End Date and Time]]-TblTimeSheet[[#This Row],[Start Date and Time]])</f>
        <v>0.99999999994179234</v>
      </c>
      <c r="M32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4">
        <f>--(0&gt;(TblTimeSheet[[#This Row],[End Date and Time]]-TblTimeSheet[[#This Row],[Start Date and Time]]))</f>
        <v>0</v>
      </c>
    </row>
    <row r="325" spans="1:14" x14ac:dyDescent="0.25">
      <c r="A325" s="1"/>
      <c r="B325" s="2" t="s">
        <v>114</v>
      </c>
      <c r="C325" s="2" t="s">
        <v>116</v>
      </c>
      <c r="D325" s="2" t="s">
        <v>32</v>
      </c>
      <c r="E325" s="7" t="s">
        <v>744</v>
      </c>
      <c r="F325" s="3">
        <v>42275.625</v>
      </c>
      <c r="G325" s="3">
        <v>42275.736111111109</v>
      </c>
      <c r="H325" s="1" t="s">
        <v>6</v>
      </c>
      <c r="I325" s="1" t="s">
        <v>38</v>
      </c>
      <c r="J325" s="1">
        <v>42276.516909722224</v>
      </c>
      <c r="K325" s="1" t="s">
        <v>166</v>
      </c>
      <c r="L325" s="14">
        <f>24*(TblTimeSheet[[#This Row],[End Date and Time]]-TblTimeSheet[[#This Row],[Start Date and Time]])</f>
        <v>2.6666666666278616</v>
      </c>
      <c r="M32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25">
        <f>--(0&gt;(TblTimeSheet[[#This Row],[End Date and Time]]-TblTimeSheet[[#This Row],[Start Date and Time]]))</f>
        <v>0</v>
      </c>
    </row>
    <row r="326" spans="1:14" x14ac:dyDescent="0.25">
      <c r="A326" s="1"/>
      <c r="B326" s="2" t="s">
        <v>114</v>
      </c>
      <c r="C326" s="2" t="s">
        <v>116</v>
      </c>
      <c r="D326" s="2" t="s">
        <v>32</v>
      </c>
      <c r="E326" s="7" t="s">
        <v>745</v>
      </c>
      <c r="F326" s="3">
        <v>42276.416666666664</v>
      </c>
      <c r="G326" s="3">
        <v>42276.458333333336</v>
      </c>
      <c r="H326" s="1" t="s">
        <v>6</v>
      </c>
      <c r="I326" s="1" t="s">
        <v>38</v>
      </c>
      <c r="J326" s="1">
        <v>42276.517418981479</v>
      </c>
      <c r="K326" s="1" t="s">
        <v>166</v>
      </c>
      <c r="L326" s="14">
        <f>24*(TblTimeSheet[[#This Row],[End Date and Time]]-TblTimeSheet[[#This Row],[Start Date and Time]])</f>
        <v>1.0000000001164153</v>
      </c>
      <c r="M32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26">
        <f>--(0&gt;(TblTimeSheet[[#This Row],[End Date and Time]]-TblTimeSheet[[#This Row],[Start Date and Time]]))</f>
        <v>0</v>
      </c>
    </row>
    <row r="327" spans="1:14" x14ac:dyDescent="0.25">
      <c r="A327" s="1"/>
      <c r="B327" s="2" t="s">
        <v>114</v>
      </c>
      <c r="C327" s="2" t="s">
        <v>116</v>
      </c>
      <c r="D327" s="2" t="s">
        <v>32</v>
      </c>
      <c r="E327" s="7" t="s">
        <v>746</v>
      </c>
      <c r="F327" s="3">
        <v>42276.416666666664</v>
      </c>
      <c r="G327" s="3">
        <v>42276.458333333336</v>
      </c>
      <c r="H327" s="1" t="s">
        <v>6</v>
      </c>
      <c r="I327" s="1" t="s">
        <v>38</v>
      </c>
      <c r="J327" s="1">
        <v>42276.598483796297</v>
      </c>
      <c r="K327" s="1" t="s">
        <v>39</v>
      </c>
      <c r="L327" s="14">
        <f>24*(TblTimeSheet[[#This Row],[End Date and Time]]-TblTimeSheet[[#This Row],[Start Date and Time]])</f>
        <v>1.0000000001164153</v>
      </c>
      <c r="M32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27">
        <f>--(0&gt;(TblTimeSheet[[#This Row],[End Date and Time]]-TblTimeSheet[[#This Row],[Start Date and Time]]))</f>
        <v>0</v>
      </c>
    </row>
    <row r="328" spans="1:14" x14ac:dyDescent="0.25">
      <c r="A328" s="1"/>
      <c r="B328" s="2" t="s">
        <v>108</v>
      </c>
      <c r="C328" s="2" t="s">
        <v>454</v>
      </c>
      <c r="D328" s="2" t="s">
        <v>33</v>
      </c>
      <c r="E328" s="7" t="s">
        <v>747</v>
      </c>
      <c r="F328" s="3">
        <v>42276.458333333336</v>
      </c>
      <c r="G328" s="3">
        <v>42276.5</v>
      </c>
      <c r="H328" s="1" t="s">
        <v>6</v>
      </c>
      <c r="I328" s="1" t="s">
        <v>38</v>
      </c>
      <c r="J328" s="1">
        <v>42276.637199074074</v>
      </c>
      <c r="K328" s="1" t="s">
        <v>454</v>
      </c>
      <c r="L328" s="14">
        <f>24*(TblTimeSheet[[#This Row],[End Date and Time]]-TblTimeSheet[[#This Row],[Start Date and Time]])</f>
        <v>0.99999999994179234</v>
      </c>
      <c r="M32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28">
        <f>--(0&gt;(TblTimeSheet[[#This Row],[End Date and Time]]-TblTimeSheet[[#This Row],[Start Date and Time]]))</f>
        <v>0</v>
      </c>
    </row>
    <row r="329" spans="1:14" ht="30" x14ac:dyDescent="0.25">
      <c r="A329" s="1"/>
      <c r="B329" s="2" t="s">
        <v>108</v>
      </c>
      <c r="C329" s="2" t="s">
        <v>116</v>
      </c>
      <c r="D329" s="2" t="s">
        <v>32</v>
      </c>
      <c r="E329" s="7" t="s">
        <v>814</v>
      </c>
      <c r="F329" s="3">
        <v>42273.625</v>
      </c>
      <c r="G329" s="3">
        <v>42273.729166666664</v>
      </c>
      <c r="H329" s="1" t="s">
        <v>6</v>
      </c>
      <c r="I329" s="1" t="s">
        <v>38</v>
      </c>
      <c r="J329" s="1">
        <v>42276.613067129627</v>
      </c>
      <c r="K329" s="1" t="s">
        <v>454</v>
      </c>
      <c r="L329" s="14">
        <f>24*(TblTimeSheet[[#This Row],[End Date and Time]]-TblTimeSheet[[#This Row],[Start Date and Time]])</f>
        <v>2.4999999999417923</v>
      </c>
      <c r="M32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29">
        <f>--(0&gt;(TblTimeSheet[[#This Row],[End Date and Time]]-TblTimeSheet[[#This Row],[Start Date and Time]]))</f>
        <v>0</v>
      </c>
    </row>
    <row r="330" spans="1:14" ht="30" x14ac:dyDescent="0.25">
      <c r="A330" s="1"/>
      <c r="B330" s="2" t="s">
        <v>108</v>
      </c>
      <c r="C330" s="2" t="s">
        <v>116</v>
      </c>
      <c r="D330" s="2" t="s">
        <v>32</v>
      </c>
      <c r="E330" s="7" t="s">
        <v>815</v>
      </c>
      <c r="F330" s="3">
        <v>42275.583333333336</v>
      </c>
      <c r="G330" s="3">
        <v>42275.729166666664</v>
      </c>
      <c r="H330" s="1" t="s">
        <v>6</v>
      </c>
      <c r="I330" s="1" t="s">
        <v>38</v>
      </c>
      <c r="J330" s="1">
        <v>42276.616585648146</v>
      </c>
      <c r="K330" s="1" t="s">
        <v>454</v>
      </c>
      <c r="L330" s="14">
        <f>24*(TblTimeSheet[[#This Row],[End Date and Time]]-TblTimeSheet[[#This Row],[Start Date and Time]])</f>
        <v>3.4999999998835847</v>
      </c>
      <c r="M33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30">
        <f>--(0&gt;(TblTimeSheet[[#This Row],[End Date and Time]]-TblTimeSheet[[#This Row],[Start Date and Time]]))</f>
        <v>0</v>
      </c>
    </row>
    <row r="331" spans="1:14" x14ac:dyDescent="0.25">
      <c r="A331" s="1"/>
      <c r="B331" s="2" t="s">
        <v>108</v>
      </c>
      <c r="C331" s="2" t="s">
        <v>143</v>
      </c>
      <c r="D331" s="2" t="s">
        <v>34</v>
      </c>
      <c r="E331" s="7" t="s">
        <v>748</v>
      </c>
      <c r="F331" s="3">
        <v>42275.583333333336</v>
      </c>
      <c r="G331" s="3">
        <v>42275.729166666664</v>
      </c>
      <c r="H331" s="1" t="s">
        <v>6</v>
      </c>
      <c r="I331" s="1" t="s">
        <v>38</v>
      </c>
      <c r="J331" s="1">
        <v>42276.617245370369</v>
      </c>
      <c r="K331" s="1" t="s">
        <v>143</v>
      </c>
      <c r="L331" s="14">
        <f>24*(TblTimeSheet[[#This Row],[End Date and Time]]-TblTimeSheet[[#This Row],[Start Date and Time]])</f>
        <v>3.4999999998835847</v>
      </c>
      <c r="M33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1">
        <f>--(0&gt;(TblTimeSheet[[#This Row],[End Date and Time]]-TblTimeSheet[[#This Row],[Start Date and Time]]))</f>
        <v>0</v>
      </c>
    </row>
    <row r="332" spans="1:14" x14ac:dyDescent="0.25">
      <c r="A332" s="1"/>
      <c r="B332" s="2" t="s">
        <v>108</v>
      </c>
      <c r="C332" s="2" t="s">
        <v>143</v>
      </c>
      <c r="D332" s="2" t="s">
        <v>34</v>
      </c>
      <c r="E332" s="7" t="s">
        <v>749</v>
      </c>
      <c r="F332" s="3">
        <v>42276.388888888891</v>
      </c>
      <c r="G332" s="3">
        <v>42276.4375</v>
      </c>
      <c r="H332" s="1" t="s">
        <v>6</v>
      </c>
      <c r="I332" s="1" t="s">
        <v>38</v>
      </c>
      <c r="J332" s="1">
        <v>42276.618009259262</v>
      </c>
      <c r="K332" s="1" t="s">
        <v>143</v>
      </c>
      <c r="L332" s="14">
        <f>24*(TblTimeSheet[[#This Row],[End Date and Time]]-TblTimeSheet[[#This Row],[Start Date and Time]])</f>
        <v>1.1666666666278616</v>
      </c>
      <c r="M33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2">
        <f>--(0&gt;(TblTimeSheet[[#This Row],[End Date and Time]]-TblTimeSheet[[#This Row],[Start Date and Time]]))</f>
        <v>0</v>
      </c>
    </row>
    <row r="333" spans="1:14" x14ac:dyDescent="0.25">
      <c r="A333" s="1"/>
      <c r="B333" s="2" t="s">
        <v>108</v>
      </c>
      <c r="C333" s="2" t="s">
        <v>143</v>
      </c>
      <c r="D333" s="2" t="s">
        <v>34</v>
      </c>
      <c r="E333" s="7" t="s">
        <v>750</v>
      </c>
      <c r="F333" s="3">
        <v>42276.458333333336</v>
      </c>
      <c r="G333" s="3">
        <v>42276.520833333336</v>
      </c>
      <c r="H333" s="1" t="s">
        <v>6</v>
      </c>
      <c r="I333" s="1" t="s">
        <v>38</v>
      </c>
      <c r="J333" s="1">
        <v>42276.619571759256</v>
      </c>
      <c r="K333" s="1" t="s">
        <v>143</v>
      </c>
      <c r="L333" s="14">
        <f>24*(TblTimeSheet[[#This Row],[End Date and Time]]-TblTimeSheet[[#This Row],[Start Date and Time]])</f>
        <v>1.5</v>
      </c>
      <c r="M33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3">
        <f>--(0&gt;(TblTimeSheet[[#This Row],[End Date and Time]]-TblTimeSheet[[#This Row],[Start Date and Time]]))</f>
        <v>0</v>
      </c>
    </row>
    <row r="334" spans="1:14" x14ac:dyDescent="0.25">
      <c r="A334" s="1"/>
      <c r="B334" s="2" t="s">
        <v>114</v>
      </c>
      <c r="C334" s="2" t="s">
        <v>171</v>
      </c>
      <c r="D334" s="2" t="s">
        <v>32</v>
      </c>
      <c r="E334" s="7" t="s">
        <v>751</v>
      </c>
      <c r="F334" s="3">
        <v>42275.416666666664</v>
      </c>
      <c r="G334" s="3">
        <v>42275.5</v>
      </c>
      <c r="H334" s="1" t="s">
        <v>6</v>
      </c>
      <c r="I334" s="1" t="s">
        <v>38</v>
      </c>
      <c r="J334" s="1">
        <v>42276.621145833335</v>
      </c>
      <c r="K334" s="1" t="s">
        <v>171</v>
      </c>
      <c r="L334" s="14">
        <f>24*(TblTimeSheet[[#This Row],[End Date and Time]]-TblTimeSheet[[#This Row],[Start Date and Time]])</f>
        <v>2.0000000000582077</v>
      </c>
      <c r="M33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4">
        <f>--(0&gt;(TblTimeSheet[[#This Row],[End Date and Time]]-TblTimeSheet[[#This Row],[Start Date and Time]]))</f>
        <v>0</v>
      </c>
    </row>
    <row r="335" spans="1:14" x14ac:dyDescent="0.25">
      <c r="A335" s="1"/>
      <c r="B335" s="2" t="s">
        <v>114</v>
      </c>
      <c r="C335" s="2" t="s">
        <v>171</v>
      </c>
      <c r="D335" s="2" t="s">
        <v>32</v>
      </c>
      <c r="E335" s="7" t="s">
        <v>752</v>
      </c>
      <c r="F335" s="3">
        <v>42276.416666666664</v>
      </c>
      <c r="G335" s="3">
        <v>42276.520833333336</v>
      </c>
      <c r="H335" s="1" t="s">
        <v>6</v>
      </c>
      <c r="I335" s="1" t="s">
        <v>38</v>
      </c>
      <c r="J335" s="1">
        <v>42276.621712962966</v>
      </c>
      <c r="K335" s="1" t="s">
        <v>171</v>
      </c>
      <c r="L335" s="14">
        <f>24*(TblTimeSheet[[#This Row],[End Date and Time]]-TblTimeSheet[[#This Row],[Start Date and Time]])</f>
        <v>2.5000000001164153</v>
      </c>
      <c r="M33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5">
        <f>--(0&gt;(TblTimeSheet[[#This Row],[End Date and Time]]-TblTimeSheet[[#This Row],[Start Date and Time]]))</f>
        <v>0</v>
      </c>
    </row>
    <row r="336" spans="1:14" x14ac:dyDescent="0.25">
      <c r="A336" s="1"/>
      <c r="B336" s="2" t="s">
        <v>108</v>
      </c>
      <c r="C336" s="2" t="s">
        <v>454</v>
      </c>
      <c r="D336" s="2" t="s">
        <v>33</v>
      </c>
      <c r="E336" s="7" t="s">
        <v>753</v>
      </c>
      <c r="F336" s="3">
        <v>42276.5</v>
      </c>
      <c r="G336" s="3">
        <v>42276.541666666664</v>
      </c>
      <c r="H336" s="1" t="s">
        <v>6</v>
      </c>
      <c r="I336" s="1" t="s">
        <v>38</v>
      </c>
      <c r="J336" s="1">
        <v>42276.631747685184</v>
      </c>
      <c r="K336" s="1" t="s">
        <v>454</v>
      </c>
      <c r="L336" s="14">
        <f>24*(TblTimeSheet[[#This Row],[End Date and Time]]-TblTimeSheet[[#This Row],[Start Date and Time]])</f>
        <v>0.99999999994179234</v>
      </c>
      <c r="M33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6">
        <f>--(0&gt;(TblTimeSheet[[#This Row],[End Date and Time]]-TblTimeSheet[[#This Row],[Start Date and Time]]))</f>
        <v>0</v>
      </c>
    </row>
    <row r="337" spans="1:14" x14ac:dyDescent="0.25">
      <c r="A337" s="1"/>
      <c r="B337" s="2" t="s">
        <v>108</v>
      </c>
      <c r="C337" s="2" t="s">
        <v>454</v>
      </c>
      <c r="D337" s="2" t="s">
        <v>33</v>
      </c>
      <c r="E337" s="7" t="s">
        <v>754</v>
      </c>
      <c r="F337" s="3">
        <v>42276.583333333336</v>
      </c>
      <c r="G337" s="3">
        <v>42276.625</v>
      </c>
      <c r="H337" s="1" t="s">
        <v>6</v>
      </c>
      <c r="I337" s="1" t="s">
        <v>38</v>
      </c>
      <c r="J337" s="1">
        <v>42276.632569444446</v>
      </c>
      <c r="K337" s="1" t="s">
        <v>454</v>
      </c>
      <c r="L337" s="14">
        <f>24*(TblTimeSheet[[#This Row],[End Date and Time]]-TblTimeSheet[[#This Row],[Start Date and Time]])</f>
        <v>0.99999999994179234</v>
      </c>
      <c r="M33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37">
        <f>--(0&gt;(TblTimeSheet[[#This Row],[End Date and Time]]-TblTimeSheet[[#This Row],[Start Date and Time]]))</f>
        <v>0</v>
      </c>
    </row>
    <row r="338" spans="1:14" x14ac:dyDescent="0.25">
      <c r="A338" s="1"/>
      <c r="B338" s="2" t="s">
        <v>108</v>
      </c>
      <c r="C338" s="2" t="s">
        <v>41</v>
      </c>
      <c r="D338" s="2" t="s">
        <v>33</v>
      </c>
      <c r="E338" s="7" t="s">
        <v>755</v>
      </c>
      <c r="F338" s="3">
        <v>42276.458333333336</v>
      </c>
      <c r="G338" s="3">
        <v>42276.541666666664</v>
      </c>
      <c r="H338" s="1" t="s">
        <v>6</v>
      </c>
      <c r="I338" s="1" t="s">
        <v>38</v>
      </c>
      <c r="J338" s="1">
        <v>42276.635787037034</v>
      </c>
      <c r="K338" s="1" t="s">
        <v>41</v>
      </c>
      <c r="L338" s="14">
        <f>24*(TblTimeSheet[[#This Row],[End Date and Time]]-TblTimeSheet[[#This Row],[Start Date and Time]])</f>
        <v>1.9999999998835847</v>
      </c>
      <c r="M33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38">
        <f>--(0&gt;(TblTimeSheet[[#This Row],[End Date and Time]]-TblTimeSheet[[#This Row],[Start Date and Time]]))</f>
        <v>0</v>
      </c>
    </row>
    <row r="339" spans="1:14" x14ac:dyDescent="0.25">
      <c r="A339" s="1"/>
      <c r="B339" s="2" t="s">
        <v>108</v>
      </c>
      <c r="C339" s="2" t="s">
        <v>116</v>
      </c>
      <c r="D339" s="2" t="s">
        <v>32</v>
      </c>
      <c r="E339" s="7" t="s">
        <v>715</v>
      </c>
      <c r="F339" s="3">
        <v>42276.645833333336</v>
      </c>
      <c r="G339" s="3">
        <v>42276.666666666664</v>
      </c>
      <c r="H339" s="1" t="s">
        <v>6</v>
      </c>
      <c r="I339" s="1" t="s">
        <v>38</v>
      </c>
      <c r="J339" s="1">
        <v>42276.687418981484</v>
      </c>
      <c r="K339" s="1" t="s">
        <v>701</v>
      </c>
      <c r="L339" s="14">
        <f>24*(TblTimeSheet[[#This Row],[End Date and Time]]-TblTimeSheet[[#This Row],[Start Date and Time]])</f>
        <v>0.49999999988358468</v>
      </c>
      <c r="M33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39">
        <f>--(0&gt;(TblTimeSheet[[#This Row],[End Date and Time]]-TblTimeSheet[[#This Row],[Start Date and Time]]))</f>
        <v>0</v>
      </c>
    </row>
    <row r="340" spans="1:14" x14ac:dyDescent="0.25">
      <c r="A340" s="1"/>
      <c r="B340" s="2" t="s">
        <v>108</v>
      </c>
      <c r="C340" s="2" t="s">
        <v>116</v>
      </c>
      <c r="D340" s="2" t="s">
        <v>32</v>
      </c>
      <c r="E340" s="7" t="s">
        <v>816</v>
      </c>
      <c r="F340" s="3">
        <v>42276.645833333336</v>
      </c>
      <c r="G340" s="3">
        <v>42276.666666666664</v>
      </c>
      <c r="H340" s="1" t="s">
        <v>6</v>
      </c>
      <c r="I340" s="1" t="s">
        <v>38</v>
      </c>
      <c r="J340" s="1">
        <v>42276.697696759256</v>
      </c>
      <c r="K340" s="1" t="s">
        <v>39</v>
      </c>
      <c r="L340" s="14">
        <f>24*(TblTimeSheet[[#This Row],[End Date and Time]]-TblTimeSheet[[#This Row],[Start Date and Time]])</f>
        <v>0.49999999988358468</v>
      </c>
      <c r="M34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40">
        <f>--(0&gt;(TblTimeSheet[[#This Row],[End Date and Time]]-TblTimeSheet[[#This Row],[Start Date and Time]]))</f>
        <v>0</v>
      </c>
    </row>
    <row r="341" spans="1:14" x14ac:dyDescent="0.25">
      <c r="A341" s="1"/>
      <c r="B341" s="2" t="s">
        <v>108</v>
      </c>
      <c r="C341" s="2" t="s">
        <v>176</v>
      </c>
      <c r="D341" s="2" t="s">
        <v>32</v>
      </c>
      <c r="E341" s="7" t="s">
        <v>449</v>
      </c>
      <c r="F341" s="3">
        <v>42276.645833333336</v>
      </c>
      <c r="G341" s="3">
        <v>42276.666666666664</v>
      </c>
      <c r="H341" s="1" t="s">
        <v>6</v>
      </c>
      <c r="I341" s="1" t="s">
        <v>38</v>
      </c>
      <c r="J341" s="1">
        <v>42276.712280092594</v>
      </c>
      <c r="K341" s="1" t="s">
        <v>176</v>
      </c>
      <c r="L341" s="14">
        <f>24*(TblTimeSheet[[#This Row],[End Date and Time]]-TblTimeSheet[[#This Row],[Start Date and Time]])</f>
        <v>0.49999999988358468</v>
      </c>
      <c r="M34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1">
        <f>--(0&gt;(TblTimeSheet[[#This Row],[End Date and Time]]-TblTimeSheet[[#This Row],[Start Date and Time]]))</f>
        <v>0</v>
      </c>
    </row>
    <row r="342" spans="1:14" x14ac:dyDescent="0.25">
      <c r="A342" s="1"/>
      <c r="B342" s="2" t="s">
        <v>108</v>
      </c>
      <c r="C342" s="2" t="s">
        <v>41</v>
      </c>
      <c r="D342" s="2" t="s">
        <v>32</v>
      </c>
      <c r="E342" s="7" t="s">
        <v>449</v>
      </c>
      <c r="F342" s="3">
        <v>42276.645833333336</v>
      </c>
      <c r="G342" s="3">
        <v>42276.666666666664</v>
      </c>
      <c r="H342" s="1" t="s">
        <v>6</v>
      </c>
      <c r="I342" s="1" t="s">
        <v>38</v>
      </c>
      <c r="J342" s="1">
        <v>42276.719166666669</v>
      </c>
      <c r="K342" s="1" t="s">
        <v>41</v>
      </c>
      <c r="L342" s="14">
        <f>24*(TblTimeSheet[[#This Row],[End Date and Time]]-TblTimeSheet[[#This Row],[Start Date and Time]])</f>
        <v>0.49999999988358468</v>
      </c>
      <c r="M34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42">
        <f>--(0&gt;(TblTimeSheet[[#This Row],[End Date and Time]]-TblTimeSheet[[#This Row],[Start Date and Time]]))</f>
        <v>0</v>
      </c>
    </row>
    <row r="343" spans="1:14" x14ac:dyDescent="0.25">
      <c r="A343" s="1"/>
      <c r="B343" s="2" t="s">
        <v>108</v>
      </c>
      <c r="C343" s="2" t="s">
        <v>454</v>
      </c>
      <c r="D343" s="2" t="s">
        <v>32</v>
      </c>
      <c r="E343" s="7" t="s">
        <v>449</v>
      </c>
      <c r="F343" s="3">
        <v>42276.645833333336</v>
      </c>
      <c r="G343" s="3">
        <v>42276.666666666664</v>
      </c>
      <c r="H343" s="1" t="s">
        <v>6</v>
      </c>
      <c r="I343" s="1" t="s">
        <v>38</v>
      </c>
      <c r="J343" s="1">
        <v>42276.725740740738</v>
      </c>
      <c r="K343" s="1" t="s">
        <v>454</v>
      </c>
      <c r="L343" s="14">
        <f>24*(TblTimeSheet[[#This Row],[End Date and Time]]-TblTimeSheet[[#This Row],[Start Date and Time]])</f>
        <v>0.49999999988358468</v>
      </c>
      <c r="M34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3">
        <f>--(0&gt;(TblTimeSheet[[#This Row],[End Date and Time]]-TblTimeSheet[[#This Row],[Start Date and Time]]))</f>
        <v>0</v>
      </c>
    </row>
    <row r="344" spans="1:14" x14ac:dyDescent="0.25">
      <c r="A344" s="1"/>
      <c r="B344" s="2" t="s">
        <v>108</v>
      </c>
      <c r="C344" s="2" t="s">
        <v>144</v>
      </c>
      <c r="D344" s="2" t="s">
        <v>32</v>
      </c>
      <c r="E344" s="7" t="s">
        <v>449</v>
      </c>
      <c r="F344" s="3">
        <v>42276.645833333336</v>
      </c>
      <c r="G344" s="3">
        <v>42276.666666666664</v>
      </c>
      <c r="H344" s="1" t="s">
        <v>6</v>
      </c>
      <c r="I344" s="1" t="s">
        <v>38</v>
      </c>
      <c r="J344" s="1">
        <v>42276.722280092596</v>
      </c>
      <c r="K344" s="1" t="s">
        <v>144</v>
      </c>
      <c r="L344" s="14">
        <f>24*(TblTimeSheet[[#This Row],[End Date and Time]]-TblTimeSheet[[#This Row],[Start Date and Time]])</f>
        <v>0.49999999988358468</v>
      </c>
      <c r="M34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4">
        <f>--(0&gt;(TblTimeSheet[[#This Row],[End Date and Time]]-TblTimeSheet[[#This Row],[Start Date and Time]]))</f>
        <v>0</v>
      </c>
    </row>
    <row r="345" spans="1:14" x14ac:dyDescent="0.25">
      <c r="A345" s="1"/>
      <c r="B345" s="2" t="s">
        <v>108</v>
      </c>
      <c r="C345" s="2" t="s">
        <v>118</v>
      </c>
      <c r="D345" s="2" t="s">
        <v>32</v>
      </c>
      <c r="E345" s="7" t="s">
        <v>516</v>
      </c>
      <c r="F345" s="3">
        <v>42276.645833333336</v>
      </c>
      <c r="G345" s="3">
        <v>42276.666666666664</v>
      </c>
      <c r="H345" s="1" t="s">
        <v>6</v>
      </c>
      <c r="I345" s="1" t="s">
        <v>38</v>
      </c>
      <c r="J345" s="1">
        <v>42276.729502314818</v>
      </c>
      <c r="K345" s="1" t="s">
        <v>118</v>
      </c>
      <c r="L345" s="14">
        <f>24*(TblTimeSheet[[#This Row],[End Date and Time]]-TblTimeSheet[[#This Row],[Start Date and Time]])</f>
        <v>0.49999999988358468</v>
      </c>
      <c r="M34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5">
        <f>--(0&gt;(TblTimeSheet[[#This Row],[End Date and Time]]-TblTimeSheet[[#This Row],[Start Date and Time]]))</f>
        <v>0</v>
      </c>
    </row>
    <row r="346" spans="1:14" ht="45" x14ac:dyDescent="0.25">
      <c r="A346" s="1"/>
      <c r="B346" s="2" t="s">
        <v>110</v>
      </c>
      <c r="C346" s="2" t="s">
        <v>41</v>
      </c>
      <c r="D346" s="2" t="s">
        <v>32</v>
      </c>
      <c r="E346" s="7" t="s">
        <v>817</v>
      </c>
      <c r="F346" s="3">
        <v>42276.375</v>
      </c>
      <c r="G346" s="3">
        <v>42276.541666666664</v>
      </c>
      <c r="H346" s="1" t="s">
        <v>6</v>
      </c>
      <c r="I346" s="1" t="s">
        <v>38</v>
      </c>
      <c r="J346" s="1">
        <v>42437.494930555556</v>
      </c>
      <c r="K346" s="1" t="s">
        <v>41</v>
      </c>
      <c r="L346" s="14">
        <f>24*(TblTimeSheet[[#This Row],[End Date and Time]]-TblTimeSheet[[#This Row],[Start Date and Time]])</f>
        <v>3.9999999999417923</v>
      </c>
      <c r="M34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46">
        <f>--(0&gt;(TblTimeSheet[[#This Row],[End Date and Time]]-TblTimeSheet[[#This Row],[Start Date and Time]]))</f>
        <v>0</v>
      </c>
    </row>
    <row r="347" spans="1:14" ht="30" x14ac:dyDescent="0.25">
      <c r="A347" s="1"/>
      <c r="B347" s="2" t="s">
        <v>110</v>
      </c>
      <c r="C347" s="2" t="s">
        <v>41</v>
      </c>
      <c r="D347" s="2" t="s">
        <v>32</v>
      </c>
      <c r="E347" s="7" t="s">
        <v>818</v>
      </c>
      <c r="F347" s="3">
        <v>42276.583333333336</v>
      </c>
      <c r="G347" s="3">
        <v>42276.75</v>
      </c>
      <c r="H347" s="1" t="s">
        <v>6</v>
      </c>
      <c r="I347" s="1" t="s">
        <v>38</v>
      </c>
      <c r="J347" s="1">
        <v>42437.495069444441</v>
      </c>
      <c r="K347" s="1" t="s">
        <v>41</v>
      </c>
      <c r="L347" s="14">
        <f>24*(TblTimeSheet[[#This Row],[End Date and Time]]-TblTimeSheet[[#This Row],[Start Date and Time]])</f>
        <v>3.9999999999417923</v>
      </c>
      <c r="M34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7">
        <f>--(0&gt;(TblTimeSheet[[#This Row],[End Date and Time]]-TblTimeSheet[[#This Row],[Start Date and Time]]))</f>
        <v>0</v>
      </c>
    </row>
    <row r="348" spans="1:14" x14ac:dyDescent="0.25">
      <c r="A348" s="1"/>
      <c r="B348" s="2" t="s">
        <v>114</v>
      </c>
      <c r="C348" s="2" t="s">
        <v>116</v>
      </c>
      <c r="D348" s="2" t="s">
        <v>32</v>
      </c>
      <c r="E348" s="7" t="s">
        <v>757</v>
      </c>
      <c r="F348" s="3">
        <v>42276.625</v>
      </c>
      <c r="G348" s="3">
        <v>42276.666666666664</v>
      </c>
      <c r="H348" s="1" t="s">
        <v>6</v>
      </c>
      <c r="I348" s="1" t="s">
        <v>38</v>
      </c>
      <c r="J348" s="1">
        <v>42277.405150462961</v>
      </c>
      <c r="K348" s="1" t="s">
        <v>166</v>
      </c>
      <c r="L348" s="14">
        <f>24*(TblTimeSheet[[#This Row],[End Date and Time]]-TblTimeSheet[[#This Row],[Start Date and Time]])</f>
        <v>0.99999999994179234</v>
      </c>
      <c r="M34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48">
        <f>--(0&gt;(TblTimeSheet[[#This Row],[End Date and Time]]-TblTimeSheet[[#This Row],[Start Date and Time]]))</f>
        <v>0</v>
      </c>
    </row>
    <row r="349" spans="1:14" x14ac:dyDescent="0.25">
      <c r="A349" s="1"/>
      <c r="B349" s="2" t="s">
        <v>108</v>
      </c>
      <c r="C349" s="2" t="s">
        <v>144</v>
      </c>
      <c r="D349" s="2" t="s">
        <v>34</v>
      </c>
      <c r="E349" s="7" t="s">
        <v>758</v>
      </c>
      <c r="F349" s="3">
        <v>42277.395833333336</v>
      </c>
      <c r="G349" s="3">
        <v>42277.416666666664</v>
      </c>
      <c r="H349" s="1" t="s">
        <v>6</v>
      </c>
      <c r="I349" s="1" t="s">
        <v>38</v>
      </c>
      <c r="J349" s="1">
        <v>42283.384305555555</v>
      </c>
      <c r="K349" s="1" t="s">
        <v>144</v>
      </c>
      <c r="L349" s="14">
        <f>24*(TblTimeSheet[[#This Row],[End Date and Time]]-TblTimeSheet[[#This Row],[Start Date and Time]])</f>
        <v>0.49999999988358468</v>
      </c>
      <c r="M34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49">
        <f>--(0&gt;(TblTimeSheet[[#This Row],[End Date and Time]]-TblTimeSheet[[#This Row],[Start Date and Time]]))</f>
        <v>0</v>
      </c>
    </row>
    <row r="350" spans="1:14" x14ac:dyDescent="0.25">
      <c r="A350" s="1"/>
      <c r="B350" s="2" t="s">
        <v>108</v>
      </c>
      <c r="C350" s="2" t="s">
        <v>42</v>
      </c>
      <c r="D350" s="2" t="s">
        <v>32</v>
      </c>
      <c r="E350" s="7" t="s">
        <v>516</v>
      </c>
      <c r="F350" s="3">
        <v>42276.645833333336</v>
      </c>
      <c r="G350" s="3">
        <v>42276.666666666664</v>
      </c>
      <c r="H350" s="1" t="s">
        <v>6</v>
      </c>
      <c r="I350" s="1" t="s">
        <v>38</v>
      </c>
      <c r="J350" s="1">
        <v>42277.427037037036</v>
      </c>
      <c r="K350" s="1" t="s">
        <v>42</v>
      </c>
      <c r="L350" s="14">
        <f>24*(TblTimeSheet[[#This Row],[End Date and Time]]-TblTimeSheet[[#This Row],[Start Date and Time]])</f>
        <v>0.49999999988358468</v>
      </c>
      <c r="M35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0">
        <f>--(0&gt;(TblTimeSheet[[#This Row],[End Date and Time]]-TblTimeSheet[[#This Row],[Start Date and Time]]))</f>
        <v>0</v>
      </c>
    </row>
    <row r="351" spans="1:14" x14ac:dyDescent="0.25">
      <c r="A351" s="1"/>
      <c r="B351" s="2" t="s">
        <v>108</v>
      </c>
      <c r="C351" s="2" t="s">
        <v>116</v>
      </c>
      <c r="D351" s="2" t="s">
        <v>32</v>
      </c>
      <c r="E351" s="7" t="s">
        <v>819</v>
      </c>
      <c r="F351" s="3">
        <v>42277.666666666664</v>
      </c>
      <c r="G351" s="3">
        <v>42277.708333333336</v>
      </c>
      <c r="H351" s="1" t="s">
        <v>6</v>
      </c>
      <c r="I351" s="1" t="s">
        <v>38</v>
      </c>
      <c r="J351" s="1">
        <v>42278.473564814813</v>
      </c>
      <c r="K351" s="1" t="s">
        <v>81</v>
      </c>
      <c r="L351" s="14">
        <f>24*(TblTimeSheet[[#This Row],[End Date and Time]]-TblTimeSheet[[#This Row],[Start Date and Time]])</f>
        <v>1.0000000001164153</v>
      </c>
      <c r="M35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51">
        <f>--(0&gt;(TblTimeSheet[[#This Row],[End Date and Time]]-TblTimeSheet[[#This Row],[Start Date and Time]]))</f>
        <v>0</v>
      </c>
    </row>
    <row r="352" spans="1:14" x14ac:dyDescent="0.25">
      <c r="A352" s="1"/>
      <c r="B352" s="2" t="s">
        <v>108</v>
      </c>
      <c r="C352" s="2" t="s">
        <v>116</v>
      </c>
      <c r="D352" s="2" t="s">
        <v>32</v>
      </c>
      <c r="E352" s="7" t="s">
        <v>819</v>
      </c>
      <c r="F352" s="3">
        <v>42278.420138888891</v>
      </c>
      <c r="G352" s="3">
        <v>42278.458333333336</v>
      </c>
      <c r="H352" s="1" t="s">
        <v>6</v>
      </c>
      <c r="I352" s="1" t="s">
        <v>38</v>
      </c>
      <c r="J352" s="1">
        <v>42278.475173611114</v>
      </c>
      <c r="K352" s="1" t="s">
        <v>81</v>
      </c>
      <c r="L352" s="14">
        <f>24*(TblTimeSheet[[#This Row],[End Date and Time]]-TblTimeSheet[[#This Row],[Start Date and Time]])</f>
        <v>0.91666666668606922</v>
      </c>
      <c r="M35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52">
        <f>--(0&gt;(TblTimeSheet[[#This Row],[End Date and Time]]-TblTimeSheet[[#This Row],[Start Date and Time]]))</f>
        <v>0</v>
      </c>
    </row>
    <row r="353" spans="1:14" x14ac:dyDescent="0.25">
      <c r="A353" s="1"/>
      <c r="B353" s="2" t="s">
        <v>110</v>
      </c>
      <c r="C353" s="2" t="s">
        <v>116</v>
      </c>
      <c r="D353" s="2" t="s">
        <v>32</v>
      </c>
      <c r="E353" s="7" t="s">
        <v>449</v>
      </c>
      <c r="F353" s="3">
        <v>42278.395833333336</v>
      </c>
      <c r="G353" s="3">
        <v>42278.416666666664</v>
      </c>
      <c r="H353" s="1" t="s">
        <v>6</v>
      </c>
      <c r="I353" s="1" t="s">
        <v>38</v>
      </c>
      <c r="J353" s="1">
        <v>42278.47556712963</v>
      </c>
      <c r="K353" s="1" t="s">
        <v>81</v>
      </c>
      <c r="L353" s="14">
        <f>24*(TblTimeSheet[[#This Row],[End Date and Time]]-TblTimeSheet[[#This Row],[Start Date and Time]])</f>
        <v>0.49999999988358468</v>
      </c>
      <c r="M35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53">
        <f>--(0&gt;(TblTimeSheet[[#This Row],[End Date and Time]]-TblTimeSheet[[#This Row],[Start Date and Time]]))</f>
        <v>0</v>
      </c>
    </row>
    <row r="354" spans="1:14" ht="45" x14ac:dyDescent="0.25">
      <c r="A354" s="1"/>
      <c r="B354" s="2" t="s">
        <v>110</v>
      </c>
      <c r="C354" s="2" t="s">
        <v>41</v>
      </c>
      <c r="D354" s="2" t="s">
        <v>32</v>
      </c>
      <c r="E354" s="7" t="s">
        <v>820</v>
      </c>
      <c r="F354" s="3">
        <v>42278.395833333336</v>
      </c>
      <c r="G354" s="3">
        <v>42278.416666666664</v>
      </c>
      <c r="H354" s="1" t="s">
        <v>6</v>
      </c>
      <c r="I354" s="1" t="s">
        <v>38</v>
      </c>
      <c r="J354" s="1">
        <v>42278.639664351853</v>
      </c>
      <c r="K354" s="1" t="s">
        <v>41</v>
      </c>
      <c r="L354" s="14">
        <f>24*(TblTimeSheet[[#This Row],[End Date and Time]]-TblTimeSheet[[#This Row],[Start Date and Time]])</f>
        <v>0.49999999988358468</v>
      </c>
      <c r="M35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54">
        <f>--(0&gt;(TblTimeSheet[[#This Row],[End Date and Time]]-TblTimeSheet[[#This Row],[Start Date and Time]]))</f>
        <v>0</v>
      </c>
    </row>
    <row r="355" spans="1:14" x14ac:dyDescent="0.25">
      <c r="A355" s="1"/>
      <c r="B355" s="2" t="s">
        <v>110</v>
      </c>
      <c r="C355" s="2" t="s">
        <v>143</v>
      </c>
      <c r="D355" s="2" t="s">
        <v>32</v>
      </c>
      <c r="E355" s="7" t="s">
        <v>821</v>
      </c>
      <c r="F355" s="3">
        <v>42278.395833333336</v>
      </c>
      <c r="G355" s="3">
        <v>42278.416666666664</v>
      </c>
      <c r="H355" s="1" t="s">
        <v>6</v>
      </c>
      <c r="I355" s="1" t="s">
        <v>38</v>
      </c>
      <c r="J355" s="1">
        <v>42278.513935185183</v>
      </c>
      <c r="K355" s="1" t="s">
        <v>143</v>
      </c>
      <c r="L355" s="14">
        <f>24*(TblTimeSheet[[#This Row],[End Date and Time]]-TblTimeSheet[[#This Row],[Start Date and Time]])</f>
        <v>0.49999999988358468</v>
      </c>
      <c r="M35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5">
        <f>--(0&gt;(TblTimeSheet[[#This Row],[End Date and Time]]-TblTimeSheet[[#This Row],[Start Date and Time]]))</f>
        <v>0</v>
      </c>
    </row>
    <row r="356" spans="1:14" x14ac:dyDescent="0.25">
      <c r="A356" s="1"/>
      <c r="B356" s="2" t="s">
        <v>108</v>
      </c>
      <c r="C356" s="2" t="s">
        <v>143</v>
      </c>
      <c r="D356" s="2" t="s">
        <v>32</v>
      </c>
      <c r="E356" s="7" t="s">
        <v>456</v>
      </c>
      <c r="F356" s="3">
        <v>42256.479166666664</v>
      </c>
      <c r="G356" s="3">
        <v>42256.493055555555</v>
      </c>
      <c r="H356" s="1" t="s">
        <v>6</v>
      </c>
      <c r="I356" s="1" t="s">
        <v>38</v>
      </c>
      <c r="J356" s="1">
        <v>42278.521585648145</v>
      </c>
      <c r="K356" s="1" t="s">
        <v>143</v>
      </c>
      <c r="L356" s="14">
        <f>24*(TblTimeSheet[[#This Row],[End Date and Time]]-TblTimeSheet[[#This Row],[Start Date and Time]])</f>
        <v>0.33333333337213844</v>
      </c>
      <c r="M35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6">
        <f>--(0&gt;(TblTimeSheet[[#This Row],[End Date and Time]]-TblTimeSheet[[#This Row],[Start Date and Time]]))</f>
        <v>0</v>
      </c>
    </row>
    <row r="357" spans="1:14" x14ac:dyDescent="0.25">
      <c r="A357" s="1"/>
      <c r="B357" s="2" t="s">
        <v>108</v>
      </c>
      <c r="C357" s="2" t="s">
        <v>176</v>
      </c>
      <c r="D357" s="2" t="s">
        <v>32</v>
      </c>
      <c r="E357" s="7" t="s">
        <v>456</v>
      </c>
      <c r="F357" s="3">
        <v>42265.506944444445</v>
      </c>
      <c r="G357" s="3">
        <v>42265.517361111109</v>
      </c>
      <c r="H357" s="1" t="s">
        <v>6</v>
      </c>
      <c r="I357" s="1" t="s">
        <v>38</v>
      </c>
      <c r="J357" s="1">
        <v>42278.523206018515</v>
      </c>
      <c r="K357" s="1" t="s">
        <v>176</v>
      </c>
      <c r="L357" s="14">
        <f>24*(TblTimeSheet[[#This Row],[End Date and Time]]-TblTimeSheet[[#This Row],[Start Date and Time]])</f>
        <v>0.24999999994179234</v>
      </c>
      <c r="M35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7">
        <f>--(0&gt;(TblTimeSheet[[#This Row],[End Date and Time]]-TblTimeSheet[[#This Row],[Start Date and Time]]))</f>
        <v>0</v>
      </c>
    </row>
    <row r="358" spans="1:14" x14ac:dyDescent="0.25">
      <c r="A358" s="1"/>
      <c r="B358" s="2" t="s">
        <v>108</v>
      </c>
      <c r="C358" s="2" t="s">
        <v>116</v>
      </c>
      <c r="D358" s="2" t="s">
        <v>33</v>
      </c>
      <c r="E358" s="7" t="s">
        <v>759</v>
      </c>
      <c r="F358" s="3">
        <v>42277.416666666664</v>
      </c>
      <c r="G358" s="3">
        <v>42277.458333333336</v>
      </c>
      <c r="H358" s="1" t="s">
        <v>6</v>
      </c>
      <c r="I358" s="1" t="s">
        <v>38</v>
      </c>
      <c r="J358" s="1">
        <v>42278.611597222225</v>
      </c>
      <c r="K358" s="1" t="s">
        <v>39</v>
      </c>
      <c r="L358" s="14">
        <f>24*(TblTimeSheet[[#This Row],[End Date and Time]]-TblTimeSheet[[#This Row],[Start Date and Time]])</f>
        <v>1.0000000001164153</v>
      </c>
      <c r="M35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58">
        <f>--(0&gt;(TblTimeSheet[[#This Row],[End Date and Time]]-TblTimeSheet[[#This Row],[Start Date and Time]]))</f>
        <v>0</v>
      </c>
    </row>
    <row r="359" spans="1:14" x14ac:dyDescent="0.25">
      <c r="A359" s="1"/>
      <c r="B359" s="2" t="s">
        <v>110</v>
      </c>
      <c r="C359" s="2" t="s">
        <v>41</v>
      </c>
      <c r="D359" s="2" t="s">
        <v>32</v>
      </c>
      <c r="E359" s="7" t="s">
        <v>822</v>
      </c>
      <c r="F359" s="3">
        <v>42276.375</v>
      </c>
      <c r="G359" s="3">
        <v>42276.5625</v>
      </c>
      <c r="H359" s="1" t="s">
        <v>6</v>
      </c>
      <c r="I359" s="1" t="s">
        <v>38</v>
      </c>
      <c r="J359" s="1">
        <v>42437.495173611111</v>
      </c>
      <c r="K359" s="1" t="s">
        <v>41</v>
      </c>
      <c r="L359" s="14">
        <f>24*(TblTimeSheet[[#This Row],[End Date and Time]]-TblTimeSheet[[#This Row],[Start Date and Time]])</f>
        <v>4.5</v>
      </c>
      <c r="M35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59">
        <f>--(0&gt;(TblTimeSheet[[#This Row],[End Date and Time]]-TblTimeSheet[[#This Row],[Start Date and Time]]))</f>
        <v>0</v>
      </c>
    </row>
    <row r="360" spans="1:14" x14ac:dyDescent="0.25">
      <c r="A360" s="1"/>
      <c r="B360" s="2" t="s">
        <v>110</v>
      </c>
      <c r="C360" s="2" t="s">
        <v>41</v>
      </c>
      <c r="D360" s="2" t="s">
        <v>32</v>
      </c>
      <c r="E360" s="7" t="s">
        <v>823</v>
      </c>
      <c r="F360" s="3">
        <v>42277.375</v>
      </c>
      <c r="G360" s="3">
        <v>42277.583333333336</v>
      </c>
      <c r="H360" s="1" t="s">
        <v>6</v>
      </c>
      <c r="I360" s="1" t="s">
        <v>38</v>
      </c>
      <c r="J360" s="1">
        <v>42437.49527777778</v>
      </c>
      <c r="K360" s="1" t="s">
        <v>41</v>
      </c>
      <c r="L360" s="14">
        <f>24*(TblTimeSheet[[#This Row],[End Date and Time]]-TblTimeSheet[[#This Row],[Start Date and Time]])</f>
        <v>5.0000000000582077</v>
      </c>
      <c r="M36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0">
        <f>--(0&gt;(TblTimeSheet[[#This Row],[End Date and Time]]-TblTimeSheet[[#This Row],[Start Date and Time]]))</f>
        <v>0</v>
      </c>
    </row>
    <row r="361" spans="1:14" x14ac:dyDescent="0.25">
      <c r="A361" s="1"/>
      <c r="B361" s="2" t="s">
        <v>108</v>
      </c>
      <c r="C361" s="2" t="s">
        <v>116</v>
      </c>
      <c r="D361" s="2" t="s">
        <v>32</v>
      </c>
      <c r="E361" s="7" t="s">
        <v>760</v>
      </c>
      <c r="F361" s="3">
        <v>42277.666666666664</v>
      </c>
      <c r="G361" s="3">
        <v>42277.708333333336</v>
      </c>
      <c r="H361" s="1" t="s">
        <v>6</v>
      </c>
      <c r="I361" s="1" t="s">
        <v>38</v>
      </c>
      <c r="J361" s="1">
        <v>42278.625636574077</v>
      </c>
      <c r="K361" s="1" t="s">
        <v>701</v>
      </c>
      <c r="L361" s="14">
        <f>24*(TblTimeSheet[[#This Row],[End Date and Time]]-TblTimeSheet[[#This Row],[Start Date and Time]])</f>
        <v>1.0000000001164153</v>
      </c>
      <c r="M36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1">
        <f>--(0&gt;(TblTimeSheet[[#This Row],[End Date and Time]]-TblTimeSheet[[#This Row],[Start Date and Time]]))</f>
        <v>0</v>
      </c>
    </row>
    <row r="362" spans="1:14" x14ac:dyDescent="0.25">
      <c r="A362" s="1"/>
      <c r="B362" s="2" t="s">
        <v>108</v>
      </c>
      <c r="C362" s="2" t="s">
        <v>116</v>
      </c>
      <c r="D362" s="2" t="s">
        <v>32</v>
      </c>
      <c r="E362" s="7" t="s">
        <v>761</v>
      </c>
      <c r="F362" s="3">
        <v>42278.420138888891</v>
      </c>
      <c r="G362" s="3">
        <v>42278.458333333336</v>
      </c>
      <c r="H362" s="1" t="s">
        <v>6</v>
      </c>
      <c r="I362" s="1" t="s">
        <v>38</v>
      </c>
      <c r="J362" s="1">
        <v>42278.625983796293</v>
      </c>
      <c r="K362" s="1" t="s">
        <v>701</v>
      </c>
      <c r="L362" s="14">
        <f>24*(TblTimeSheet[[#This Row],[End Date and Time]]-TblTimeSheet[[#This Row],[Start Date and Time]])</f>
        <v>0.91666666668606922</v>
      </c>
      <c r="M36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2">
        <f>--(0&gt;(TblTimeSheet[[#This Row],[End Date and Time]]-TblTimeSheet[[#This Row],[Start Date and Time]]))</f>
        <v>0</v>
      </c>
    </row>
    <row r="363" spans="1:14" x14ac:dyDescent="0.25">
      <c r="A363" s="1"/>
      <c r="B363" s="2" t="s">
        <v>108</v>
      </c>
      <c r="C363" s="2" t="s">
        <v>116</v>
      </c>
      <c r="D363" s="2" t="s">
        <v>32</v>
      </c>
      <c r="E363" s="7" t="s">
        <v>196</v>
      </c>
      <c r="F363" s="3">
        <v>42278.479166666664</v>
      </c>
      <c r="G363" s="3">
        <v>42278.552083333336</v>
      </c>
      <c r="H363" s="1" t="s">
        <v>6</v>
      </c>
      <c r="I363" s="1" t="s">
        <v>38</v>
      </c>
      <c r="J363" s="1">
        <v>42278.627199074072</v>
      </c>
      <c r="K363" s="1" t="s">
        <v>701</v>
      </c>
      <c r="L363" s="14">
        <f>24*(TblTimeSheet[[#This Row],[End Date and Time]]-TblTimeSheet[[#This Row],[Start Date and Time]])</f>
        <v>1.7500000001164153</v>
      </c>
      <c r="M36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3">
        <f>--(0&gt;(TblTimeSheet[[#This Row],[End Date and Time]]-TblTimeSheet[[#This Row],[Start Date and Time]]))</f>
        <v>0</v>
      </c>
    </row>
    <row r="364" spans="1:14" x14ac:dyDescent="0.25">
      <c r="A364" s="1"/>
      <c r="B364" s="2" t="s">
        <v>108</v>
      </c>
      <c r="C364" s="2" t="s">
        <v>116</v>
      </c>
      <c r="D364" s="2" t="s">
        <v>32</v>
      </c>
      <c r="E364" s="7" t="s">
        <v>196</v>
      </c>
      <c r="F364" s="3">
        <v>42278.583333333336</v>
      </c>
      <c r="G364" s="3">
        <v>42278.625</v>
      </c>
      <c r="H364" s="1" t="s">
        <v>6</v>
      </c>
      <c r="I364" s="1" t="s">
        <v>38</v>
      </c>
      <c r="J364" s="1">
        <v>42278.627592592595</v>
      </c>
      <c r="K364" s="1" t="s">
        <v>701</v>
      </c>
      <c r="L364" s="14">
        <f>24*(TblTimeSheet[[#This Row],[End Date and Time]]-TblTimeSheet[[#This Row],[Start Date and Time]])</f>
        <v>0.99999999994179234</v>
      </c>
      <c r="M36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4">
        <f>--(0&gt;(TblTimeSheet[[#This Row],[End Date and Time]]-TblTimeSheet[[#This Row],[Start Date and Time]]))</f>
        <v>0</v>
      </c>
    </row>
    <row r="365" spans="1:14" x14ac:dyDescent="0.25">
      <c r="A365" s="1"/>
      <c r="B365" s="2" t="s">
        <v>108</v>
      </c>
      <c r="C365" s="2" t="s">
        <v>41</v>
      </c>
      <c r="D365" s="2" t="s">
        <v>33</v>
      </c>
      <c r="E365" s="7" t="s">
        <v>762</v>
      </c>
      <c r="F365" s="3">
        <v>42278.375</v>
      </c>
      <c r="G365" s="3">
        <v>42278.416666666664</v>
      </c>
      <c r="H365" s="1" t="s">
        <v>6</v>
      </c>
      <c r="I365" s="1" t="s">
        <v>38</v>
      </c>
      <c r="J365" s="1">
        <v>42278.629224537035</v>
      </c>
      <c r="K365" s="1" t="s">
        <v>41</v>
      </c>
      <c r="L365" s="14">
        <f>24*(TblTimeSheet[[#This Row],[End Date and Time]]-TblTimeSheet[[#This Row],[Start Date and Time]])</f>
        <v>0.99999999994179234</v>
      </c>
      <c r="M36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5">
        <f>--(0&gt;(TblTimeSheet[[#This Row],[End Date and Time]]-TblTimeSheet[[#This Row],[Start Date and Time]]))</f>
        <v>0</v>
      </c>
    </row>
    <row r="366" spans="1:14" x14ac:dyDescent="0.25">
      <c r="A366" s="1"/>
      <c r="B366" s="2" t="s">
        <v>108</v>
      </c>
      <c r="C366" s="2" t="s">
        <v>41</v>
      </c>
      <c r="D366" s="2" t="s">
        <v>33</v>
      </c>
      <c r="E366" s="7" t="s">
        <v>763</v>
      </c>
      <c r="F366" s="3">
        <v>42277.375</v>
      </c>
      <c r="G366" s="3">
        <v>42277.395833333336</v>
      </c>
      <c r="H366" s="1" t="s">
        <v>6</v>
      </c>
      <c r="I366" s="1" t="s">
        <v>38</v>
      </c>
      <c r="J366" s="1">
        <v>42278.629745370374</v>
      </c>
      <c r="K366" s="1" t="s">
        <v>41</v>
      </c>
      <c r="L366" s="14">
        <f>24*(TblTimeSheet[[#This Row],[End Date and Time]]-TblTimeSheet[[#This Row],[Start Date and Time]])</f>
        <v>0.50000000005820766</v>
      </c>
      <c r="M36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6">
        <f>--(0&gt;(TblTimeSheet[[#This Row],[End Date and Time]]-TblTimeSheet[[#This Row],[Start Date and Time]]))</f>
        <v>0</v>
      </c>
    </row>
    <row r="367" spans="1:14" x14ac:dyDescent="0.25">
      <c r="A367" s="1"/>
      <c r="B367" s="2" t="s">
        <v>110</v>
      </c>
      <c r="C367" s="2" t="s">
        <v>118</v>
      </c>
      <c r="D367" s="2" t="s">
        <v>32</v>
      </c>
      <c r="E367" s="7" t="s">
        <v>764</v>
      </c>
      <c r="F367" s="3">
        <v>42278.416666666664</v>
      </c>
      <c r="G367" s="3">
        <v>42278.541666666664</v>
      </c>
      <c r="H367" s="1" t="s">
        <v>6</v>
      </c>
      <c r="I367" s="1" t="s">
        <v>38</v>
      </c>
      <c r="J367" s="1">
        <v>42278.638020833336</v>
      </c>
      <c r="K367" s="1" t="s">
        <v>118</v>
      </c>
      <c r="L367" s="14">
        <f>24*(TblTimeSheet[[#This Row],[End Date and Time]]-TblTimeSheet[[#This Row],[Start Date and Time]])</f>
        <v>3</v>
      </c>
      <c r="M36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67">
        <f>--(0&gt;(TblTimeSheet[[#This Row],[End Date and Time]]-TblTimeSheet[[#This Row],[Start Date and Time]]))</f>
        <v>0</v>
      </c>
    </row>
    <row r="368" spans="1:14" x14ac:dyDescent="0.25">
      <c r="A368" s="1"/>
      <c r="B368" s="2" t="s">
        <v>110</v>
      </c>
      <c r="C368" s="2" t="s">
        <v>116</v>
      </c>
      <c r="D368" s="2" t="s">
        <v>32</v>
      </c>
      <c r="E368" s="7" t="s">
        <v>456</v>
      </c>
      <c r="F368" s="3">
        <v>42278.395833333336</v>
      </c>
      <c r="G368" s="3">
        <v>42278.416666666664</v>
      </c>
      <c r="H368" s="1" t="s">
        <v>6</v>
      </c>
      <c r="I368" s="1" t="s">
        <v>38</v>
      </c>
      <c r="J368" s="1">
        <v>42278.63890046296</v>
      </c>
      <c r="K368" s="1" t="s">
        <v>701</v>
      </c>
      <c r="L368" s="14">
        <f>24*(TblTimeSheet[[#This Row],[End Date and Time]]-TblTimeSheet[[#This Row],[Start Date and Time]])</f>
        <v>0.49999999988358468</v>
      </c>
      <c r="M36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68">
        <f>--(0&gt;(TblTimeSheet[[#This Row],[End Date and Time]]-TblTimeSheet[[#This Row],[Start Date and Time]]))</f>
        <v>0</v>
      </c>
    </row>
    <row r="369" spans="1:14" x14ac:dyDescent="0.25">
      <c r="A369" s="1"/>
      <c r="B369" s="2" t="s">
        <v>108</v>
      </c>
      <c r="C369" s="2" t="s">
        <v>454</v>
      </c>
      <c r="D369" s="2" t="s">
        <v>33</v>
      </c>
      <c r="E369" s="7" t="s">
        <v>765</v>
      </c>
      <c r="F369" s="3">
        <v>42277.375</v>
      </c>
      <c r="G369" s="3">
        <v>42277.479166666664</v>
      </c>
      <c r="H369" s="1" t="s">
        <v>6</v>
      </c>
      <c r="I369" s="1" t="s">
        <v>38</v>
      </c>
      <c r="J369" s="1">
        <v>42278.696516203701</v>
      </c>
      <c r="K369" s="1" t="s">
        <v>454</v>
      </c>
      <c r="L369" s="14">
        <f>24*(TblTimeSheet[[#This Row],[End Date and Time]]-TblTimeSheet[[#This Row],[Start Date and Time]])</f>
        <v>2.4999999999417923</v>
      </c>
      <c r="M36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69">
        <f>--(0&gt;(TblTimeSheet[[#This Row],[End Date and Time]]-TblTimeSheet[[#This Row],[Start Date and Time]]))</f>
        <v>0</v>
      </c>
    </row>
    <row r="370" spans="1:14" x14ac:dyDescent="0.25">
      <c r="A370" s="1"/>
      <c r="B370" s="2" t="s">
        <v>108</v>
      </c>
      <c r="C370" s="2" t="s">
        <v>454</v>
      </c>
      <c r="D370" s="2" t="s">
        <v>33</v>
      </c>
      <c r="E370" s="7" t="s">
        <v>766</v>
      </c>
      <c r="F370" s="3">
        <v>42278.416666666664</v>
      </c>
      <c r="G370" s="3">
        <v>42278.541666666664</v>
      </c>
      <c r="H370" s="1" t="s">
        <v>6</v>
      </c>
      <c r="I370" s="1" t="s">
        <v>38</v>
      </c>
      <c r="J370" s="1">
        <v>42278.697233796294</v>
      </c>
      <c r="K370" s="1" t="s">
        <v>454</v>
      </c>
      <c r="L370" s="14">
        <f>24*(TblTimeSheet[[#This Row],[End Date and Time]]-TblTimeSheet[[#This Row],[Start Date and Time]])</f>
        <v>3</v>
      </c>
      <c r="M37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0">
        <f>--(0&gt;(TblTimeSheet[[#This Row],[End Date and Time]]-TblTimeSheet[[#This Row],[Start Date and Time]]))</f>
        <v>0</v>
      </c>
    </row>
    <row r="371" spans="1:14" x14ac:dyDescent="0.25">
      <c r="A371" s="1"/>
      <c r="B371" s="2" t="s">
        <v>108</v>
      </c>
      <c r="C371" s="2" t="s">
        <v>118</v>
      </c>
      <c r="D371" s="2" t="s">
        <v>33</v>
      </c>
      <c r="E371" s="7" t="s">
        <v>767</v>
      </c>
      <c r="F371" s="3">
        <v>42277.375</v>
      </c>
      <c r="G371" s="3">
        <v>42277.479166666664</v>
      </c>
      <c r="H371" s="1" t="s">
        <v>6</v>
      </c>
      <c r="I371" s="1" t="s">
        <v>38</v>
      </c>
      <c r="J371" s="1">
        <v>42278.697384259256</v>
      </c>
      <c r="K371" s="1" t="s">
        <v>118</v>
      </c>
      <c r="L371" s="14">
        <f>24*(TblTimeSheet[[#This Row],[End Date and Time]]-TblTimeSheet[[#This Row],[Start Date and Time]])</f>
        <v>2.4999999999417923</v>
      </c>
      <c r="M37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1">
        <f>--(0&gt;(TblTimeSheet[[#This Row],[End Date and Time]]-TblTimeSheet[[#This Row],[Start Date and Time]]))</f>
        <v>0</v>
      </c>
    </row>
    <row r="372" spans="1:14" x14ac:dyDescent="0.25">
      <c r="A372" s="1"/>
      <c r="B372" s="2" t="s">
        <v>108</v>
      </c>
      <c r="C372" s="2" t="s">
        <v>143</v>
      </c>
      <c r="D372" s="2" t="s">
        <v>32</v>
      </c>
      <c r="E372" s="7" t="s">
        <v>516</v>
      </c>
      <c r="F372" s="3">
        <v>42277.395833333336</v>
      </c>
      <c r="G372" s="3">
        <v>42277.416666666664</v>
      </c>
      <c r="H372" s="1" t="s">
        <v>6</v>
      </c>
      <c r="I372" s="1" t="s">
        <v>38</v>
      </c>
      <c r="J372" s="1">
        <v>42278.727511574078</v>
      </c>
      <c r="K372" s="1" t="s">
        <v>143</v>
      </c>
      <c r="L372" s="14">
        <f>24*(TblTimeSheet[[#This Row],[End Date and Time]]-TblTimeSheet[[#This Row],[Start Date and Time]])</f>
        <v>0.49999999988358468</v>
      </c>
      <c r="M37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2">
        <f>--(0&gt;(TblTimeSheet[[#This Row],[End Date and Time]]-TblTimeSheet[[#This Row],[Start Date and Time]]))</f>
        <v>0</v>
      </c>
    </row>
    <row r="373" spans="1:14" x14ac:dyDescent="0.25">
      <c r="A373" s="1"/>
      <c r="B373" s="2" t="s">
        <v>108</v>
      </c>
      <c r="C373" s="2" t="s">
        <v>454</v>
      </c>
      <c r="D373" s="2" t="s">
        <v>33</v>
      </c>
      <c r="E373" s="7" t="s">
        <v>768</v>
      </c>
      <c r="F373" s="3">
        <v>42278.583333333336</v>
      </c>
      <c r="G373" s="3">
        <v>42278.71875</v>
      </c>
      <c r="H373" s="1" t="s">
        <v>6</v>
      </c>
      <c r="I373" s="1" t="s">
        <v>38</v>
      </c>
      <c r="J373" s="1">
        <v>42278.729351851849</v>
      </c>
      <c r="K373" s="1" t="s">
        <v>454</v>
      </c>
      <c r="L373" s="14">
        <f>24*(TblTimeSheet[[#This Row],[End Date and Time]]-TblTimeSheet[[#This Row],[Start Date and Time]])</f>
        <v>3.2499999999417923</v>
      </c>
      <c r="M37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3">
        <f>--(0&gt;(TblTimeSheet[[#This Row],[End Date and Time]]-TblTimeSheet[[#This Row],[Start Date and Time]]))</f>
        <v>0</v>
      </c>
    </row>
    <row r="374" spans="1:14" x14ac:dyDescent="0.25">
      <c r="A374" s="1"/>
      <c r="B374" s="2" t="s">
        <v>108</v>
      </c>
      <c r="C374" s="2" t="s">
        <v>41</v>
      </c>
      <c r="D374" s="2" t="s">
        <v>33</v>
      </c>
      <c r="E374" s="7" t="s">
        <v>769</v>
      </c>
      <c r="F374" s="3">
        <v>42278.541666666664</v>
      </c>
      <c r="G374" s="3">
        <v>42278.645833333336</v>
      </c>
      <c r="H374" s="1" t="s">
        <v>6</v>
      </c>
      <c r="I374" s="1" t="s">
        <v>38</v>
      </c>
      <c r="J374" s="1">
        <v>42278.732928240737</v>
      </c>
      <c r="K374" s="1" t="s">
        <v>41</v>
      </c>
      <c r="L374" s="14">
        <f>24*(TblTimeSheet[[#This Row],[End Date and Time]]-TblTimeSheet[[#This Row],[Start Date and Time]])</f>
        <v>2.5000000001164153</v>
      </c>
      <c r="M37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4">
        <f>--(0&gt;(TblTimeSheet[[#This Row],[End Date and Time]]-TblTimeSheet[[#This Row],[Start Date and Time]]))</f>
        <v>0</v>
      </c>
    </row>
    <row r="375" spans="1:14" x14ac:dyDescent="0.25">
      <c r="A375" s="1"/>
      <c r="B375" s="2" t="s">
        <v>114</v>
      </c>
      <c r="C375" s="2" t="s">
        <v>116</v>
      </c>
      <c r="D375" s="2" t="s">
        <v>32</v>
      </c>
      <c r="E375" s="7" t="s">
        <v>824</v>
      </c>
      <c r="F375" s="3">
        <v>42278.583333333336</v>
      </c>
      <c r="G375" s="3">
        <v>42278.729166666664</v>
      </c>
      <c r="H375" s="1" t="s">
        <v>6</v>
      </c>
      <c r="I375" s="1" t="s">
        <v>38</v>
      </c>
      <c r="J375" s="1">
        <v>42278.733553240738</v>
      </c>
      <c r="K375" s="1" t="s">
        <v>166</v>
      </c>
      <c r="L375" s="14">
        <f>24*(TblTimeSheet[[#This Row],[End Date and Time]]-TblTimeSheet[[#This Row],[Start Date and Time]])</f>
        <v>3.4999999998835847</v>
      </c>
      <c r="M37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75">
        <f>--(0&gt;(TblTimeSheet[[#This Row],[End Date and Time]]-TblTimeSheet[[#This Row],[Start Date and Time]]))</f>
        <v>0</v>
      </c>
    </row>
    <row r="376" spans="1:14" x14ac:dyDescent="0.25">
      <c r="A376" s="1"/>
      <c r="B376" s="2" t="s">
        <v>114</v>
      </c>
      <c r="C376" s="2" t="s">
        <v>78</v>
      </c>
      <c r="D376" s="2" t="s">
        <v>32</v>
      </c>
      <c r="E376" s="7" t="s">
        <v>770</v>
      </c>
      <c r="F376" s="3">
        <v>42280.416666666664</v>
      </c>
      <c r="G376" s="3">
        <v>42280.447916666664</v>
      </c>
      <c r="H376" s="1" t="s">
        <v>6</v>
      </c>
      <c r="I376" s="1" t="s">
        <v>38</v>
      </c>
      <c r="J376" s="1">
        <v>42280.451365740744</v>
      </c>
      <c r="K376" s="1" t="s">
        <v>78</v>
      </c>
      <c r="L376" s="14">
        <f>24*(TblTimeSheet[[#This Row],[End Date and Time]]-TblTimeSheet[[#This Row],[Start Date and Time]])</f>
        <v>0.75</v>
      </c>
      <c r="M37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6">
        <f>--(0&gt;(TblTimeSheet[[#This Row],[End Date and Time]]-TblTimeSheet[[#This Row],[Start Date and Time]]))</f>
        <v>0</v>
      </c>
    </row>
    <row r="377" spans="1:14" x14ac:dyDescent="0.25">
      <c r="A377" s="1"/>
      <c r="B377" s="2" t="s">
        <v>114</v>
      </c>
      <c r="C377" s="2" t="s">
        <v>171</v>
      </c>
      <c r="D377" s="2" t="s">
        <v>32</v>
      </c>
      <c r="E377" s="7" t="s">
        <v>771</v>
      </c>
      <c r="F377" s="3">
        <v>42280.416666666664</v>
      </c>
      <c r="G377" s="3">
        <v>42280.447916666664</v>
      </c>
      <c r="H377" s="1" t="s">
        <v>6</v>
      </c>
      <c r="I377" s="1" t="s">
        <v>38</v>
      </c>
      <c r="J377" s="1">
        <v>42280.496678240743</v>
      </c>
      <c r="K377" s="1" t="s">
        <v>171</v>
      </c>
      <c r="L377" s="14">
        <f>24*(TblTimeSheet[[#This Row],[End Date and Time]]-TblTimeSheet[[#This Row],[Start Date and Time]])</f>
        <v>0.75</v>
      </c>
      <c r="M37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7">
        <f>--(0&gt;(TblTimeSheet[[#This Row],[End Date and Time]]-TblTimeSheet[[#This Row],[Start Date and Time]]))</f>
        <v>0</v>
      </c>
    </row>
    <row r="378" spans="1:14" x14ac:dyDescent="0.25">
      <c r="A378" s="1"/>
      <c r="B378" s="2" t="s">
        <v>108</v>
      </c>
      <c r="C378" s="2" t="s">
        <v>116</v>
      </c>
      <c r="D378" s="2" t="s">
        <v>33</v>
      </c>
      <c r="E378" s="7" t="s">
        <v>772</v>
      </c>
      <c r="F378" s="3">
        <v>42278.4375</v>
      </c>
      <c r="G378" s="3">
        <v>42278.520833333336</v>
      </c>
      <c r="H378" s="1" t="s">
        <v>6</v>
      </c>
      <c r="I378" s="1" t="s">
        <v>38</v>
      </c>
      <c r="J378" s="1">
        <v>42280.505972222221</v>
      </c>
      <c r="K378" s="1" t="s">
        <v>39</v>
      </c>
      <c r="L378" s="14">
        <f>24*(TblTimeSheet[[#This Row],[End Date and Time]]-TblTimeSheet[[#This Row],[Start Date and Time]])</f>
        <v>2.0000000000582077</v>
      </c>
      <c r="M37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78">
        <f>--(0&gt;(TblTimeSheet[[#This Row],[End Date and Time]]-TblTimeSheet[[#This Row],[Start Date and Time]]))</f>
        <v>0</v>
      </c>
    </row>
    <row r="379" spans="1:14" x14ac:dyDescent="0.25">
      <c r="A379" s="1"/>
      <c r="B379" s="2" t="s">
        <v>114</v>
      </c>
      <c r="C379" s="2" t="s">
        <v>171</v>
      </c>
      <c r="D379" s="2" t="s">
        <v>32</v>
      </c>
      <c r="E379" s="7" t="s">
        <v>773</v>
      </c>
      <c r="F379" s="3">
        <v>42278.666666666664</v>
      </c>
      <c r="G379" s="3">
        <v>42278.708333333336</v>
      </c>
      <c r="H379" s="1" t="s">
        <v>6</v>
      </c>
      <c r="I379" s="1" t="s">
        <v>38</v>
      </c>
      <c r="J379" s="1">
        <v>42282.468680555554</v>
      </c>
      <c r="K379" s="1" t="s">
        <v>171</v>
      </c>
      <c r="L379" s="14">
        <f>24*(TblTimeSheet[[#This Row],[End Date and Time]]-TblTimeSheet[[#This Row],[Start Date and Time]])</f>
        <v>1.0000000001164153</v>
      </c>
      <c r="M37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79">
        <f>--(0&gt;(TblTimeSheet[[#This Row],[End Date and Time]]-TblTimeSheet[[#This Row],[Start Date and Time]]))</f>
        <v>0</v>
      </c>
    </row>
    <row r="380" spans="1:14" x14ac:dyDescent="0.25">
      <c r="A380" s="1"/>
      <c r="B380" s="2" t="s">
        <v>114</v>
      </c>
      <c r="C380" s="2" t="s">
        <v>171</v>
      </c>
      <c r="D380" s="2" t="s">
        <v>32</v>
      </c>
      <c r="E380" s="7" t="s">
        <v>774</v>
      </c>
      <c r="F380" s="3">
        <v>42280.583333333336</v>
      </c>
      <c r="G380" s="3">
        <v>42280.645833333336</v>
      </c>
      <c r="H380" s="1" t="s">
        <v>6</v>
      </c>
      <c r="I380" s="1" t="s">
        <v>38</v>
      </c>
      <c r="J380" s="1">
        <v>42282.469409722224</v>
      </c>
      <c r="K380" s="1" t="s">
        <v>171</v>
      </c>
      <c r="L380" s="14">
        <f>24*(TblTimeSheet[[#This Row],[End Date and Time]]-TblTimeSheet[[#This Row],[Start Date and Time]])</f>
        <v>1.5</v>
      </c>
      <c r="M38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0">
        <f>--(0&gt;(TblTimeSheet[[#This Row],[End Date and Time]]-TblTimeSheet[[#This Row],[Start Date and Time]]))</f>
        <v>0</v>
      </c>
    </row>
    <row r="381" spans="1:14" x14ac:dyDescent="0.25">
      <c r="A381" s="1"/>
      <c r="B381" s="2" t="s">
        <v>114</v>
      </c>
      <c r="C381" s="2" t="s">
        <v>171</v>
      </c>
      <c r="D381" s="2" t="s">
        <v>32</v>
      </c>
      <c r="E381" s="7" t="s">
        <v>775</v>
      </c>
      <c r="F381" s="3">
        <v>42282.458333333336</v>
      </c>
      <c r="G381" s="3">
        <v>42282.53125</v>
      </c>
      <c r="H381" s="1" t="s">
        <v>6</v>
      </c>
      <c r="I381" s="1" t="s">
        <v>38</v>
      </c>
      <c r="J381" s="1">
        <v>42282.536770833336</v>
      </c>
      <c r="K381" s="1" t="s">
        <v>171</v>
      </c>
      <c r="L381" s="14">
        <f>24*(TblTimeSheet[[#This Row],[End Date and Time]]-TblTimeSheet[[#This Row],[Start Date and Time]])</f>
        <v>1.7499999999417923</v>
      </c>
      <c r="M38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1">
        <f>--(0&gt;(TblTimeSheet[[#This Row],[End Date and Time]]-TblTimeSheet[[#This Row],[Start Date and Time]]))</f>
        <v>0</v>
      </c>
    </row>
    <row r="382" spans="1:14" x14ac:dyDescent="0.25">
      <c r="A382" s="1"/>
      <c r="B382" s="2" t="s">
        <v>108</v>
      </c>
      <c r="C382" s="2" t="s">
        <v>143</v>
      </c>
      <c r="D382" s="2" t="s">
        <v>34</v>
      </c>
      <c r="E382" s="7" t="s">
        <v>776</v>
      </c>
      <c r="F382" s="3">
        <v>42280.385416666664</v>
      </c>
      <c r="G382" s="3">
        <v>42280.5625</v>
      </c>
      <c r="H382" s="1" t="s">
        <v>6</v>
      </c>
      <c r="I382" s="1" t="s">
        <v>38</v>
      </c>
      <c r="J382" s="1">
        <v>42282.671666666669</v>
      </c>
      <c r="K382" s="1" t="s">
        <v>143</v>
      </c>
      <c r="L382" s="14">
        <f>24*(TblTimeSheet[[#This Row],[End Date and Time]]-TblTimeSheet[[#This Row],[Start Date and Time]])</f>
        <v>4.2500000000582077</v>
      </c>
      <c r="M38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2">
        <f>--(0&gt;(TblTimeSheet[[#This Row],[End Date and Time]]-TblTimeSheet[[#This Row],[Start Date and Time]]))</f>
        <v>0</v>
      </c>
    </row>
    <row r="383" spans="1:14" x14ac:dyDescent="0.25">
      <c r="A383" s="1"/>
      <c r="B383" s="2" t="s">
        <v>108</v>
      </c>
      <c r="C383" s="2" t="s">
        <v>143</v>
      </c>
      <c r="D383" s="2" t="s">
        <v>34</v>
      </c>
      <c r="E383" s="7" t="s">
        <v>777</v>
      </c>
      <c r="F383" s="3">
        <v>42280.583333333336</v>
      </c>
      <c r="G383" s="3">
        <v>42280.75</v>
      </c>
      <c r="H383" s="1" t="s">
        <v>6</v>
      </c>
      <c r="I383" s="1" t="s">
        <v>38</v>
      </c>
      <c r="J383" s="1">
        <v>42282.672777777778</v>
      </c>
      <c r="K383" s="1" t="s">
        <v>143</v>
      </c>
      <c r="L383" s="14">
        <f>24*(TblTimeSheet[[#This Row],[End Date and Time]]-TblTimeSheet[[#This Row],[Start Date and Time]])</f>
        <v>3.9999999999417923</v>
      </c>
      <c r="M38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3">
        <f>--(0&gt;(TblTimeSheet[[#This Row],[End Date and Time]]-TblTimeSheet[[#This Row],[Start Date and Time]]))</f>
        <v>0</v>
      </c>
    </row>
    <row r="384" spans="1:14" x14ac:dyDescent="0.25">
      <c r="A384" s="1"/>
      <c r="B384" s="2" t="s">
        <v>108</v>
      </c>
      <c r="C384" s="2" t="s">
        <v>144</v>
      </c>
      <c r="D384" s="2" t="s">
        <v>34</v>
      </c>
      <c r="E384" s="7" t="s">
        <v>778</v>
      </c>
      <c r="F384" s="3">
        <v>42280.388888888891</v>
      </c>
      <c r="G384" s="3">
        <v>42280.5625</v>
      </c>
      <c r="H384" s="1" t="s">
        <v>6</v>
      </c>
      <c r="I384" s="1" t="s">
        <v>38</v>
      </c>
      <c r="J384" s="1">
        <v>42282.674733796295</v>
      </c>
      <c r="K384" s="1" t="s">
        <v>144</v>
      </c>
      <c r="L384" s="14">
        <f>24*(TblTimeSheet[[#This Row],[End Date and Time]]-TblTimeSheet[[#This Row],[Start Date and Time]])</f>
        <v>4.1666666666278616</v>
      </c>
      <c r="M38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4">
        <f>--(0&gt;(TblTimeSheet[[#This Row],[End Date and Time]]-TblTimeSheet[[#This Row],[Start Date and Time]]))</f>
        <v>0</v>
      </c>
    </row>
    <row r="385" spans="1:14" x14ac:dyDescent="0.25">
      <c r="A385" s="1"/>
      <c r="B385" s="2" t="s">
        <v>108</v>
      </c>
      <c r="C385" s="2" t="s">
        <v>144</v>
      </c>
      <c r="D385" s="2" t="s">
        <v>34</v>
      </c>
      <c r="E385" s="7" t="s">
        <v>779</v>
      </c>
      <c r="F385" s="3">
        <v>42280.583333333336</v>
      </c>
      <c r="G385" s="3">
        <v>42280.729166666664</v>
      </c>
      <c r="H385" s="1" t="s">
        <v>6</v>
      </c>
      <c r="I385" s="1" t="s">
        <v>38</v>
      </c>
      <c r="J385" s="1">
        <v>42282.675740740742</v>
      </c>
      <c r="K385" s="1" t="s">
        <v>144</v>
      </c>
      <c r="L385" s="14">
        <f>24*(TblTimeSheet[[#This Row],[End Date and Time]]-TblTimeSheet[[#This Row],[Start Date and Time]])</f>
        <v>3.4999999998835847</v>
      </c>
      <c r="M38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5">
        <f>--(0&gt;(TblTimeSheet[[#This Row],[End Date and Time]]-TblTimeSheet[[#This Row],[Start Date and Time]]))</f>
        <v>0</v>
      </c>
    </row>
    <row r="386" spans="1:14" x14ac:dyDescent="0.25">
      <c r="A386" s="1"/>
      <c r="B386" s="2" t="s">
        <v>108</v>
      </c>
      <c r="C386" s="2" t="s">
        <v>144</v>
      </c>
      <c r="D386" s="2" t="s">
        <v>34</v>
      </c>
      <c r="E386" s="7" t="s">
        <v>780</v>
      </c>
      <c r="F386" s="3">
        <v>42282.385416666664</v>
      </c>
      <c r="G386" s="3">
        <v>42282.5625</v>
      </c>
      <c r="H386" s="1" t="s">
        <v>6</v>
      </c>
      <c r="I386" s="1" t="s">
        <v>38</v>
      </c>
      <c r="J386" s="1">
        <v>42282.677743055552</v>
      </c>
      <c r="K386" s="1" t="s">
        <v>144</v>
      </c>
      <c r="L386" s="14">
        <f>24*(TblTimeSheet[[#This Row],[End Date and Time]]-TblTimeSheet[[#This Row],[Start Date and Time]])</f>
        <v>4.2500000000582077</v>
      </c>
      <c r="M38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6">
        <f>--(0&gt;(TblTimeSheet[[#This Row],[End Date and Time]]-TblTimeSheet[[#This Row],[Start Date and Time]]))</f>
        <v>0</v>
      </c>
    </row>
    <row r="387" spans="1:14" ht="30" x14ac:dyDescent="0.25">
      <c r="A387" s="1"/>
      <c r="B387" s="2" t="s">
        <v>108</v>
      </c>
      <c r="C387" s="2" t="s">
        <v>143</v>
      </c>
      <c r="D387" s="2" t="s">
        <v>34</v>
      </c>
      <c r="E387" s="7" t="s">
        <v>825</v>
      </c>
      <c r="F387" s="3">
        <v>42282.385416666664</v>
      </c>
      <c r="G387" s="3">
        <v>42282.5625</v>
      </c>
      <c r="H387" s="1" t="s">
        <v>6</v>
      </c>
      <c r="I387" s="1" t="s">
        <v>38</v>
      </c>
      <c r="J387" s="1">
        <v>42282.683495370373</v>
      </c>
      <c r="K387" s="1" t="s">
        <v>143</v>
      </c>
      <c r="L387" s="14">
        <f>24*(TblTimeSheet[[#This Row],[End Date and Time]]-TblTimeSheet[[#This Row],[Start Date and Time]])</f>
        <v>4.2500000000582077</v>
      </c>
      <c r="M38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7">
        <f>--(0&gt;(TblTimeSheet[[#This Row],[End Date and Time]]-TblTimeSheet[[#This Row],[Start Date and Time]]))</f>
        <v>0</v>
      </c>
    </row>
    <row r="388" spans="1:14" ht="30" x14ac:dyDescent="0.25">
      <c r="A388" s="1"/>
      <c r="B388" s="2" t="s">
        <v>114</v>
      </c>
      <c r="C388" s="2" t="s">
        <v>171</v>
      </c>
      <c r="D388" s="2" t="s">
        <v>32</v>
      </c>
      <c r="E388" s="7" t="s">
        <v>826</v>
      </c>
      <c r="F388" s="3">
        <v>42282.583333333336</v>
      </c>
      <c r="G388" s="3">
        <v>42282.666666666664</v>
      </c>
      <c r="H388" s="1" t="s">
        <v>6</v>
      </c>
      <c r="I388" s="1" t="s">
        <v>38</v>
      </c>
      <c r="J388" s="1">
        <v>42282.688622685186</v>
      </c>
      <c r="K388" s="1" t="s">
        <v>171</v>
      </c>
      <c r="L388" s="14">
        <f>24*(TblTimeSheet[[#This Row],[End Date and Time]]-TblTimeSheet[[#This Row],[Start Date and Time]])</f>
        <v>1.9999999998835847</v>
      </c>
      <c r="M38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88">
        <f>--(0&gt;(TblTimeSheet[[#This Row],[End Date and Time]]-TblTimeSheet[[#This Row],[Start Date and Time]]))</f>
        <v>0</v>
      </c>
    </row>
    <row r="389" spans="1:14" x14ac:dyDescent="0.25">
      <c r="A389" s="1"/>
      <c r="B389" s="2" t="s">
        <v>108</v>
      </c>
      <c r="C389" s="2" t="s">
        <v>116</v>
      </c>
      <c r="D389" s="2" t="s">
        <v>33</v>
      </c>
      <c r="E389" s="7" t="s">
        <v>781</v>
      </c>
      <c r="F389" s="3">
        <v>42282.5</v>
      </c>
      <c r="G389" s="3">
        <v>42282.541666666664</v>
      </c>
      <c r="H389" s="1" t="s">
        <v>6</v>
      </c>
      <c r="I389" s="1" t="s">
        <v>38</v>
      </c>
      <c r="J389" s="1">
        <v>42282.733819444446</v>
      </c>
      <c r="K389" s="1" t="s">
        <v>701</v>
      </c>
      <c r="L389" s="14">
        <f>24*(TblTimeSheet[[#This Row],[End Date and Time]]-TblTimeSheet[[#This Row],[Start Date and Time]])</f>
        <v>0.99999999994179234</v>
      </c>
      <c r="M38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89">
        <f>--(0&gt;(TblTimeSheet[[#This Row],[End Date and Time]]-TblTimeSheet[[#This Row],[Start Date and Time]]))</f>
        <v>0</v>
      </c>
    </row>
    <row r="390" spans="1:14" x14ac:dyDescent="0.25">
      <c r="A390" s="1"/>
      <c r="B390" s="2" t="s">
        <v>108</v>
      </c>
      <c r="C390" s="2" t="s">
        <v>116</v>
      </c>
      <c r="D390" s="2" t="s">
        <v>33</v>
      </c>
      <c r="E390" s="7" t="s">
        <v>782</v>
      </c>
      <c r="F390" s="3">
        <v>42282.458333333336</v>
      </c>
      <c r="G390" s="3">
        <v>42282.5</v>
      </c>
      <c r="H390" s="1" t="s">
        <v>6</v>
      </c>
      <c r="I390" s="1" t="s">
        <v>38</v>
      </c>
      <c r="J390" s="1">
        <v>42282.735254629632</v>
      </c>
      <c r="K390" s="1" t="s">
        <v>701</v>
      </c>
      <c r="L390" s="14">
        <f>24*(TblTimeSheet[[#This Row],[End Date and Time]]-TblTimeSheet[[#This Row],[Start Date and Time]])</f>
        <v>0.99999999994179234</v>
      </c>
      <c r="M39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90">
        <f>--(0&gt;(TblTimeSheet[[#This Row],[End Date and Time]]-TblTimeSheet[[#This Row],[Start Date and Time]]))</f>
        <v>0</v>
      </c>
    </row>
    <row r="391" spans="1:14" x14ac:dyDescent="0.25">
      <c r="A391" s="1"/>
      <c r="B391" s="2" t="s">
        <v>108</v>
      </c>
      <c r="C391" s="2" t="s">
        <v>116</v>
      </c>
      <c r="D391" s="2" t="s">
        <v>33</v>
      </c>
      <c r="E391" s="7" t="s">
        <v>783</v>
      </c>
      <c r="F391" s="3">
        <v>42282.583333333336</v>
      </c>
      <c r="G391" s="3">
        <v>42282.625</v>
      </c>
      <c r="H391" s="1" t="s">
        <v>6</v>
      </c>
      <c r="I391" s="1" t="s">
        <v>38</v>
      </c>
      <c r="J391" s="1">
        <v>42282.735613425924</v>
      </c>
      <c r="K391" s="1" t="s">
        <v>701</v>
      </c>
      <c r="L391" s="14">
        <f>24*(TblTimeSheet[[#This Row],[End Date and Time]]-TblTimeSheet[[#This Row],[Start Date and Time]])</f>
        <v>0.99999999994179234</v>
      </c>
      <c r="M39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1">
        <f>--(0&gt;(TblTimeSheet[[#This Row],[End Date and Time]]-TblTimeSheet[[#This Row],[Start Date and Time]]))</f>
        <v>0</v>
      </c>
    </row>
    <row r="392" spans="1:14" x14ac:dyDescent="0.25">
      <c r="A392" s="1"/>
      <c r="B392" s="2" t="s">
        <v>108</v>
      </c>
      <c r="C392" s="2" t="s">
        <v>143</v>
      </c>
      <c r="D392" s="2" t="s">
        <v>34</v>
      </c>
      <c r="E392" s="7" t="s">
        <v>784</v>
      </c>
      <c r="F392" s="3">
        <v>42282.583333333336</v>
      </c>
      <c r="G392" s="3">
        <v>42282.666666666664</v>
      </c>
      <c r="H392" s="1" t="s">
        <v>6</v>
      </c>
      <c r="I392" s="1" t="s">
        <v>38</v>
      </c>
      <c r="J392" s="1">
        <v>42283.370578703703</v>
      </c>
      <c r="K392" s="1" t="s">
        <v>143</v>
      </c>
      <c r="L392" s="14">
        <f>24*(TblTimeSheet[[#This Row],[End Date and Time]]-TblTimeSheet[[#This Row],[Start Date and Time]])</f>
        <v>1.9999999998835847</v>
      </c>
      <c r="M39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2">
        <f>--(0&gt;(TblTimeSheet[[#This Row],[End Date and Time]]-TblTimeSheet[[#This Row],[Start Date and Time]]))</f>
        <v>0</v>
      </c>
    </row>
    <row r="393" spans="1:14" x14ac:dyDescent="0.25">
      <c r="A393" s="1"/>
      <c r="B393" s="2" t="s">
        <v>108</v>
      </c>
      <c r="C393" s="2" t="s">
        <v>144</v>
      </c>
      <c r="D393" s="2" t="s">
        <v>34</v>
      </c>
      <c r="E393" s="7" t="s">
        <v>785</v>
      </c>
      <c r="F393" s="3">
        <v>42282.583333333336</v>
      </c>
      <c r="G393" s="3">
        <v>42282.6875</v>
      </c>
      <c r="H393" s="1" t="s">
        <v>6</v>
      </c>
      <c r="I393" s="1" t="s">
        <v>38</v>
      </c>
      <c r="J393" s="1">
        <v>42283.371423611112</v>
      </c>
      <c r="K393" s="1" t="s">
        <v>144</v>
      </c>
      <c r="L393" s="14">
        <f>24*(TblTimeSheet[[#This Row],[End Date and Time]]-TblTimeSheet[[#This Row],[Start Date and Time]])</f>
        <v>2.4999999999417923</v>
      </c>
      <c r="M39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3">
        <f>--(0&gt;(TblTimeSheet[[#This Row],[End Date and Time]]-TblTimeSheet[[#This Row],[Start Date and Time]]))</f>
        <v>0</v>
      </c>
    </row>
    <row r="394" spans="1:14" x14ac:dyDescent="0.25">
      <c r="A394" s="1"/>
      <c r="B394" s="2" t="s">
        <v>108</v>
      </c>
      <c r="C394" s="2" t="s">
        <v>116</v>
      </c>
      <c r="D394" s="2" t="s">
        <v>34</v>
      </c>
      <c r="E394" s="7" t="s">
        <v>786</v>
      </c>
      <c r="F394" s="3">
        <v>42282.395833333336</v>
      </c>
      <c r="G394" s="3">
        <v>42282.541666666664</v>
      </c>
      <c r="H394" s="1" t="s">
        <v>6</v>
      </c>
      <c r="I394" s="1" t="s">
        <v>38</v>
      </c>
      <c r="J394" s="1">
        <v>42283.376261574071</v>
      </c>
      <c r="K394" s="1" t="s">
        <v>39</v>
      </c>
      <c r="L394" s="14">
        <f>24*(TblTimeSheet[[#This Row],[End Date and Time]]-TblTimeSheet[[#This Row],[Start Date and Time]])</f>
        <v>3.4999999998835847</v>
      </c>
      <c r="M39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94">
        <f>--(0&gt;(TblTimeSheet[[#This Row],[End Date and Time]]-TblTimeSheet[[#This Row],[Start Date and Time]]))</f>
        <v>0</v>
      </c>
    </row>
    <row r="395" spans="1:14" x14ac:dyDescent="0.25">
      <c r="A395" s="1"/>
      <c r="B395" s="2" t="s">
        <v>114</v>
      </c>
      <c r="C395" s="2" t="s">
        <v>116</v>
      </c>
      <c r="D395" s="2" t="s">
        <v>32</v>
      </c>
      <c r="E395" s="7" t="s">
        <v>788</v>
      </c>
      <c r="F395" s="3">
        <v>42282.395833333336</v>
      </c>
      <c r="G395" s="3">
        <v>42282.541666666664</v>
      </c>
      <c r="H395" s="1" t="s">
        <v>6</v>
      </c>
      <c r="I395" s="1" t="s">
        <v>38</v>
      </c>
      <c r="J395" s="1">
        <v>42283.436377314814</v>
      </c>
      <c r="K395" s="1" t="s">
        <v>166</v>
      </c>
      <c r="L395" s="14">
        <f>24*(TblTimeSheet[[#This Row],[End Date and Time]]-TblTimeSheet[[#This Row],[Start Date and Time]])</f>
        <v>3.4999999998835847</v>
      </c>
      <c r="M39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395">
        <f>--(0&gt;(TblTimeSheet[[#This Row],[End Date and Time]]-TblTimeSheet[[#This Row],[Start Date and Time]]))</f>
        <v>0</v>
      </c>
    </row>
    <row r="396" spans="1:14" x14ac:dyDescent="0.25">
      <c r="A396" s="1"/>
      <c r="B396" s="2" t="s">
        <v>114</v>
      </c>
      <c r="C396" s="2" t="s">
        <v>171</v>
      </c>
      <c r="D396" s="2" t="s">
        <v>32</v>
      </c>
      <c r="E396" s="7" t="s">
        <v>789</v>
      </c>
      <c r="F396" s="3">
        <v>42265.666666666664</v>
      </c>
      <c r="G396" s="3">
        <v>42265.708333333336</v>
      </c>
      <c r="H396" s="1" t="s">
        <v>6</v>
      </c>
      <c r="I396" s="1" t="s">
        <v>38</v>
      </c>
      <c r="J396" s="1">
        <v>42283.471226851849</v>
      </c>
      <c r="K396" s="1" t="s">
        <v>171</v>
      </c>
      <c r="L396" s="14">
        <f>24*(TblTimeSheet[[#This Row],[End Date and Time]]-TblTimeSheet[[#This Row],[Start Date and Time]])</f>
        <v>1.0000000001164153</v>
      </c>
      <c r="M39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6">
        <f>--(0&gt;(TblTimeSheet[[#This Row],[End Date and Time]]-TblTimeSheet[[#This Row],[Start Date and Time]]))</f>
        <v>0</v>
      </c>
    </row>
    <row r="397" spans="1:14" x14ac:dyDescent="0.25">
      <c r="A397" s="1"/>
      <c r="B397" s="2" t="s">
        <v>114</v>
      </c>
      <c r="C397" s="2" t="s">
        <v>171</v>
      </c>
      <c r="D397" s="2" t="s">
        <v>32</v>
      </c>
      <c r="E397" s="7" t="s">
        <v>790</v>
      </c>
      <c r="F397" s="3">
        <v>42266.458333333336</v>
      </c>
      <c r="G397" s="3">
        <v>42266.520833333336</v>
      </c>
      <c r="H397" s="1" t="s">
        <v>6</v>
      </c>
      <c r="I397" s="1" t="s">
        <v>38</v>
      </c>
      <c r="J397" s="1">
        <v>42283.474097222221</v>
      </c>
      <c r="K397" s="1" t="s">
        <v>171</v>
      </c>
      <c r="L397" s="14">
        <f>24*(TblTimeSheet[[#This Row],[End Date and Time]]-TblTimeSheet[[#This Row],[Start Date and Time]])</f>
        <v>1.5</v>
      </c>
      <c r="M39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7">
        <f>--(0&gt;(TblTimeSheet[[#This Row],[End Date and Time]]-TblTimeSheet[[#This Row],[Start Date and Time]]))</f>
        <v>0</v>
      </c>
    </row>
    <row r="398" spans="1:14" x14ac:dyDescent="0.25">
      <c r="A398" s="1"/>
      <c r="B398" s="2" t="s">
        <v>114</v>
      </c>
      <c r="C398" s="2" t="s">
        <v>171</v>
      </c>
      <c r="D398" s="2" t="s">
        <v>32</v>
      </c>
      <c r="E398" s="7" t="s">
        <v>791</v>
      </c>
      <c r="F398" s="3">
        <v>42268.583333333336</v>
      </c>
      <c r="G398" s="3">
        <v>42268.6875</v>
      </c>
      <c r="H398" s="1" t="s">
        <v>6</v>
      </c>
      <c r="I398" s="1" t="s">
        <v>38</v>
      </c>
      <c r="J398" s="1">
        <v>42283.475393518522</v>
      </c>
      <c r="K398" s="1" t="s">
        <v>171</v>
      </c>
      <c r="L398" s="14">
        <f>24*(TblTimeSheet[[#This Row],[End Date and Time]]-TblTimeSheet[[#This Row],[Start Date and Time]])</f>
        <v>2.4999999999417923</v>
      </c>
      <c r="M39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8">
        <f>--(0&gt;(TblTimeSheet[[#This Row],[End Date and Time]]-TblTimeSheet[[#This Row],[Start Date and Time]]))</f>
        <v>0</v>
      </c>
    </row>
    <row r="399" spans="1:14" x14ac:dyDescent="0.25">
      <c r="A399" s="1"/>
      <c r="B399" s="2" t="s">
        <v>114</v>
      </c>
      <c r="C399" s="2" t="s">
        <v>171</v>
      </c>
      <c r="D399" s="2" t="s">
        <v>32</v>
      </c>
      <c r="E399" s="7" t="s">
        <v>792</v>
      </c>
      <c r="F399" s="3">
        <v>42270.402777777781</v>
      </c>
      <c r="G399" s="3">
        <v>42270.5</v>
      </c>
      <c r="H399" s="1" t="s">
        <v>6</v>
      </c>
      <c r="I399" s="1" t="s">
        <v>38</v>
      </c>
      <c r="J399" s="1">
        <v>42283.476365740738</v>
      </c>
      <c r="K399" s="1" t="s">
        <v>171</v>
      </c>
      <c r="L399" s="14">
        <f>24*(TblTimeSheet[[#This Row],[End Date and Time]]-TblTimeSheet[[#This Row],[Start Date and Time]])</f>
        <v>2.3333333332557231</v>
      </c>
      <c r="M39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399">
        <f>--(0&gt;(TblTimeSheet[[#This Row],[End Date and Time]]-TblTimeSheet[[#This Row],[Start Date and Time]]))</f>
        <v>0</v>
      </c>
    </row>
    <row r="400" spans="1:14" x14ac:dyDescent="0.25">
      <c r="A400" s="1"/>
      <c r="B400" s="2" t="s">
        <v>114</v>
      </c>
      <c r="C400" s="2" t="s">
        <v>171</v>
      </c>
      <c r="D400" s="2" t="s">
        <v>32</v>
      </c>
      <c r="E400" s="7" t="s">
        <v>794</v>
      </c>
      <c r="F400" s="3">
        <v>42284.381944444445</v>
      </c>
      <c r="G400" s="3">
        <v>42284.458333333336</v>
      </c>
      <c r="H400" s="1" t="s">
        <v>6</v>
      </c>
      <c r="I400" s="1" t="s">
        <v>38</v>
      </c>
      <c r="J400" s="1">
        <v>42284.458090277774</v>
      </c>
      <c r="K400" s="1" t="s">
        <v>171</v>
      </c>
      <c r="L400" s="14">
        <f>24*(TblTimeSheet[[#This Row],[End Date and Time]]-TblTimeSheet[[#This Row],[Start Date and Time]])</f>
        <v>1.8333333333721384</v>
      </c>
      <c r="M40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0">
        <f>--(0&gt;(TblTimeSheet[[#This Row],[End Date and Time]]-TblTimeSheet[[#This Row],[Start Date and Time]]))</f>
        <v>0</v>
      </c>
    </row>
    <row r="401" spans="1:14" ht="30" x14ac:dyDescent="0.25">
      <c r="A401" s="1"/>
      <c r="B401" s="2" t="s">
        <v>697</v>
      </c>
      <c r="C401" s="2" t="s">
        <v>116</v>
      </c>
      <c r="D401" s="2" t="s">
        <v>19</v>
      </c>
      <c r="E401" s="7" t="s">
        <v>827</v>
      </c>
      <c r="F401" s="3">
        <v>42305.520833333336</v>
      </c>
      <c r="G401" s="3">
        <v>42305.53125</v>
      </c>
      <c r="H401" s="1" t="s">
        <v>6</v>
      </c>
      <c r="I401" s="1" t="s">
        <v>38</v>
      </c>
      <c r="J401" s="1">
        <v>42305.543854166666</v>
      </c>
      <c r="K401" s="1" t="s">
        <v>39</v>
      </c>
      <c r="L401" s="14">
        <f>24*(TblTimeSheet[[#This Row],[End Date and Time]]-TblTimeSheet[[#This Row],[Start Date and Time]])</f>
        <v>0.24999999994179234</v>
      </c>
      <c r="M40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1">
        <f>--(0&gt;(TblTimeSheet[[#This Row],[End Date and Time]]-TblTimeSheet[[#This Row],[Start Date and Time]]))</f>
        <v>0</v>
      </c>
    </row>
    <row r="402" spans="1:14" x14ac:dyDescent="0.25">
      <c r="A402" s="1"/>
      <c r="B402" s="2" t="s">
        <v>697</v>
      </c>
      <c r="C402" s="2" t="s">
        <v>78</v>
      </c>
      <c r="D402" s="2" t="s">
        <v>19</v>
      </c>
      <c r="E402" s="7" t="s">
        <v>795</v>
      </c>
      <c r="F402" s="3">
        <v>42305.520833333336</v>
      </c>
      <c r="G402" s="3">
        <v>42305.541666666664</v>
      </c>
      <c r="H402" s="1" t="s">
        <v>6</v>
      </c>
      <c r="I402" s="1" t="s">
        <v>38</v>
      </c>
      <c r="J402" s="1">
        <v>42305.671574074076</v>
      </c>
      <c r="K402" s="1" t="s">
        <v>78</v>
      </c>
      <c r="L402" s="14">
        <f>24*(TblTimeSheet[[#This Row],[End Date and Time]]-TblTimeSheet[[#This Row],[Start Date and Time]])</f>
        <v>0.49999999988358468</v>
      </c>
      <c r="M40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2">
        <f>--(0&gt;(TblTimeSheet[[#This Row],[End Date and Time]]-TblTimeSheet[[#This Row],[Start Date and Time]]))</f>
        <v>0</v>
      </c>
    </row>
    <row r="403" spans="1:14" x14ac:dyDescent="0.25">
      <c r="A403" s="1"/>
      <c r="B403" s="2" t="s">
        <v>697</v>
      </c>
      <c r="C403" s="2" t="s">
        <v>36</v>
      </c>
      <c r="D403" s="2" t="s">
        <v>19</v>
      </c>
      <c r="E403" s="7" t="s">
        <v>828</v>
      </c>
      <c r="F403" s="3">
        <v>42305.520833333336</v>
      </c>
      <c r="G403" s="3">
        <v>42305.53125</v>
      </c>
      <c r="H403" s="1" t="s">
        <v>6</v>
      </c>
      <c r="I403" s="1" t="s">
        <v>38</v>
      </c>
      <c r="J403" s="1">
        <v>42305.681805555556</v>
      </c>
      <c r="K403" s="1" t="s">
        <v>36</v>
      </c>
      <c r="L403" s="14">
        <f>24*(TblTimeSheet[[#This Row],[End Date and Time]]-TblTimeSheet[[#This Row],[Start Date and Time]])</f>
        <v>0.24999999994179234</v>
      </c>
      <c r="M40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3">
        <f>--(0&gt;(TblTimeSheet[[#This Row],[End Date and Time]]-TblTimeSheet[[#This Row],[Start Date and Time]]))</f>
        <v>0</v>
      </c>
    </row>
    <row r="404" spans="1:14" x14ac:dyDescent="0.25">
      <c r="A404" s="1"/>
      <c r="B404" s="2" t="s">
        <v>699</v>
      </c>
      <c r="C404" s="2" t="s">
        <v>36</v>
      </c>
      <c r="D404" s="2" t="s">
        <v>19</v>
      </c>
      <c r="E404" s="7" t="s">
        <v>829</v>
      </c>
      <c r="F404" s="3">
        <v>42305.6875</v>
      </c>
      <c r="G404" s="3">
        <v>42305.697916666664</v>
      </c>
      <c r="H404" s="1" t="s">
        <v>6</v>
      </c>
      <c r="I404" s="1" t="s">
        <v>38</v>
      </c>
      <c r="J404" s="1">
        <v>42305.720983796295</v>
      </c>
      <c r="K404" s="1" t="s">
        <v>36</v>
      </c>
      <c r="L404" s="14">
        <f>24*(TblTimeSheet[[#This Row],[End Date and Time]]-TblTimeSheet[[#This Row],[Start Date and Time]])</f>
        <v>0.24999999994179234</v>
      </c>
      <c r="M40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4">
        <f>--(0&gt;(TblTimeSheet[[#This Row],[End Date and Time]]-TblTimeSheet[[#This Row],[Start Date and Time]]))</f>
        <v>0</v>
      </c>
    </row>
    <row r="405" spans="1:14" ht="30" x14ac:dyDescent="0.25">
      <c r="A405" s="1"/>
      <c r="B405" s="2" t="s">
        <v>699</v>
      </c>
      <c r="C405" s="2" t="s">
        <v>116</v>
      </c>
      <c r="D405" s="2" t="s">
        <v>19</v>
      </c>
      <c r="E405" s="7" t="s">
        <v>827</v>
      </c>
      <c r="F405" s="3">
        <v>42305.6875</v>
      </c>
      <c r="G405" s="3">
        <v>42305.697916666664</v>
      </c>
      <c r="H405" s="1" t="s">
        <v>6</v>
      </c>
      <c r="I405" s="1" t="s">
        <v>38</v>
      </c>
      <c r="J405" s="1">
        <v>42305.725277777776</v>
      </c>
      <c r="K405" s="1" t="s">
        <v>39</v>
      </c>
      <c r="L405" s="14">
        <f>24*(TblTimeSheet[[#This Row],[End Date and Time]]-TblTimeSheet[[#This Row],[Start Date and Time]])</f>
        <v>0.24999999994179234</v>
      </c>
      <c r="M40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5">
        <f>--(0&gt;(TblTimeSheet[[#This Row],[End Date and Time]]-TblTimeSheet[[#This Row],[Start Date and Time]]))</f>
        <v>0</v>
      </c>
    </row>
    <row r="406" spans="1:14" ht="30" x14ac:dyDescent="0.25">
      <c r="A406" s="1"/>
      <c r="B406" s="2" t="s">
        <v>697</v>
      </c>
      <c r="C406" s="2" t="s">
        <v>124</v>
      </c>
      <c r="D406" s="2" t="s">
        <v>19</v>
      </c>
      <c r="E406" s="7" t="s">
        <v>796</v>
      </c>
      <c r="F406" s="3">
        <v>42305.520833333336</v>
      </c>
      <c r="G406" s="3">
        <v>42305.541666666664</v>
      </c>
      <c r="H406" s="1" t="s">
        <v>6</v>
      </c>
      <c r="I406" s="1" t="s">
        <v>38</v>
      </c>
      <c r="J406" s="1">
        <v>42305.726944444446</v>
      </c>
      <c r="K406" s="1" t="s">
        <v>2863</v>
      </c>
      <c r="L406" s="14">
        <f>24*(TblTimeSheet[[#This Row],[End Date and Time]]-TblTimeSheet[[#This Row],[Start Date and Time]])</f>
        <v>0.49999999988358468</v>
      </c>
      <c r="M40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6">
        <f>--(0&gt;(TblTimeSheet[[#This Row],[End Date and Time]]-TblTimeSheet[[#This Row],[Start Date and Time]]))</f>
        <v>0</v>
      </c>
    </row>
    <row r="407" spans="1:14" x14ac:dyDescent="0.25">
      <c r="A407" s="1"/>
      <c r="B407" s="2" t="s">
        <v>699</v>
      </c>
      <c r="C407" s="2" t="s">
        <v>78</v>
      </c>
      <c r="D407" s="2" t="s">
        <v>19</v>
      </c>
      <c r="E407" s="7" t="s">
        <v>797</v>
      </c>
      <c r="F407" s="3">
        <v>42305.6875</v>
      </c>
      <c r="G407" s="3">
        <v>42305.697916666664</v>
      </c>
      <c r="H407" s="1" t="s">
        <v>6</v>
      </c>
      <c r="I407" s="1" t="s">
        <v>38</v>
      </c>
      <c r="J407" s="1">
        <v>42305.729375000003</v>
      </c>
      <c r="K407" s="1" t="s">
        <v>78</v>
      </c>
      <c r="L407" s="14">
        <f>24*(TblTimeSheet[[#This Row],[End Date and Time]]-TblTimeSheet[[#This Row],[Start Date and Time]])</f>
        <v>0.24999999994179234</v>
      </c>
      <c r="M40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7">
        <f>--(0&gt;(TblTimeSheet[[#This Row],[End Date and Time]]-TblTimeSheet[[#This Row],[Start Date and Time]]))</f>
        <v>0</v>
      </c>
    </row>
    <row r="408" spans="1:14" x14ac:dyDescent="0.25">
      <c r="A408" s="1"/>
      <c r="B408" s="2" t="s">
        <v>699</v>
      </c>
      <c r="C408" s="2" t="s">
        <v>118</v>
      </c>
      <c r="D408" s="2" t="s">
        <v>19</v>
      </c>
      <c r="E408" s="7" t="s">
        <v>919</v>
      </c>
      <c r="F408" s="3">
        <v>42305.6875</v>
      </c>
      <c r="G408" s="3">
        <v>42305.697916666664</v>
      </c>
      <c r="H408" s="1" t="s">
        <v>6</v>
      </c>
      <c r="I408" s="1" t="s">
        <v>38</v>
      </c>
      <c r="J408" s="1">
        <v>42306.379467592589</v>
      </c>
      <c r="K408" s="1" t="s">
        <v>118</v>
      </c>
      <c r="L408" s="14">
        <f>24*(TblTimeSheet[[#This Row],[End Date and Time]]-TblTimeSheet[[#This Row],[Start Date and Time]])</f>
        <v>0.24999999994179234</v>
      </c>
      <c r="M40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8">
        <f>--(0&gt;(TblTimeSheet[[#This Row],[End Date and Time]]-TblTimeSheet[[#This Row],[Start Date and Time]]))</f>
        <v>0</v>
      </c>
    </row>
    <row r="409" spans="1:14" ht="45" x14ac:dyDescent="0.25">
      <c r="A409" s="1"/>
      <c r="B409" s="2" t="s">
        <v>699</v>
      </c>
      <c r="C409" s="2" t="s">
        <v>41</v>
      </c>
      <c r="D409" s="2" t="s">
        <v>19</v>
      </c>
      <c r="E409" s="7" t="s">
        <v>1720</v>
      </c>
      <c r="F409" s="3">
        <v>42305.6875</v>
      </c>
      <c r="G409" s="3">
        <v>42305.697916666664</v>
      </c>
      <c r="H409" s="1" t="s">
        <v>6</v>
      </c>
      <c r="I409" s="1" t="s">
        <v>38</v>
      </c>
      <c r="J409" s="1">
        <v>42324.729942129627</v>
      </c>
      <c r="K409" s="1" t="s">
        <v>41</v>
      </c>
      <c r="L409" s="14">
        <f>24*(TblTimeSheet[[#This Row],[End Date and Time]]-TblTimeSheet[[#This Row],[Start Date and Time]])</f>
        <v>0.24999999994179234</v>
      </c>
      <c r="M40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09">
        <f>--(0&gt;(TblTimeSheet[[#This Row],[End Date and Time]]-TblTimeSheet[[#This Row],[Start Date and Time]]))</f>
        <v>0</v>
      </c>
    </row>
    <row r="410" spans="1:14" x14ac:dyDescent="0.25">
      <c r="A410" s="1"/>
      <c r="B410" s="2" t="s">
        <v>697</v>
      </c>
      <c r="C410" s="2" t="s">
        <v>124</v>
      </c>
      <c r="D410" s="2" t="s">
        <v>19</v>
      </c>
      <c r="E410" s="7" t="s">
        <v>920</v>
      </c>
      <c r="F410" s="3">
        <v>42306.458333333336</v>
      </c>
      <c r="G410" s="3">
        <v>42306.541666666664</v>
      </c>
      <c r="H410" s="1" t="s">
        <v>6</v>
      </c>
      <c r="I410" s="1" t="s">
        <v>38</v>
      </c>
      <c r="J410" s="1">
        <v>42306.68209490741</v>
      </c>
      <c r="K410" s="1" t="s">
        <v>2863</v>
      </c>
      <c r="L410" s="14">
        <f>24*(TblTimeSheet[[#This Row],[End Date and Time]]-TblTimeSheet[[#This Row],[Start Date and Time]])</f>
        <v>1.9999999998835847</v>
      </c>
      <c r="M41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0">
        <f>--(0&gt;(TblTimeSheet[[#This Row],[End Date and Time]]-TblTimeSheet[[#This Row],[Start Date and Time]]))</f>
        <v>0</v>
      </c>
    </row>
    <row r="411" spans="1:14" ht="30" x14ac:dyDescent="0.25">
      <c r="A411" s="1"/>
      <c r="B411" s="2" t="s">
        <v>697</v>
      </c>
      <c r="C411" s="2" t="s">
        <v>124</v>
      </c>
      <c r="D411" s="2" t="s">
        <v>19</v>
      </c>
      <c r="E411" s="7" t="s">
        <v>921</v>
      </c>
      <c r="F411" s="3">
        <v>42306.416666666664</v>
      </c>
      <c r="G411" s="3">
        <v>42306.4375</v>
      </c>
      <c r="H411" s="1" t="s">
        <v>6</v>
      </c>
      <c r="I411" s="1" t="s">
        <v>38</v>
      </c>
      <c r="J411" s="1">
        <v>42306.684328703705</v>
      </c>
      <c r="K411" s="1" t="s">
        <v>2863</v>
      </c>
      <c r="L411" s="14">
        <f>24*(TblTimeSheet[[#This Row],[End Date and Time]]-TblTimeSheet[[#This Row],[Start Date and Time]])</f>
        <v>0.50000000005820766</v>
      </c>
      <c r="M41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1">
        <f>--(0&gt;(TblTimeSheet[[#This Row],[End Date and Time]]-TblTimeSheet[[#This Row],[Start Date and Time]]))</f>
        <v>0</v>
      </c>
    </row>
    <row r="412" spans="1:14" x14ac:dyDescent="0.25">
      <c r="A412" s="1"/>
      <c r="B412" s="2" t="s">
        <v>697</v>
      </c>
      <c r="C412" s="2" t="s">
        <v>78</v>
      </c>
      <c r="D412" s="2" t="s">
        <v>19</v>
      </c>
      <c r="E412" s="7" t="s">
        <v>922</v>
      </c>
      <c r="F412" s="3">
        <v>42306.416666666664</v>
      </c>
      <c r="G412" s="3">
        <v>42306.4375</v>
      </c>
      <c r="H412" s="1" t="s">
        <v>6</v>
      </c>
      <c r="I412" s="1" t="s">
        <v>38</v>
      </c>
      <c r="J412" s="1">
        <v>42306.689629629633</v>
      </c>
      <c r="K412" s="1" t="s">
        <v>78</v>
      </c>
      <c r="L412" s="14">
        <f>24*(TblTimeSheet[[#This Row],[End Date and Time]]-TblTimeSheet[[#This Row],[Start Date and Time]])</f>
        <v>0.50000000005820766</v>
      </c>
      <c r="M41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2">
        <f>--(0&gt;(TblTimeSheet[[#This Row],[End Date and Time]]-TblTimeSheet[[#This Row],[Start Date and Time]]))</f>
        <v>0</v>
      </c>
    </row>
    <row r="413" spans="1:14" x14ac:dyDescent="0.25">
      <c r="A413" s="1"/>
      <c r="B413" s="2" t="s">
        <v>697</v>
      </c>
      <c r="C413" s="2" t="s">
        <v>43</v>
      </c>
      <c r="D413" s="2" t="s">
        <v>19</v>
      </c>
      <c r="E413" s="7" t="s">
        <v>1721</v>
      </c>
      <c r="F413" s="3">
        <v>42306.416666666664</v>
      </c>
      <c r="G413" s="3">
        <v>42306.4375</v>
      </c>
      <c r="H413" s="1" t="s">
        <v>6</v>
      </c>
      <c r="I413" s="1" t="s">
        <v>38</v>
      </c>
      <c r="J413" s="1">
        <v>42306.691874999997</v>
      </c>
      <c r="K413" s="1" t="s">
        <v>43</v>
      </c>
      <c r="L413" s="14">
        <f>24*(TblTimeSheet[[#This Row],[End Date and Time]]-TblTimeSheet[[#This Row],[Start Date and Time]])</f>
        <v>0.50000000005820766</v>
      </c>
      <c r="M41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3">
        <f>--(0&gt;(TblTimeSheet[[#This Row],[End Date and Time]]-TblTimeSheet[[#This Row],[Start Date and Time]]))</f>
        <v>0</v>
      </c>
    </row>
    <row r="414" spans="1:14" x14ac:dyDescent="0.25">
      <c r="A414" s="1"/>
      <c r="B414" s="2" t="s">
        <v>699</v>
      </c>
      <c r="C414" s="2" t="s">
        <v>41</v>
      </c>
      <c r="D414" s="2" t="s">
        <v>19</v>
      </c>
      <c r="E414" s="7" t="s">
        <v>923</v>
      </c>
      <c r="F414" s="3">
        <v>42307.375</v>
      </c>
      <c r="G414" s="3">
        <v>42307.395833333336</v>
      </c>
      <c r="H414" s="1" t="s">
        <v>6</v>
      </c>
      <c r="I414" s="1" t="s">
        <v>38</v>
      </c>
      <c r="J414" s="1">
        <v>42307.425381944442</v>
      </c>
      <c r="K414" s="1" t="s">
        <v>41</v>
      </c>
      <c r="L414" s="14">
        <f>24*(TblTimeSheet[[#This Row],[End Date and Time]]-TblTimeSheet[[#This Row],[Start Date and Time]])</f>
        <v>0.50000000005820766</v>
      </c>
      <c r="M4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4">
        <f>--(0&gt;(TblTimeSheet[[#This Row],[End Date and Time]]-TblTimeSheet[[#This Row],[Start Date and Time]]))</f>
        <v>0</v>
      </c>
    </row>
    <row r="415" spans="1:14" x14ac:dyDescent="0.25">
      <c r="A415" s="1"/>
      <c r="B415" s="2" t="s">
        <v>697</v>
      </c>
      <c r="C415" s="2" t="s">
        <v>124</v>
      </c>
      <c r="D415" s="2" t="s">
        <v>19</v>
      </c>
      <c r="E415" s="7" t="s">
        <v>384</v>
      </c>
      <c r="F415" s="3">
        <v>42310.416666666664</v>
      </c>
      <c r="G415" s="3">
        <v>42310.458333333336</v>
      </c>
      <c r="H415" s="1" t="s">
        <v>6</v>
      </c>
      <c r="I415" s="1" t="s">
        <v>38</v>
      </c>
      <c r="J415" s="1">
        <v>42310.735983796294</v>
      </c>
      <c r="K415" s="1" t="s">
        <v>2863</v>
      </c>
      <c r="L415" s="14">
        <f>24*(TblTimeSheet[[#This Row],[End Date and Time]]-TblTimeSheet[[#This Row],[Start Date and Time]])</f>
        <v>1.0000000001164153</v>
      </c>
      <c r="M41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5">
        <f>--(0&gt;(TblTimeSheet[[#This Row],[End Date and Time]]-TblTimeSheet[[#This Row],[Start Date and Time]]))</f>
        <v>0</v>
      </c>
    </row>
    <row r="416" spans="1:14" x14ac:dyDescent="0.25">
      <c r="A416" s="1"/>
      <c r="B416" s="2" t="s">
        <v>697</v>
      </c>
      <c r="C416" s="2" t="s">
        <v>924</v>
      </c>
      <c r="D416" s="2" t="s">
        <v>19</v>
      </c>
      <c r="E416" s="7" t="s">
        <v>925</v>
      </c>
      <c r="F416" s="3">
        <v>42310.416666666664</v>
      </c>
      <c r="G416" s="3">
        <v>42310.458333333336</v>
      </c>
      <c r="H416" s="1" t="s">
        <v>6</v>
      </c>
      <c r="I416" s="1" t="s">
        <v>38</v>
      </c>
      <c r="J416" s="1">
        <v>42310.737407407411</v>
      </c>
      <c r="K416" s="1" t="s">
        <v>924</v>
      </c>
      <c r="L416" s="14">
        <f>24*(TblTimeSheet[[#This Row],[End Date and Time]]-TblTimeSheet[[#This Row],[Start Date and Time]])</f>
        <v>1.0000000001164153</v>
      </c>
      <c r="M41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6">
        <f>--(0&gt;(TblTimeSheet[[#This Row],[End Date and Time]]-TblTimeSheet[[#This Row],[Start Date and Time]]))</f>
        <v>0</v>
      </c>
    </row>
    <row r="417" spans="1:14" ht="30" x14ac:dyDescent="0.25">
      <c r="A417" s="1"/>
      <c r="B417" s="2" t="s">
        <v>697</v>
      </c>
      <c r="C417" s="2" t="s">
        <v>924</v>
      </c>
      <c r="D417" s="2" t="s">
        <v>19</v>
      </c>
      <c r="E417" s="7" t="s">
        <v>926</v>
      </c>
      <c r="F417" s="3">
        <v>42306.416666666664</v>
      </c>
      <c r="G417" s="3">
        <v>42306.4375</v>
      </c>
      <c r="H417" s="1" t="s">
        <v>6</v>
      </c>
      <c r="I417" s="1" t="s">
        <v>38</v>
      </c>
      <c r="J417" s="1">
        <v>42310.741157407407</v>
      </c>
      <c r="K417" s="1" t="s">
        <v>924</v>
      </c>
      <c r="L417" s="14">
        <f>24*(TblTimeSheet[[#This Row],[End Date and Time]]-TblTimeSheet[[#This Row],[Start Date and Time]])</f>
        <v>0.50000000005820766</v>
      </c>
      <c r="M41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7">
        <f>--(0&gt;(TblTimeSheet[[#This Row],[End Date and Time]]-TblTimeSheet[[#This Row],[Start Date and Time]]))</f>
        <v>0</v>
      </c>
    </row>
    <row r="418" spans="1:14" x14ac:dyDescent="0.25">
      <c r="A418" s="1"/>
      <c r="B418" s="2" t="s">
        <v>697</v>
      </c>
      <c r="C418" s="2" t="s">
        <v>124</v>
      </c>
      <c r="D418" s="2" t="s">
        <v>19</v>
      </c>
      <c r="E418" s="7" t="s">
        <v>920</v>
      </c>
      <c r="F418" s="3">
        <v>42307.416666666664</v>
      </c>
      <c r="G418" s="3">
        <v>42307.5</v>
      </c>
      <c r="H418" s="1" t="s">
        <v>6</v>
      </c>
      <c r="I418" s="1" t="s">
        <v>38</v>
      </c>
      <c r="J418" s="1">
        <v>42311.364594907405</v>
      </c>
      <c r="K418" s="1" t="s">
        <v>2863</v>
      </c>
      <c r="L418" s="14">
        <f>24*(TblTimeSheet[[#This Row],[End Date and Time]]-TblTimeSheet[[#This Row],[Start Date and Time]])</f>
        <v>2.0000000000582077</v>
      </c>
      <c r="M41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8">
        <f>--(0&gt;(TblTimeSheet[[#This Row],[End Date and Time]]-TblTimeSheet[[#This Row],[Start Date and Time]]))</f>
        <v>0</v>
      </c>
    </row>
    <row r="419" spans="1:14" x14ac:dyDescent="0.25">
      <c r="A419" s="1"/>
      <c r="B419" s="2" t="s">
        <v>697</v>
      </c>
      <c r="C419" s="2" t="s">
        <v>124</v>
      </c>
      <c r="D419" s="2" t="s">
        <v>19</v>
      </c>
      <c r="E419" s="7" t="s">
        <v>384</v>
      </c>
      <c r="F419" s="3">
        <v>42308.458333333336</v>
      </c>
      <c r="G419" s="3">
        <v>42308.5</v>
      </c>
      <c r="H419" s="1" t="s">
        <v>6</v>
      </c>
      <c r="I419" s="1" t="s">
        <v>38</v>
      </c>
      <c r="J419" s="1">
        <v>42311.366585648146</v>
      </c>
      <c r="K419" s="1" t="s">
        <v>2863</v>
      </c>
      <c r="L419" s="14">
        <f>24*(TblTimeSheet[[#This Row],[End Date and Time]]-TblTimeSheet[[#This Row],[Start Date and Time]])</f>
        <v>0.99999999994179234</v>
      </c>
      <c r="M41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19">
        <f>--(0&gt;(TblTimeSheet[[#This Row],[End Date and Time]]-TblTimeSheet[[#This Row],[Start Date and Time]]))</f>
        <v>0</v>
      </c>
    </row>
    <row r="420" spans="1:14" x14ac:dyDescent="0.25">
      <c r="A420" s="1"/>
      <c r="B420" s="2" t="s">
        <v>697</v>
      </c>
      <c r="C420" s="2" t="s">
        <v>924</v>
      </c>
      <c r="D420" s="2" t="s">
        <v>19</v>
      </c>
      <c r="E420" s="7" t="s">
        <v>384</v>
      </c>
      <c r="F420" s="3">
        <v>42308.458333333336</v>
      </c>
      <c r="G420" s="3">
        <v>42308.5</v>
      </c>
      <c r="H420" s="1" t="s">
        <v>6</v>
      </c>
      <c r="I420" s="1" t="s">
        <v>38</v>
      </c>
      <c r="J420" s="1">
        <v>42311.367974537039</v>
      </c>
      <c r="K420" s="1" t="s">
        <v>924</v>
      </c>
      <c r="L420" s="14">
        <f>24*(TblTimeSheet[[#This Row],[End Date and Time]]-TblTimeSheet[[#This Row],[Start Date and Time]])</f>
        <v>0.99999999994179234</v>
      </c>
      <c r="M42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0">
        <f>--(0&gt;(TblTimeSheet[[#This Row],[End Date and Time]]-TblTimeSheet[[#This Row],[Start Date and Time]]))</f>
        <v>0</v>
      </c>
    </row>
    <row r="421" spans="1:14" x14ac:dyDescent="0.25">
      <c r="A421" s="1"/>
      <c r="B421" s="2" t="s">
        <v>697</v>
      </c>
      <c r="C421" s="2" t="s">
        <v>118</v>
      </c>
      <c r="D421" s="2" t="s">
        <v>19</v>
      </c>
      <c r="E421" s="7" t="s">
        <v>927</v>
      </c>
      <c r="F421" s="3">
        <v>42308.458333333336</v>
      </c>
      <c r="G421" s="3">
        <v>42308.5</v>
      </c>
      <c r="H421" s="1" t="s">
        <v>6</v>
      </c>
      <c r="I421" s="1" t="s">
        <v>38</v>
      </c>
      <c r="J421" s="1">
        <v>42311.372800925928</v>
      </c>
      <c r="K421" s="1" t="s">
        <v>118</v>
      </c>
      <c r="L421" s="14">
        <f>24*(TblTimeSheet[[#This Row],[End Date and Time]]-TblTimeSheet[[#This Row],[Start Date and Time]])</f>
        <v>0.99999999994179234</v>
      </c>
      <c r="M42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1">
        <f>--(0&gt;(TblTimeSheet[[#This Row],[End Date and Time]]-TblTimeSheet[[#This Row],[Start Date and Time]]))</f>
        <v>0</v>
      </c>
    </row>
    <row r="422" spans="1:14" x14ac:dyDescent="0.25">
      <c r="A422" s="1"/>
      <c r="B422" s="2" t="s">
        <v>697</v>
      </c>
      <c r="C422" s="2" t="s">
        <v>118</v>
      </c>
      <c r="D422" s="2" t="s">
        <v>19</v>
      </c>
      <c r="E422" s="7" t="s">
        <v>928</v>
      </c>
      <c r="F422" s="3">
        <v>42310.416666666664</v>
      </c>
      <c r="G422" s="3">
        <v>42310.458333333336</v>
      </c>
      <c r="H422" s="1" t="s">
        <v>6</v>
      </c>
      <c r="I422" s="1" t="s">
        <v>38</v>
      </c>
      <c r="J422" s="1">
        <v>42311.373553240737</v>
      </c>
      <c r="K422" s="1" t="s">
        <v>118</v>
      </c>
      <c r="L422" s="14">
        <f>24*(TblTimeSheet[[#This Row],[End Date and Time]]-TblTimeSheet[[#This Row],[Start Date and Time]])</f>
        <v>1.0000000001164153</v>
      </c>
      <c r="M42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2">
        <f>--(0&gt;(TblTimeSheet[[#This Row],[End Date and Time]]-TblTimeSheet[[#This Row],[Start Date and Time]]))</f>
        <v>0</v>
      </c>
    </row>
    <row r="423" spans="1:14" x14ac:dyDescent="0.25">
      <c r="A423" s="1"/>
      <c r="B423" s="2" t="s">
        <v>697</v>
      </c>
      <c r="C423" s="2" t="s">
        <v>124</v>
      </c>
      <c r="D423" s="2" t="s">
        <v>19</v>
      </c>
      <c r="E423" s="7" t="s">
        <v>929</v>
      </c>
      <c r="F423" s="3">
        <v>42308.625</v>
      </c>
      <c r="G423" s="3">
        <v>42308.708333333336</v>
      </c>
      <c r="H423" s="1" t="s">
        <v>6</v>
      </c>
      <c r="I423" s="1" t="s">
        <v>38</v>
      </c>
      <c r="J423" s="1">
        <v>42311.418402777781</v>
      </c>
      <c r="K423" s="1" t="s">
        <v>2863</v>
      </c>
      <c r="L423" s="14">
        <f>24*(TblTimeSheet[[#This Row],[End Date and Time]]-TblTimeSheet[[#This Row],[Start Date and Time]])</f>
        <v>2.0000000000582077</v>
      </c>
      <c r="M42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3">
        <f>--(0&gt;(TblTimeSheet[[#This Row],[End Date and Time]]-TblTimeSheet[[#This Row],[Start Date and Time]]))</f>
        <v>0</v>
      </c>
    </row>
    <row r="424" spans="1:14" x14ac:dyDescent="0.25">
      <c r="A424" s="1"/>
      <c r="B424" s="2" t="s">
        <v>697</v>
      </c>
      <c r="C424" s="2" t="s">
        <v>924</v>
      </c>
      <c r="D424" s="2" t="s">
        <v>19</v>
      </c>
      <c r="E424" s="7" t="s">
        <v>930</v>
      </c>
      <c r="F424" s="3">
        <v>42308.625</v>
      </c>
      <c r="G424" s="3">
        <v>42308.708333333336</v>
      </c>
      <c r="H424" s="1" t="s">
        <v>6</v>
      </c>
      <c r="I424" s="1" t="s">
        <v>38</v>
      </c>
      <c r="J424" s="1">
        <v>42311.422152777777</v>
      </c>
      <c r="K424" s="1" t="s">
        <v>924</v>
      </c>
      <c r="L424" s="14">
        <f>24*(TblTimeSheet[[#This Row],[End Date and Time]]-TblTimeSheet[[#This Row],[Start Date and Time]])</f>
        <v>2.0000000000582077</v>
      </c>
      <c r="M42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4">
        <f>--(0&gt;(TblTimeSheet[[#This Row],[End Date and Time]]-TblTimeSheet[[#This Row],[Start Date and Time]]))</f>
        <v>0</v>
      </c>
    </row>
    <row r="425" spans="1:14" x14ac:dyDescent="0.25">
      <c r="A425" s="1"/>
      <c r="B425" s="2" t="s">
        <v>697</v>
      </c>
      <c r="C425" s="2" t="s">
        <v>118</v>
      </c>
      <c r="D425" s="2" t="s">
        <v>19</v>
      </c>
      <c r="E425" s="7" t="s">
        <v>928</v>
      </c>
      <c r="F425" s="3">
        <v>42308.625</v>
      </c>
      <c r="G425" s="3">
        <v>42308.708333333336</v>
      </c>
      <c r="H425" s="1" t="s">
        <v>6</v>
      </c>
      <c r="I425" s="1" t="s">
        <v>38</v>
      </c>
      <c r="J425" s="1">
        <v>42311.420706018522</v>
      </c>
      <c r="K425" s="1" t="s">
        <v>118</v>
      </c>
      <c r="L425" s="14">
        <f>24*(TblTimeSheet[[#This Row],[End Date and Time]]-TblTimeSheet[[#This Row],[Start Date and Time]])</f>
        <v>2.0000000000582077</v>
      </c>
      <c r="M42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5">
        <f>--(0&gt;(TblTimeSheet[[#This Row],[End Date and Time]]-TblTimeSheet[[#This Row],[Start Date and Time]]))</f>
        <v>0</v>
      </c>
    </row>
    <row r="426" spans="1:14" x14ac:dyDescent="0.25">
      <c r="A426" s="1"/>
      <c r="B426" s="2" t="s">
        <v>697</v>
      </c>
      <c r="C426" s="2" t="s">
        <v>78</v>
      </c>
      <c r="D426" s="2" t="s">
        <v>19</v>
      </c>
      <c r="E426" s="7" t="s">
        <v>385</v>
      </c>
      <c r="F426" s="3">
        <v>42312.604166666664</v>
      </c>
      <c r="G426" s="3">
        <v>42312.645833333336</v>
      </c>
      <c r="H426" s="1" t="s">
        <v>6</v>
      </c>
      <c r="I426" s="1" t="s">
        <v>38</v>
      </c>
      <c r="J426" s="1">
        <v>42312.647800925923</v>
      </c>
      <c r="K426" s="1" t="s">
        <v>78</v>
      </c>
      <c r="L426" s="14">
        <f>24*(TblTimeSheet[[#This Row],[End Date and Time]]-TblTimeSheet[[#This Row],[Start Date and Time]])</f>
        <v>1.0000000001164153</v>
      </c>
      <c r="M42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6">
        <f>--(0&gt;(TblTimeSheet[[#This Row],[End Date and Time]]-TblTimeSheet[[#This Row],[Start Date and Time]]))</f>
        <v>0</v>
      </c>
    </row>
    <row r="427" spans="1:14" x14ac:dyDescent="0.25">
      <c r="A427" s="1"/>
      <c r="B427" s="2" t="s">
        <v>697</v>
      </c>
      <c r="C427" s="2" t="s">
        <v>124</v>
      </c>
      <c r="D427" s="2" t="s">
        <v>19</v>
      </c>
      <c r="E427" s="7" t="s">
        <v>931</v>
      </c>
      <c r="F427" s="3">
        <v>42312.604166666664</v>
      </c>
      <c r="G427" s="3">
        <v>42312.645833333336</v>
      </c>
      <c r="H427" s="1" t="s">
        <v>6</v>
      </c>
      <c r="I427" s="1" t="s">
        <v>38</v>
      </c>
      <c r="J427" s="1">
        <v>42312.704502314817</v>
      </c>
      <c r="K427" s="1" t="s">
        <v>2863</v>
      </c>
      <c r="L427" s="14">
        <f>24*(TblTimeSheet[[#This Row],[End Date and Time]]-TblTimeSheet[[#This Row],[Start Date and Time]])</f>
        <v>1.0000000001164153</v>
      </c>
      <c r="M42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7">
        <f>--(0&gt;(TblTimeSheet[[#This Row],[End Date and Time]]-TblTimeSheet[[#This Row],[Start Date and Time]]))</f>
        <v>0</v>
      </c>
    </row>
    <row r="428" spans="1:14" x14ac:dyDescent="0.25">
      <c r="A428" s="1"/>
      <c r="B428" s="2" t="s">
        <v>697</v>
      </c>
      <c r="C428" s="2" t="s">
        <v>124</v>
      </c>
      <c r="D428" s="2" t="s">
        <v>19</v>
      </c>
      <c r="E428" s="7" t="s">
        <v>932</v>
      </c>
      <c r="F428" s="3">
        <v>42312.666666666664</v>
      </c>
      <c r="G428" s="3">
        <v>42312.708333333336</v>
      </c>
      <c r="H428" s="1" t="s">
        <v>6</v>
      </c>
      <c r="I428" s="1" t="s">
        <v>38</v>
      </c>
      <c r="J428" s="1">
        <v>42312.705868055556</v>
      </c>
      <c r="K428" s="1" t="s">
        <v>2863</v>
      </c>
      <c r="L428" s="14">
        <f>24*(TblTimeSheet[[#This Row],[End Date and Time]]-TblTimeSheet[[#This Row],[Start Date and Time]])</f>
        <v>1.0000000001164153</v>
      </c>
      <c r="M42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8">
        <f>--(0&gt;(TblTimeSheet[[#This Row],[End Date and Time]]-TblTimeSheet[[#This Row],[Start Date and Time]]))</f>
        <v>0</v>
      </c>
    </row>
    <row r="429" spans="1:14" x14ac:dyDescent="0.25">
      <c r="A429" s="1"/>
      <c r="B429" s="2" t="s">
        <v>697</v>
      </c>
      <c r="C429" s="2" t="s">
        <v>78</v>
      </c>
      <c r="D429" s="2" t="s">
        <v>19</v>
      </c>
      <c r="E429" s="7" t="s">
        <v>933</v>
      </c>
      <c r="F429" s="3">
        <v>42312.708333333336</v>
      </c>
      <c r="G429" s="3">
        <v>42312.715277777781</v>
      </c>
      <c r="H429" s="1" t="s">
        <v>6</v>
      </c>
      <c r="I429" s="1" t="s">
        <v>38</v>
      </c>
      <c r="J429" s="1">
        <v>42312.713182870371</v>
      </c>
      <c r="K429" s="1" t="s">
        <v>78</v>
      </c>
      <c r="L429" s="14">
        <f>24*(TblTimeSheet[[#This Row],[End Date and Time]]-TblTimeSheet[[#This Row],[Start Date and Time]])</f>
        <v>0.16666666668606922</v>
      </c>
      <c r="M42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29">
        <f>--(0&gt;(TblTimeSheet[[#This Row],[End Date and Time]]-TblTimeSheet[[#This Row],[Start Date and Time]]))</f>
        <v>0</v>
      </c>
    </row>
    <row r="430" spans="1:14" x14ac:dyDescent="0.25">
      <c r="A430" s="1"/>
      <c r="B430" s="2" t="s">
        <v>697</v>
      </c>
      <c r="C430" s="2" t="s">
        <v>116</v>
      </c>
      <c r="D430" s="2" t="s">
        <v>19</v>
      </c>
      <c r="E430" s="7" t="s">
        <v>934</v>
      </c>
      <c r="F430" s="3">
        <v>42313.666666666664</v>
      </c>
      <c r="G430" s="3">
        <v>42313.75</v>
      </c>
      <c r="H430" s="1" t="s">
        <v>6</v>
      </c>
      <c r="I430" s="1" t="s">
        <v>38</v>
      </c>
      <c r="J430" s="1">
        <v>42314.658912037034</v>
      </c>
      <c r="K430" s="1" t="s">
        <v>81</v>
      </c>
      <c r="L430" s="14">
        <f>24*(TblTimeSheet[[#This Row],[End Date and Time]]-TblTimeSheet[[#This Row],[Start Date and Time]])</f>
        <v>2.0000000000582077</v>
      </c>
      <c r="M43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0">
        <f>--(0&gt;(TblTimeSheet[[#This Row],[End Date and Time]]-TblTimeSheet[[#This Row],[Start Date and Time]]))</f>
        <v>0</v>
      </c>
    </row>
    <row r="431" spans="1:14" x14ac:dyDescent="0.25">
      <c r="A431" s="1"/>
      <c r="B431" s="2" t="s">
        <v>697</v>
      </c>
      <c r="C431" s="2" t="s">
        <v>124</v>
      </c>
      <c r="D431" s="2" t="s">
        <v>19</v>
      </c>
      <c r="E431" s="7" t="s">
        <v>935</v>
      </c>
      <c r="F431" s="3">
        <v>42313.666666666664</v>
      </c>
      <c r="G431" s="3">
        <v>42313.75</v>
      </c>
      <c r="H431" s="1" t="s">
        <v>6</v>
      </c>
      <c r="I431" s="1" t="s">
        <v>38</v>
      </c>
      <c r="J431" s="1">
        <v>42314.497731481482</v>
      </c>
      <c r="K431" s="1" t="s">
        <v>2863</v>
      </c>
      <c r="L431" s="14">
        <f>24*(TblTimeSheet[[#This Row],[End Date and Time]]-TblTimeSheet[[#This Row],[Start Date and Time]])</f>
        <v>2.0000000000582077</v>
      </c>
      <c r="M43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1">
        <f>--(0&gt;(TblTimeSheet[[#This Row],[End Date and Time]]-TblTimeSheet[[#This Row],[Start Date and Time]]))</f>
        <v>0</v>
      </c>
    </row>
    <row r="432" spans="1:14" x14ac:dyDescent="0.25">
      <c r="A432" s="1"/>
      <c r="B432" s="2" t="s">
        <v>697</v>
      </c>
      <c r="C432" s="2" t="s">
        <v>124</v>
      </c>
      <c r="D432" s="2" t="s">
        <v>19</v>
      </c>
      <c r="E432" s="7" t="s">
        <v>936</v>
      </c>
      <c r="F432" s="3">
        <v>42314.458333333336</v>
      </c>
      <c r="G432" s="3">
        <v>42314.5</v>
      </c>
      <c r="H432" s="1" t="s">
        <v>6</v>
      </c>
      <c r="I432" s="1" t="s">
        <v>38</v>
      </c>
      <c r="J432" s="1">
        <v>42314.696550925924</v>
      </c>
      <c r="K432" s="1" t="s">
        <v>2863</v>
      </c>
      <c r="L432" s="14">
        <f>24*(TblTimeSheet[[#This Row],[End Date and Time]]-TblTimeSheet[[#This Row],[Start Date and Time]])</f>
        <v>0.99999999994179234</v>
      </c>
      <c r="M43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2">
        <f>--(0&gt;(TblTimeSheet[[#This Row],[End Date and Time]]-TblTimeSheet[[#This Row],[Start Date and Time]]))</f>
        <v>0</v>
      </c>
    </row>
    <row r="433" spans="1:14" x14ac:dyDescent="0.25">
      <c r="A433" s="1"/>
      <c r="B433" s="2" t="s">
        <v>699</v>
      </c>
      <c r="C433" s="2" t="s">
        <v>78</v>
      </c>
      <c r="D433" s="2" t="s">
        <v>19</v>
      </c>
      <c r="E433" s="7" t="s">
        <v>937</v>
      </c>
      <c r="F433" s="3">
        <v>42317.625</v>
      </c>
      <c r="G433" s="3">
        <v>42317.677083333336</v>
      </c>
      <c r="H433" s="1" t="s">
        <v>6</v>
      </c>
      <c r="I433" s="1" t="s">
        <v>38</v>
      </c>
      <c r="J433" s="1">
        <v>42317.678877314815</v>
      </c>
      <c r="K433" s="1" t="s">
        <v>78</v>
      </c>
      <c r="L433" s="14">
        <f>24*(TblTimeSheet[[#This Row],[End Date and Time]]-TblTimeSheet[[#This Row],[Start Date and Time]])</f>
        <v>1.2500000000582077</v>
      </c>
      <c r="M43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3">
        <f>--(0&gt;(TblTimeSheet[[#This Row],[End Date and Time]]-TblTimeSheet[[#This Row],[Start Date and Time]]))</f>
        <v>0</v>
      </c>
    </row>
    <row r="434" spans="1:14" x14ac:dyDescent="0.25">
      <c r="A434" s="1"/>
      <c r="B434" s="2" t="s">
        <v>699</v>
      </c>
      <c r="C434" s="2" t="s">
        <v>118</v>
      </c>
      <c r="D434" s="2" t="s">
        <v>19</v>
      </c>
      <c r="E434" s="7" t="s">
        <v>938</v>
      </c>
      <c r="F434" s="3">
        <v>42317.385416666664</v>
      </c>
      <c r="G434" s="3">
        <v>42317.416666666664</v>
      </c>
      <c r="H434" s="1" t="s">
        <v>6</v>
      </c>
      <c r="I434" s="1" t="s">
        <v>38</v>
      </c>
      <c r="J434" s="1">
        <v>42317.694664351853</v>
      </c>
      <c r="K434" s="1" t="s">
        <v>118</v>
      </c>
      <c r="L434" s="14">
        <f>24*(TblTimeSheet[[#This Row],[End Date and Time]]-TblTimeSheet[[#This Row],[Start Date and Time]])</f>
        <v>0.75</v>
      </c>
      <c r="M43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4">
        <f>--(0&gt;(TblTimeSheet[[#This Row],[End Date and Time]]-TblTimeSheet[[#This Row],[Start Date and Time]]))</f>
        <v>0</v>
      </c>
    </row>
    <row r="435" spans="1:14" ht="60" x14ac:dyDescent="0.25">
      <c r="A435" s="1"/>
      <c r="B435" s="2" t="s">
        <v>699</v>
      </c>
      <c r="C435" s="2" t="s">
        <v>41</v>
      </c>
      <c r="D435" s="2" t="s">
        <v>19</v>
      </c>
      <c r="E435" s="7" t="s">
        <v>939</v>
      </c>
      <c r="F435" s="3">
        <v>42317.375</v>
      </c>
      <c r="G435" s="3">
        <v>42317.5</v>
      </c>
      <c r="H435" s="1" t="s">
        <v>6</v>
      </c>
      <c r="I435" s="1" t="s">
        <v>38</v>
      </c>
      <c r="J435" s="1">
        <v>42317.698773148149</v>
      </c>
      <c r="K435" s="1" t="s">
        <v>41</v>
      </c>
      <c r="L435" s="14">
        <f>24*(TblTimeSheet[[#This Row],[End Date and Time]]-TblTimeSheet[[#This Row],[Start Date and Time]])</f>
        <v>3</v>
      </c>
      <c r="M43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5">
        <f>--(0&gt;(TblTimeSheet[[#This Row],[End Date and Time]]-TblTimeSheet[[#This Row],[Start Date and Time]]))</f>
        <v>0</v>
      </c>
    </row>
    <row r="436" spans="1:14" ht="30" x14ac:dyDescent="0.25">
      <c r="A436" s="1"/>
      <c r="B436" s="2" t="s">
        <v>699</v>
      </c>
      <c r="C436" s="2" t="s">
        <v>116</v>
      </c>
      <c r="D436" s="2" t="s">
        <v>19</v>
      </c>
      <c r="E436" s="7" t="s">
        <v>940</v>
      </c>
      <c r="F436" s="3">
        <v>42317.375</v>
      </c>
      <c r="G436" s="3">
        <v>42317.395833333336</v>
      </c>
      <c r="H436" s="1" t="s">
        <v>6</v>
      </c>
      <c r="I436" s="1" t="s">
        <v>38</v>
      </c>
      <c r="J436" s="1">
        <v>42317.703865740739</v>
      </c>
      <c r="K436" s="1" t="s">
        <v>701</v>
      </c>
      <c r="L436" s="14">
        <f>24*(TblTimeSheet[[#This Row],[End Date and Time]]-TblTimeSheet[[#This Row],[Start Date and Time]])</f>
        <v>0.50000000005820766</v>
      </c>
      <c r="M43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6">
        <f>--(0&gt;(TblTimeSheet[[#This Row],[End Date and Time]]-TblTimeSheet[[#This Row],[Start Date and Time]]))</f>
        <v>0</v>
      </c>
    </row>
    <row r="437" spans="1:14" x14ac:dyDescent="0.25">
      <c r="A437" s="1"/>
      <c r="B437" s="2" t="s">
        <v>699</v>
      </c>
      <c r="C437" s="2" t="s">
        <v>41</v>
      </c>
      <c r="D437" s="2" t="s">
        <v>19</v>
      </c>
      <c r="E437" s="7" t="s">
        <v>941</v>
      </c>
      <c r="F437" s="3">
        <v>42317.645833333336</v>
      </c>
      <c r="G437" s="3">
        <v>42317.677083333336</v>
      </c>
      <c r="H437" s="1" t="s">
        <v>6</v>
      </c>
      <c r="I437" s="1" t="s">
        <v>38</v>
      </c>
      <c r="J437" s="1">
        <v>42324.735833333332</v>
      </c>
      <c r="K437" s="1" t="s">
        <v>41</v>
      </c>
      <c r="L437" s="14">
        <f>24*(TblTimeSheet[[#This Row],[End Date and Time]]-TblTimeSheet[[#This Row],[Start Date and Time]])</f>
        <v>0.75</v>
      </c>
      <c r="M43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7">
        <f>--(0&gt;(TblTimeSheet[[#This Row],[End Date and Time]]-TblTimeSheet[[#This Row],[Start Date and Time]]))</f>
        <v>0</v>
      </c>
    </row>
    <row r="438" spans="1:14" x14ac:dyDescent="0.25">
      <c r="A438" s="1"/>
      <c r="B438" s="2" t="s">
        <v>697</v>
      </c>
      <c r="C438" s="2" t="s">
        <v>118</v>
      </c>
      <c r="D438" s="2" t="s">
        <v>20</v>
      </c>
      <c r="E438" s="7" t="s">
        <v>942</v>
      </c>
      <c r="F438" s="3">
        <v>42317.697916666664</v>
      </c>
      <c r="G438" s="3">
        <v>42317.708333333336</v>
      </c>
      <c r="H438" s="1" t="s">
        <v>6</v>
      </c>
      <c r="I438" s="1" t="s">
        <v>38</v>
      </c>
      <c r="J438" s="1">
        <v>42317.711018518516</v>
      </c>
      <c r="K438" s="1" t="s">
        <v>118</v>
      </c>
      <c r="L438" s="14">
        <f>24*(TblTimeSheet[[#This Row],[End Date and Time]]-TblTimeSheet[[#This Row],[Start Date and Time]])</f>
        <v>0.25000000011641532</v>
      </c>
      <c r="M43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8">
        <f>--(0&gt;(TblTimeSheet[[#This Row],[End Date and Time]]-TblTimeSheet[[#This Row],[Start Date and Time]]))</f>
        <v>0</v>
      </c>
    </row>
    <row r="439" spans="1:14" x14ac:dyDescent="0.25">
      <c r="A439" s="1"/>
      <c r="B439" s="2" t="s">
        <v>697</v>
      </c>
      <c r="C439" s="2" t="s">
        <v>124</v>
      </c>
      <c r="D439" s="2" t="s">
        <v>20</v>
      </c>
      <c r="E439" s="7" t="s">
        <v>943</v>
      </c>
      <c r="F439" s="3">
        <v>42317.697916666664</v>
      </c>
      <c r="G439" s="3">
        <v>42317.708333333336</v>
      </c>
      <c r="H439" s="1" t="s">
        <v>6</v>
      </c>
      <c r="I439" s="1" t="s">
        <v>38</v>
      </c>
      <c r="J439" s="1">
        <v>42317.730555555558</v>
      </c>
      <c r="K439" s="1" t="s">
        <v>2863</v>
      </c>
      <c r="L439" s="14">
        <f>24*(TblTimeSheet[[#This Row],[End Date and Time]]-TblTimeSheet[[#This Row],[Start Date and Time]])</f>
        <v>0.25000000011641532</v>
      </c>
      <c r="M43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39">
        <f>--(0&gt;(TblTimeSheet[[#This Row],[End Date and Time]]-TblTimeSheet[[#This Row],[Start Date and Time]]))</f>
        <v>0</v>
      </c>
    </row>
    <row r="440" spans="1:14" x14ac:dyDescent="0.25">
      <c r="A440" s="1"/>
      <c r="B440" s="2" t="s">
        <v>697</v>
      </c>
      <c r="C440" s="2" t="s">
        <v>116</v>
      </c>
      <c r="D440" s="2" t="s">
        <v>20</v>
      </c>
      <c r="E440" s="7" t="s">
        <v>456</v>
      </c>
      <c r="F440" s="3">
        <v>42317.697916666664</v>
      </c>
      <c r="G440" s="3">
        <v>42317.708333333336</v>
      </c>
      <c r="H440" s="1" t="s">
        <v>6</v>
      </c>
      <c r="I440" s="1" t="s">
        <v>38</v>
      </c>
      <c r="J440" s="1">
        <v>42318.341550925928</v>
      </c>
      <c r="K440" s="1" t="s">
        <v>701</v>
      </c>
      <c r="L440" s="14">
        <f>24*(TblTimeSheet[[#This Row],[End Date and Time]]-TblTimeSheet[[#This Row],[Start Date and Time]])</f>
        <v>0.25000000011641532</v>
      </c>
      <c r="M44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0">
        <f>--(0&gt;(TblTimeSheet[[#This Row],[End Date and Time]]-TblTimeSheet[[#This Row],[Start Date and Time]]))</f>
        <v>0</v>
      </c>
    </row>
    <row r="441" spans="1:14" x14ac:dyDescent="0.25">
      <c r="A441" s="1"/>
      <c r="B441" s="2" t="s">
        <v>699</v>
      </c>
      <c r="C441" s="2" t="s">
        <v>78</v>
      </c>
      <c r="D441" s="2" t="s">
        <v>19</v>
      </c>
      <c r="E441" s="7" t="s">
        <v>944</v>
      </c>
      <c r="F441" s="3">
        <v>42318.5</v>
      </c>
      <c r="G441" s="3">
        <v>42318.510416666664</v>
      </c>
      <c r="H441" s="1" t="s">
        <v>6</v>
      </c>
      <c r="I441" s="1" t="s">
        <v>38</v>
      </c>
      <c r="J441" s="1">
        <v>42318.512314814812</v>
      </c>
      <c r="K441" s="1" t="s">
        <v>78</v>
      </c>
      <c r="L441" s="14">
        <f>24*(TblTimeSheet[[#This Row],[End Date and Time]]-TblTimeSheet[[#This Row],[Start Date and Time]])</f>
        <v>0.24999999994179234</v>
      </c>
      <c r="M44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1">
        <f>--(0&gt;(TblTimeSheet[[#This Row],[End Date and Time]]-TblTimeSheet[[#This Row],[Start Date and Time]]))</f>
        <v>0</v>
      </c>
    </row>
    <row r="442" spans="1:14" x14ac:dyDescent="0.25">
      <c r="A442" s="1"/>
      <c r="B442" s="2" t="s">
        <v>699</v>
      </c>
      <c r="C442" s="2" t="s">
        <v>78</v>
      </c>
      <c r="D442" s="2" t="s">
        <v>19</v>
      </c>
      <c r="E442" s="7" t="s">
        <v>945</v>
      </c>
      <c r="F442" s="3">
        <v>42324.5</v>
      </c>
      <c r="G442" s="3">
        <v>42324.510416666664</v>
      </c>
      <c r="H442" s="1" t="s">
        <v>6</v>
      </c>
      <c r="I442" s="1" t="s">
        <v>38</v>
      </c>
      <c r="J442" s="1">
        <v>42324.528067129628</v>
      </c>
      <c r="K442" s="1" t="s">
        <v>78</v>
      </c>
      <c r="L442" s="14">
        <f>24*(TblTimeSheet[[#This Row],[End Date and Time]]-TblTimeSheet[[#This Row],[Start Date and Time]])</f>
        <v>0.24999999994179234</v>
      </c>
      <c r="M44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2">
        <f>--(0&gt;(TblTimeSheet[[#This Row],[End Date and Time]]-TblTimeSheet[[#This Row],[Start Date and Time]]))</f>
        <v>0</v>
      </c>
    </row>
    <row r="443" spans="1:14" x14ac:dyDescent="0.25">
      <c r="A443" s="1"/>
      <c r="B443" s="2" t="s">
        <v>699</v>
      </c>
      <c r="C443" s="2" t="s">
        <v>41</v>
      </c>
      <c r="D443" s="2" t="s">
        <v>19</v>
      </c>
      <c r="E443" s="7" t="s">
        <v>946</v>
      </c>
      <c r="F443" s="3">
        <v>42324.5</v>
      </c>
      <c r="G443" s="3">
        <v>42324.510416666664</v>
      </c>
      <c r="H443" s="1" t="s">
        <v>6</v>
      </c>
      <c r="I443" s="1" t="s">
        <v>38</v>
      </c>
      <c r="J443" s="1">
        <v>42324.543425925927</v>
      </c>
      <c r="K443" s="1" t="s">
        <v>41</v>
      </c>
      <c r="L443" s="14">
        <f>24*(TblTimeSheet[[#This Row],[End Date and Time]]-TblTimeSheet[[#This Row],[Start Date and Time]])</f>
        <v>0.24999999994179234</v>
      </c>
      <c r="M44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3">
        <f>--(0&gt;(TblTimeSheet[[#This Row],[End Date and Time]]-TblTimeSheet[[#This Row],[Start Date and Time]]))</f>
        <v>0</v>
      </c>
    </row>
    <row r="444" spans="1:14" x14ac:dyDescent="0.25">
      <c r="A444" s="1"/>
      <c r="B444" s="2" t="s">
        <v>699</v>
      </c>
      <c r="C444" s="2" t="s">
        <v>116</v>
      </c>
      <c r="D444" s="2" t="s">
        <v>19</v>
      </c>
      <c r="E444" s="7" t="s">
        <v>1722</v>
      </c>
      <c r="F444" s="3">
        <v>42324.604166666664</v>
      </c>
      <c r="G444" s="3">
        <v>42324.666666666664</v>
      </c>
      <c r="H444" s="1" t="s">
        <v>6</v>
      </c>
      <c r="I444" s="1" t="s">
        <v>38</v>
      </c>
      <c r="J444" s="1">
        <v>42325.655081018522</v>
      </c>
      <c r="K444" s="1" t="s">
        <v>81</v>
      </c>
      <c r="L444" s="14">
        <f>24*(TblTimeSheet[[#This Row],[End Date and Time]]-TblTimeSheet[[#This Row],[Start Date and Time]])</f>
        <v>1.5</v>
      </c>
      <c r="M44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4">
        <f>--(0&gt;(TblTimeSheet[[#This Row],[End Date and Time]]-TblTimeSheet[[#This Row],[Start Date and Time]]))</f>
        <v>0</v>
      </c>
    </row>
    <row r="445" spans="1:14" x14ac:dyDescent="0.25">
      <c r="A445" s="1"/>
      <c r="B445" s="2" t="s">
        <v>699</v>
      </c>
      <c r="C445" s="2" t="s">
        <v>41</v>
      </c>
      <c r="D445" s="2" t="s">
        <v>19</v>
      </c>
      <c r="E445" s="7" t="s">
        <v>947</v>
      </c>
      <c r="F445" s="3">
        <v>42317.680555555555</v>
      </c>
      <c r="G445" s="3">
        <v>42317.708333333336</v>
      </c>
      <c r="H445" s="1" t="s">
        <v>6</v>
      </c>
      <c r="I445" s="1" t="s">
        <v>38</v>
      </c>
      <c r="J445" s="1">
        <v>42325.658356481479</v>
      </c>
      <c r="K445" s="1" t="s">
        <v>41</v>
      </c>
      <c r="L445" s="14">
        <f>24*(TblTimeSheet[[#This Row],[End Date and Time]]-TblTimeSheet[[#This Row],[Start Date and Time]])</f>
        <v>0.66666666674427688</v>
      </c>
      <c r="M44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5">
        <f>--(0&gt;(TblTimeSheet[[#This Row],[End Date and Time]]-TblTimeSheet[[#This Row],[Start Date and Time]]))</f>
        <v>0</v>
      </c>
    </row>
    <row r="446" spans="1:14" x14ac:dyDescent="0.25">
      <c r="A446" s="1"/>
      <c r="B446" s="2" t="s">
        <v>699</v>
      </c>
      <c r="C446" s="2" t="s">
        <v>41</v>
      </c>
      <c r="D446" s="2" t="s">
        <v>19</v>
      </c>
      <c r="E446" s="7" t="s">
        <v>948</v>
      </c>
      <c r="F446" s="3">
        <v>42324.604166666664</v>
      </c>
      <c r="G446" s="3">
        <v>42324.666666666664</v>
      </c>
      <c r="H446" s="1" t="s">
        <v>6</v>
      </c>
      <c r="I446" s="1" t="s">
        <v>38</v>
      </c>
      <c r="J446" s="1">
        <v>42325.682337962964</v>
      </c>
      <c r="K446" s="1" t="s">
        <v>41</v>
      </c>
      <c r="L446" s="14">
        <f>24*(TblTimeSheet[[#This Row],[End Date and Time]]-TblTimeSheet[[#This Row],[Start Date and Time]])</f>
        <v>1.5</v>
      </c>
      <c r="M44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6">
        <f>--(0&gt;(TblTimeSheet[[#This Row],[End Date and Time]]-TblTimeSheet[[#This Row],[Start Date and Time]]))</f>
        <v>0</v>
      </c>
    </row>
    <row r="447" spans="1:14" x14ac:dyDescent="0.25">
      <c r="A447" s="1"/>
      <c r="B447" s="2" t="s">
        <v>697</v>
      </c>
      <c r="C447" s="2" t="s">
        <v>78</v>
      </c>
      <c r="D447" s="2" t="s">
        <v>20</v>
      </c>
      <c r="E447" s="7" t="s">
        <v>949</v>
      </c>
      <c r="F447" s="3">
        <v>42326.618055555555</v>
      </c>
      <c r="G447" s="3">
        <v>42326.635416666664</v>
      </c>
      <c r="H447" s="1" t="s">
        <v>6</v>
      </c>
      <c r="I447" s="1" t="s">
        <v>38</v>
      </c>
      <c r="J447" s="1">
        <v>42326.70548611111</v>
      </c>
      <c r="K447" s="1" t="s">
        <v>78</v>
      </c>
      <c r="L447" s="14">
        <f>24*(TblTimeSheet[[#This Row],[End Date and Time]]-TblTimeSheet[[#This Row],[Start Date and Time]])</f>
        <v>0.41666666662786156</v>
      </c>
      <c r="M44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7">
        <f>--(0&gt;(TblTimeSheet[[#This Row],[End Date and Time]]-TblTimeSheet[[#This Row],[Start Date and Time]]))</f>
        <v>0</v>
      </c>
    </row>
    <row r="448" spans="1:14" x14ac:dyDescent="0.25">
      <c r="A448" s="1"/>
      <c r="B448" s="2" t="s">
        <v>697</v>
      </c>
      <c r="C448" s="2" t="s">
        <v>124</v>
      </c>
      <c r="D448" s="2" t="s">
        <v>20</v>
      </c>
      <c r="E448" s="7" t="s">
        <v>950</v>
      </c>
      <c r="F448" s="3">
        <v>42318.458333333336</v>
      </c>
      <c r="G448" s="3">
        <v>42318.5</v>
      </c>
      <c r="H448" s="1" t="s">
        <v>6</v>
      </c>
      <c r="I448" s="1" t="s">
        <v>38</v>
      </c>
      <c r="J448" s="1">
        <v>42326.698321759257</v>
      </c>
      <c r="K448" s="1" t="s">
        <v>2863</v>
      </c>
      <c r="L448" s="14">
        <f>24*(TblTimeSheet[[#This Row],[End Date and Time]]-TblTimeSheet[[#This Row],[Start Date and Time]])</f>
        <v>0.99999999994179234</v>
      </c>
      <c r="M44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8">
        <f>--(0&gt;(TblTimeSheet[[#This Row],[End Date and Time]]-TblTimeSheet[[#This Row],[Start Date and Time]]))</f>
        <v>0</v>
      </c>
    </row>
    <row r="449" spans="1:14" ht="30" x14ac:dyDescent="0.25">
      <c r="A449" s="1"/>
      <c r="B449" s="2" t="s">
        <v>697</v>
      </c>
      <c r="C449" s="2" t="s">
        <v>124</v>
      </c>
      <c r="D449" s="2" t="s">
        <v>20</v>
      </c>
      <c r="E449" s="7" t="s">
        <v>1723</v>
      </c>
      <c r="F449" s="3">
        <v>42324.416666666664</v>
      </c>
      <c r="G449" s="3">
        <v>42324.541666666664</v>
      </c>
      <c r="H449" s="1" t="s">
        <v>6</v>
      </c>
      <c r="I449" s="1" t="s">
        <v>38</v>
      </c>
      <c r="J449" s="1">
        <v>42326.70039351852</v>
      </c>
      <c r="K449" s="1" t="s">
        <v>2863</v>
      </c>
      <c r="L449" s="14">
        <f>24*(TblTimeSheet[[#This Row],[End Date and Time]]-TblTimeSheet[[#This Row],[Start Date and Time]])</f>
        <v>3</v>
      </c>
      <c r="M44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49">
        <f>--(0&gt;(TblTimeSheet[[#This Row],[End Date and Time]]-TblTimeSheet[[#This Row],[Start Date and Time]]))</f>
        <v>0</v>
      </c>
    </row>
    <row r="450" spans="1:14" x14ac:dyDescent="0.25">
      <c r="A450" s="1"/>
      <c r="B450" s="2" t="s">
        <v>697</v>
      </c>
      <c r="C450" s="2" t="s">
        <v>124</v>
      </c>
      <c r="D450" s="2" t="s">
        <v>20</v>
      </c>
      <c r="E450" s="7" t="s">
        <v>951</v>
      </c>
      <c r="F450" s="3">
        <v>42325.677083333336</v>
      </c>
      <c r="G450" s="3">
        <v>42325.739583333336</v>
      </c>
      <c r="H450" s="1" t="s">
        <v>6</v>
      </c>
      <c r="I450" s="1" t="s">
        <v>38</v>
      </c>
      <c r="J450" s="1">
        <v>42326.702326388891</v>
      </c>
      <c r="K450" s="1" t="s">
        <v>2863</v>
      </c>
      <c r="L450" s="14">
        <f>24*(TblTimeSheet[[#This Row],[End Date and Time]]-TblTimeSheet[[#This Row],[Start Date and Time]])</f>
        <v>1.5</v>
      </c>
      <c r="M45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0">
        <f>--(0&gt;(TblTimeSheet[[#This Row],[End Date and Time]]-TblTimeSheet[[#This Row],[Start Date and Time]]))</f>
        <v>0</v>
      </c>
    </row>
    <row r="451" spans="1:14" x14ac:dyDescent="0.25">
      <c r="A451" s="1"/>
      <c r="B451" s="2" t="s">
        <v>697</v>
      </c>
      <c r="C451" s="2" t="s">
        <v>124</v>
      </c>
      <c r="D451" s="2" t="s">
        <v>20</v>
      </c>
      <c r="E451" s="7" t="s">
        <v>952</v>
      </c>
      <c r="F451" s="3">
        <v>42326.618055555555</v>
      </c>
      <c r="G451" s="3">
        <v>42326.701388888891</v>
      </c>
      <c r="H451" s="1" t="s">
        <v>6</v>
      </c>
      <c r="I451" s="1" t="s">
        <v>38</v>
      </c>
      <c r="J451" s="1">
        <v>42326.704861111109</v>
      </c>
      <c r="K451" s="1" t="s">
        <v>2863</v>
      </c>
      <c r="L451" s="14">
        <f>24*(TblTimeSheet[[#This Row],[End Date and Time]]-TblTimeSheet[[#This Row],[Start Date and Time]])</f>
        <v>2.0000000000582077</v>
      </c>
      <c r="M45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1">
        <f>--(0&gt;(TblTimeSheet[[#This Row],[End Date and Time]]-TblTimeSheet[[#This Row],[Start Date and Time]]))</f>
        <v>0</v>
      </c>
    </row>
    <row r="452" spans="1:14" ht="30" x14ac:dyDescent="0.25">
      <c r="A452" s="1"/>
      <c r="B452" s="2" t="s">
        <v>699</v>
      </c>
      <c r="C452" s="2" t="s">
        <v>41</v>
      </c>
      <c r="D452" s="2" t="s">
        <v>20</v>
      </c>
      <c r="E452" s="7" t="s">
        <v>953</v>
      </c>
      <c r="F452" s="3">
        <v>42326.5</v>
      </c>
      <c r="G452" s="3">
        <v>42326.5625</v>
      </c>
      <c r="H452" s="1" t="s">
        <v>6</v>
      </c>
      <c r="I452" s="1" t="s">
        <v>38</v>
      </c>
      <c r="J452" s="1">
        <v>42358.482048611113</v>
      </c>
      <c r="K452" s="1" t="s">
        <v>41</v>
      </c>
      <c r="L452" s="14">
        <f>24*(TblTimeSheet[[#This Row],[End Date and Time]]-TblTimeSheet[[#This Row],[Start Date and Time]])</f>
        <v>1.5</v>
      </c>
      <c r="M45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2">
        <f>--(0&gt;(TblTimeSheet[[#This Row],[End Date and Time]]-TblTimeSheet[[#This Row],[Start Date and Time]]))</f>
        <v>0</v>
      </c>
    </row>
    <row r="453" spans="1:14" x14ac:dyDescent="0.25">
      <c r="A453" s="1"/>
      <c r="B453" s="2" t="s">
        <v>699</v>
      </c>
      <c r="C453" s="2" t="s">
        <v>41</v>
      </c>
      <c r="D453" s="2" t="s">
        <v>20</v>
      </c>
      <c r="E453" s="7" t="s">
        <v>954</v>
      </c>
      <c r="F453" s="3">
        <v>42326.625</v>
      </c>
      <c r="G453" s="3">
        <v>42326.666666666664</v>
      </c>
      <c r="H453" s="1" t="s">
        <v>6</v>
      </c>
      <c r="I453" s="1" t="s">
        <v>38</v>
      </c>
      <c r="J453" s="1">
        <v>42326.732835648145</v>
      </c>
      <c r="K453" s="1" t="s">
        <v>41</v>
      </c>
      <c r="L453" s="14">
        <f>24*(TblTimeSheet[[#This Row],[End Date and Time]]-TblTimeSheet[[#This Row],[Start Date and Time]])</f>
        <v>0.99999999994179234</v>
      </c>
      <c r="M45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3">
        <f>--(0&gt;(TblTimeSheet[[#This Row],[End Date and Time]]-TblTimeSheet[[#This Row],[Start Date and Time]]))</f>
        <v>0</v>
      </c>
    </row>
    <row r="454" spans="1:14" x14ac:dyDescent="0.25">
      <c r="A454" s="1"/>
      <c r="B454" s="2" t="s">
        <v>697</v>
      </c>
      <c r="C454" s="2" t="s">
        <v>124</v>
      </c>
      <c r="D454" s="2" t="s">
        <v>20</v>
      </c>
      <c r="E454" s="7" t="s">
        <v>955</v>
      </c>
      <c r="F454" s="3">
        <v>42327.375</v>
      </c>
      <c r="G454" s="3">
        <v>42327.541666666664</v>
      </c>
      <c r="H454" s="1" t="s">
        <v>6</v>
      </c>
      <c r="I454" s="1" t="s">
        <v>38</v>
      </c>
      <c r="J454" s="1">
        <v>42327.631168981483</v>
      </c>
      <c r="K454" s="1" t="s">
        <v>2863</v>
      </c>
      <c r="L454" s="14">
        <f>24*(TblTimeSheet[[#This Row],[End Date and Time]]-TblTimeSheet[[#This Row],[Start Date and Time]])</f>
        <v>3.9999999999417923</v>
      </c>
      <c r="M45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4">
        <f>--(0&gt;(TblTimeSheet[[#This Row],[End Date and Time]]-TblTimeSheet[[#This Row],[Start Date and Time]]))</f>
        <v>0</v>
      </c>
    </row>
    <row r="455" spans="1:14" x14ac:dyDescent="0.25">
      <c r="A455" s="1"/>
      <c r="B455" s="2" t="s">
        <v>697</v>
      </c>
      <c r="C455" s="2" t="s">
        <v>124</v>
      </c>
      <c r="D455" s="2" t="s">
        <v>20</v>
      </c>
      <c r="E455" s="7" t="s">
        <v>956</v>
      </c>
      <c r="F455" s="3">
        <v>42327.59375</v>
      </c>
      <c r="G455" s="3">
        <v>42327.625</v>
      </c>
      <c r="H455" s="1" t="s">
        <v>6</v>
      </c>
      <c r="I455" s="1" t="s">
        <v>38</v>
      </c>
      <c r="J455" s="1">
        <v>42327.628252314818</v>
      </c>
      <c r="K455" s="1" t="s">
        <v>2863</v>
      </c>
      <c r="L455" s="14">
        <f>24*(TblTimeSheet[[#This Row],[End Date and Time]]-TblTimeSheet[[#This Row],[Start Date and Time]])</f>
        <v>0.75</v>
      </c>
      <c r="M45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5">
        <f>--(0&gt;(TblTimeSheet[[#This Row],[End Date and Time]]-TblTimeSheet[[#This Row],[Start Date and Time]]))</f>
        <v>0</v>
      </c>
    </row>
    <row r="456" spans="1:14" x14ac:dyDescent="0.25">
      <c r="A456" s="1"/>
      <c r="B456" s="2" t="s">
        <v>697</v>
      </c>
      <c r="C456" s="2" t="s">
        <v>41</v>
      </c>
      <c r="D456" s="2" t="s">
        <v>20</v>
      </c>
      <c r="E456" s="7" t="s">
        <v>957</v>
      </c>
      <c r="F456" s="3">
        <v>42327.59375</v>
      </c>
      <c r="G456" s="3">
        <v>42327.625</v>
      </c>
      <c r="H456" s="1" t="s">
        <v>6</v>
      </c>
      <c r="I456" s="1" t="s">
        <v>38</v>
      </c>
      <c r="J456" s="1">
        <v>42328.403113425928</v>
      </c>
      <c r="K456" s="1" t="s">
        <v>41</v>
      </c>
      <c r="L456" s="14">
        <f>24*(TblTimeSheet[[#This Row],[End Date and Time]]-TblTimeSheet[[#This Row],[Start Date and Time]])</f>
        <v>0.75</v>
      </c>
      <c r="M45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6">
        <f>--(0&gt;(TblTimeSheet[[#This Row],[End Date and Time]]-TblTimeSheet[[#This Row],[Start Date and Time]]))</f>
        <v>0</v>
      </c>
    </row>
    <row r="457" spans="1:14" x14ac:dyDescent="0.25">
      <c r="A457" s="1"/>
      <c r="B457" s="2" t="s">
        <v>697</v>
      </c>
      <c r="C457" s="2" t="s">
        <v>171</v>
      </c>
      <c r="D457" s="2" t="s">
        <v>20</v>
      </c>
      <c r="E457" s="7" t="s">
        <v>958</v>
      </c>
      <c r="F457" s="3">
        <v>42327.59375</v>
      </c>
      <c r="G457" s="3">
        <v>42327.625</v>
      </c>
      <c r="H457" s="1" t="s">
        <v>6</v>
      </c>
      <c r="I457" s="1" t="s">
        <v>38</v>
      </c>
      <c r="J457" s="1">
        <v>42333.691979166666</v>
      </c>
      <c r="K457" s="1" t="s">
        <v>2863</v>
      </c>
      <c r="L457" s="14">
        <f>24*(TblTimeSheet[[#This Row],[End Date and Time]]-TblTimeSheet[[#This Row],[Start Date and Time]])</f>
        <v>0.75</v>
      </c>
      <c r="M45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7">
        <f>--(0&gt;(TblTimeSheet[[#This Row],[End Date and Time]]-TblTimeSheet[[#This Row],[Start Date and Time]]))</f>
        <v>0</v>
      </c>
    </row>
    <row r="458" spans="1:14" x14ac:dyDescent="0.25">
      <c r="A458" s="1"/>
      <c r="B458" s="2" t="s">
        <v>699</v>
      </c>
      <c r="C458" s="2" t="s">
        <v>171</v>
      </c>
      <c r="D458" s="2" t="s">
        <v>20</v>
      </c>
      <c r="E458" s="7" t="s">
        <v>959</v>
      </c>
      <c r="F458" s="3">
        <v>42328.5</v>
      </c>
      <c r="G458" s="3">
        <v>42328.53125</v>
      </c>
      <c r="H458" s="1" t="s">
        <v>6</v>
      </c>
      <c r="I458" s="1" t="s">
        <v>38</v>
      </c>
      <c r="J458" s="1">
        <v>42328.543252314812</v>
      </c>
      <c r="K458" s="1" t="s">
        <v>41</v>
      </c>
      <c r="L458" s="14">
        <f>24*(TblTimeSheet[[#This Row],[End Date and Time]]-TblTimeSheet[[#This Row],[Start Date and Time]])</f>
        <v>0.75</v>
      </c>
      <c r="M45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8">
        <f>--(0&gt;(TblTimeSheet[[#This Row],[End Date and Time]]-TblTimeSheet[[#This Row],[Start Date and Time]]))</f>
        <v>0</v>
      </c>
    </row>
    <row r="459" spans="1:14" x14ac:dyDescent="0.25">
      <c r="A459" s="1"/>
      <c r="B459" s="2" t="s">
        <v>699</v>
      </c>
      <c r="C459" s="2" t="s">
        <v>41</v>
      </c>
      <c r="D459" s="2" t="s">
        <v>20</v>
      </c>
      <c r="E459" s="7" t="s">
        <v>960</v>
      </c>
      <c r="F459" s="3">
        <v>42328.5</v>
      </c>
      <c r="G459" s="3">
        <v>42328.53125</v>
      </c>
      <c r="H459" s="1" t="s">
        <v>6</v>
      </c>
      <c r="I459" s="1" t="s">
        <v>38</v>
      </c>
      <c r="J459" s="1">
        <v>42328.542847222219</v>
      </c>
      <c r="K459" s="1" t="s">
        <v>41</v>
      </c>
      <c r="L459" s="14">
        <f>24*(TblTimeSheet[[#This Row],[End Date and Time]]-TblTimeSheet[[#This Row],[Start Date and Time]])</f>
        <v>0.75</v>
      </c>
      <c r="M45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59">
        <f>--(0&gt;(TblTimeSheet[[#This Row],[End Date and Time]]-TblTimeSheet[[#This Row],[Start Date and Time]]))</f>
        <v>0</v>
      </c>
    </row>
    <row r="460" spans="1:14" x14ac:dyDescent="0.25">
      <c r="A460" s="1"/>
      <c r="B460" s="2" t="s">
        <v>699</v>
      </c>
      <c r="C460" s="2" t="s">
        <v>961</v>
      </c>
      <c r="D460" s="2" t="s">
        <v>20</v>
      </c>
      <c r="E460" s="7" t="s">
        <v>962</v>
      </c>
      <c r="F460" s="3">
        <v>42328.5</v>
      </c>
      <c r="G460" s="3">
        <v>42328.53125</v>
      </c>
      <c r="H460" s="1" t="s">
        <v>6</v>
      </c>
      <c r="I460" s="1" t="s">
        <v>38</v>
      </c>
      <c r="J460" s="1">
        <v>42328.544444444444</v>
      </c>
      <c r="K460" s="1" t="s">
        <v>961</v>
      </c>
      <c r="L460" s="14">
        <f>24*(TblTimeSheet[[#This Row],[End Date and Time]]-TblTimeSheet[[#This Row],[Start Date and Time]])</f>
        <v>0.75</v>
      </c>
      <c r="M46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0">
        <f>--(0&gt;(TblTimeSheet[[#This Row],[End Date and Time]]-TblTimeSheet[[#This Row],[Start Date and Time]]))</f>
        <v>0</v>
      </c>
    </row>
    <row r="461" spans="1:14" x14ac:dyDescent="0.25">
      <c r="A461" s="1"/>
      <c r="B461" s="2" t="s">
        <v>699</v>
      </c>
      <c r="C461" s="2" t="s">
        <v>118</v>
      </c>
      <c r="D461" s="2" t="s">
        <v>20</v>
      </c>
      <c r="E461" s="7" t="s">
        <v>963</v>
      </c>
      <c r="F461" s="3">
        <v>42328.604166666664</v>
      </c>
      <c r="G461" s="3">
        <v>42328.645833333336</v>
      </c>
      <c r="H461" s="1" t="s">
        <v>6</v>
      </c>
      <c r="I461" s="1" t="s">
        <v>38</v>
      </c>
      <c r="J461" s="1">
        <v>42328.722210648149</v>
      </c>
      <c r="K461" s="1" t="s">
        <v>118</v>
      </c>
      <c r="L461" s="14">
        <f>24*(TblTimeSheet[[#This Row],[End Date and Time]]-TblTimeSheet[[#This Row],[Start Date and Time]])</f>
        <v>1.0000000001164153</v>
      </c>
      <c r="M46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1">
        <f>--(0&gt;(TblTimeSheet[[#This Row],[End Date and Time]]-TblTimeSheet[[#This Row],[Start Date and Time]]))</f>
        <v>0</v>
      </c>
    </row>
    <row r="462" spans="1:14" ht="30" x14ac:dyDescent="0.25">
      <c r="A462" s="1"/>
      <c r="B462" s="2" t="s">
        <v>699</v>
      </c>
      <c r="C462" s="2" t="s">
        <v>41</v>
      </c>
      <c r="D462" s="2" t="s">
        <v>20</v>
      </c>
      <c r="E462" s="7" t="s">
        <v>1724</v>
      </c>
      <c r="F462" s="3">
        <v>42328.416666666664</v>
      </c>
      <c r="G462" s="3">
        <v>42328.4375</v>
      </c>
      <c r="H462" s="1" t="s">
        <v>6</v>
      </c>
      <c r="I462" s="1" t="s">
        <v>38</v>
      </c>
      <c r="J462" s="1">
        <v>42329.622245370374</v>
      </c>
      <c r="K462" s="1" t="s">
        <v>41</v>
      </c>
      <c r="L462" s="14">
        <f>24*(TblTimeSheet[[#This Row],[End Date and Time]]-TblTimeSheet[[#This Row],[Start Date and Time]])</f>
        <v>0.50000000005820766</v>
      </c>
      <c r="M46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2">
        <f>--(0&gt;(TblTimeSheet[[#This Row],[End Date and Time]]-TblTimeSheet[[#This Row],[Start Date and Time]]))</f>
        <v>0</v>
      </c>
    </row>
    <row r="463" spans="1:14" ht="30" x14ac:dyDescent="0.25">
      <c r="A463" s="1"/>
      <c r="B463" s="2" t="s">
        <v>699</v>
      </c>
      <c r="C463" s="2" t="s">
        <v>41</v>
      </c>
      <c r="D463" s="2" t="s">
        <v>20</v>
      </c>
      <c r="E463" s="7" t="s">
        <v>1725</v>
      </c>
      <c r="F463" s="3">
        <v>42329.458333333336</v>
      </c>
      <c r="G463" s="3">
        <v>42329.479166666664</v>
      </c>
      <c r="H463" s="1" t="s">
        <v>6</v>
      </c>
      <c r="I463" s="1" t="s">
        <v>38</v>
      </c>
      <c r="J463" s="1">
        <v>42329.622881944444</v>
      </c>
      <c r="K463" s="1" t="s">
        <v>41</v>
      </c>
      <c r="L463" s="14">
        <f>24*(TblTimeSheet[[#This Row],[End Date and Time]]-TblTimeSheet[[#This Row],[Start Date and Time]])</f>
        <v>0.49999999988358468</v>
      </c>
      <c r="M46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3">
        <f>--(0&gt;(TblTimeSheet[[#This Row],[End Date and Time]]-TblTimeSheet[[#This Row],[Start Date and Time]]))</f>
        <v>0</v>
      </c>
    </row>
    <row r="464" spans="1:14" x14ac:dyDescent="0.25">
      <c r="A464" s="1"/>
      <c r="B464" s="2" t="s">
        <v>699</v>
      </c>
      <c r="C464" s="2" t="s">
        <v>43</v>
      </c>
      <c r="D464" s="2" t="s">
        <v>20</v>
      </c>
      <c r="E464" s="7" t="s">
        <v>964</v>
      </c>
      <c r="F464" s="3">
        <v>42328.625</v>
      </c>
      <c r="G464" s="3">
        <v>42328.645833333336</v>
      </c>
      <c r="H464" s="1" t="s">
        <v>6</v>
      </c>
      <c r="I464" s="1" t="s">
        <v>38</v>
      </c>
      <c r="J464" s="1">
        <v>42347.788437499999</v>
      </c>
      <c r="K464" s="1" t="s">
        <v>41</v>
      </c>
      <c r="L464" s="14">
        <f>24*(TblTimeSheet[[#This Row],[End Date and Time]]-TblTimeSheet[[#This Row],[Start Date and Time]])</f>
        <v>0.50000000005820766</v>
      </c>
      <c r="M46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4">
        <f>--(0&gt;(TblTimeSheet[[#This Row],[End Date and Time]]-TblTimeSheet[[#This Row],[Start Date and Time]]))</f>
        <v>0</v>
      </c>
    </row>
    <row r="465" spans="1:14" x14ac:dyDescent="0.25">
      <c r="A465" s="1"/>
      <c r="B465" s="2" t="s">
        <v>699</v>
      </c>
      <c r="C465" s="2" t="s">
        <v>116</v>
      </c>
      <c r="D465" s="2" t="s">
        <v>20</v>
      </c>
      <c r="E465" s="7" t="s">
        <v>167</v>
      </c>
      <c r="F465" s="3">
        <v>42331.614583333336</v>
      </c>
      <c r="G465" s="3">
        <v>42331.625</v>
      </c>
      <c r="H465" s="1" t="s">
        <v>6</v>
      </c>
      <c r="I465" s="1" t="s">
        <v>38</v>
      </c>
      <c r="J465" s="1">
        <v>42331.634027777778</v>
      </c>
      <c r="K465" s="1" t="s">
        <v>166</v>
      </c>
      <c r="L465" s="14">
        <f>24*(TblTimeSheet[[#This Row],[End Date and Time]]-TblTimeSheet[[#This Row],[Start Date and Time]])</f>
        <v>0.24999999994179234</v>
      </c>
      <c r="M46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465">
        <f>--(0&gt;(TblTimeSheet[[#This Row],[End Date and Time]]-TblTimeSheet[[#This Row],[Start Date and Time]]))</f>
        <v>0</v>
      </c>
    </row>
    <row r="466" spans="1:14" x14ac:dyDescent="0.25">
      <c r="A466" s="1"/>
      <c r="B466" s="2" t="s">
        <v>114</v>
      </c>
      <c r="C466" s="2" t="s">
        <v>41</v>
      </c>
      <c r="D466" s="2" t="s">
        <v>19</v>
      </c>
      <c r="E466" s="7" t="s">
        <v>965</v>
      </c>
      <c r="F466" s="3">
        <v>42331.5</v>
      </c>
      <c r="G466" s="3">
        <v>42331.520833333336</v>
      </c>
      <c r="H466" s="1" t="s">
        <v>6</v>
      </c>
      <c r="I466" s="1" t="s">
        <v>38</v>
      </c>
      <c r="J466" s="1">
        <v>42331.664467592593</v>
      </c>
      <c r="K466" s="1" t="s">
        <v>41</v>
      </c>
      <c r="L466" s="14">
        <f>24*(TblTimeSheet[[#This Row],[End Date and Time]]-TblTimeSheet[[#This Row],[Start Date and Time]])</f>
        <v>0.50000000005820766</v>
      </c>
      <c r="M46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6">
        <f>--(0&gt;(TblTimeSheet[[#This Row],[End Date and Time]]-TblTimeSheet[[#This Row],[Start Date and Time]]))</f>
        <v>0</v>
      </c>
    </row>
    <row r="467" spans="1:14" x14ac:dyDescent="0.25">
      <c r="A467" s="1"/>
      <c r="B467" s="2" t="s">
        <v>697</v>
      </c>
      <c r="C467" s="2" t="s">
        <v>116</v>
      </c>
      <c r="D467" s="2" t="s">
        <v>20</v>
      </c>
      <c r="E467" s="7" t="s">
        <v>966</v>
      </c>
      <c r="F467" s="3">
        <v>42332.395833333336</v>
      </c>
      <c r="G467" s="3">
        <v>42332.4375</v>
      </c>
      <c r="H467" s="1" t="s">
        <v>6</v>
      </c>
      <c r="I467" s="1" t="s">
        <v>38</v>
      </c>
      <c r="J467" s="1">
        <v>42450.388680555552</v>
      </c>
      <c r="K467" s="1" t="s">
        <v>701</v>
      </c>
      <c r="L467" s="14">
        <f>24*(TblTimeSheet[[#This Row],[End Date and Time]]-TblTimeSheet[[#This Row],[Start Date and Time]])</f>
        <v>0.99999999994179234</v>
      </c>
      <c r="M46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7">
        <f>--(0&gt;(TblTimeSheet[[#This Row],[End Date and Time]]-TblTimeSheet[[#This Row],[Start Date and Time]]))</f>
        <v>0</v>
      </c>
    </row>
    <row r="468" spans="1:14" x14ac:dyDescent="0.25">
      <c r="A468" s="1"/>
      <c r="B468" s="2" t="s">
        <v>697</v>
      </c>
      <c r="C468" s="2" t="s">
        <v>116</v>
      </c>
      <c r="D468" s="2" t="s">
        <v>20</v>
      </c>
      <c r="E468" s="7" t="s">
        <v>967</v>
      </c>
      <c r="F468" s="3">
        <v>42332.479166666664</v>
      </c>
      <c r="G468" s="3">
        <v>42332.5</v>
      </c>
      <c r="H468" s="1" t="s">
        <v>6</v>
      </c>
      <c r="I468" s="1" t="s">
        <v>38</v>
      </c>
      <c r="J468" s="1">
        <v>42332.502581018518</v>
      </c>
      <c r="K468" s="1" t="s">
        <v>701</v>
      </c>
      <c r="L468" s="14">
        <f>24*(TblTimeSheet[[#This Row],[End Date and Time]]-TblTimeSheet[[#This Row],[Start Date and Time]])</f>
        <v>0.50000000005820766</v>
      </c>
      <c r="M46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468">
        <f>--(0&gt;(TblTimeSheet[[#This Row],[End Date and Time]]-TblTimeSheet[[#This Row],[Start Date and Time]]))</f>
        <v>0</v>
      </c>
    </row>
    <row r="469" spans="1:14" x14ac:dyDescent="0.25">
      <c r="A469" s="1"/>
      <c r="B469" s="2" t="s">
        <v>697</v>
      </c>
      <c r="C469" s="2" t="s">
        <v>118</v>
      </c>
      <c r="D469" s="2" t="s">
        <v>20</v>
      </c>
      <c r="E469" s="7" t="s">
        <v>968</v>
      </c>
      <c r="F469" s="3">
        <v>42332.375</v>
      </c>
      <c r="G469" s="3">
        <v>42332.416666666664</v>
      </c>
      <c r="H469" s="1" t="s">
        <v>6</v>
      </c>
      <c r="I469" s="1" t="s">
        <v>38</v>
      </c>
      <c r="J469" s="1">
        <v>42332.607314814813</v>
      </c>
      <c r="K469" s="1" t="s">
        <v>118</v>
      </c>
      <c r="L469" s="14">
        <f>24*(TblTimeSheet[[#This Row],[End Date and Time]]-TblTimeSheet[[#This Row],[Start Date and Time]])</f>
        <v>0.99999999994179234</v>
      </c>
      <c r="M46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69">
        <f>--(0&gt;(TblTimeSheet[[#This Row],[End Date and Time]]-TblTimeSheet[[#This Row],[Start Date and Time]]))</f>
        <v>0</v>
      </c>
    </row>
    <row r="470" spans="1:14" x14ac:dyDescent="0.25">
      <c r="A470" s="1"/>
      <c r="B470" s="2" t="s">
        <v>697</v>
      </c>
      <c r="C470" s="2" t="s">
        <v>116</v>
      </c>
      <c r="D470" s="2" t="s">
        <v>20</v>
      </c>
      <c r="E470" s="7" t="s">
        <v>167</v>
      </c>
      <c r="F470" s="3">
        <v>42332.479166666664</v>
      </c>
      <c r="G470" s="3">
        <v>42332.5</v>
      </c>
      <c r="H470" s="1" t="s">
        <v>6</v>
      </c>
      <c r="I470" s="1" t="s">
        <v>38</v>
      </c>
      <c r="J470" s="1">
        <v>42332.631168981483</v>
      </c>
      <c r="K470" s="1" t="s">
        <v>166</v>
      </c>
      <c r="L470" s="14">
        <f>24*(TblTimeSheet[[#This Row],[End Date and Time]]-TblTimeSheet[[#This Row],[Start Date and Time]])</f>
        <v>0.50000000005820766</v>
      </c>
      <c r="M47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470">
        <f>--(0&gt;(TblTimeSheet[[#This Row],[End Date and Time]]-TblTimeSheet[[#This Row],[Start Date and Time]]))</f>
        <v>0</v>
      </c>
    </row>
    <row r="471" spans="1:14" x14ac:dyDescent="0.25">
      <c r="A471" s="1"/>
      <c r="B471" s="2" t="s">
        <v>697</v>
      </c>
      <c r="C471" s="2" t="s">
        <v>118</v>
      </c>
      <c r="D471" s="2" t="s">
        <v>20</v>
      </c>
      <c r="E471" s="7" t="s">
        <v>969</v>
      </c>
      <c r="F471" s="3">
        <v>42332.479166666664</v>
      </c>
      <c r="G471" s="3">
        <v>42332.520833333336</v>
      </c>
      <c r="H471" s="1" t="s">
        <v>6</v>
      </c>
      <c r="I471" s="1" t="s">
        <v>38</v>
      </c>
      <c r="J471" s="1">
        <v>42333.70034722222</v>
      </c>
      <c r="K471" s="1" t="s">
        <v>118</v>
      </c>
      <c r="L471" s="14">
        <f>24*(TblTimeSheet[[#This Row],[End Date and Time]]-TblTimeSheet[[#This Row],[Start Date and Time]])</f>
        <v>1.0000000001164153</v>
      </c>
      <c r="M47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1">
        <f>--(0&gt;(TblTimeSheet[[#This Row],[End Date and Time]]-TblTimeSheet[[#This Row],[Start Date and Time]]))</f>
        <v>0</v>
      </c>
    </row>
    <row r="472" spans="1:14" x14ac:dyDescent="0.25">
      <c r="A472" s="1"/>
      <c r="B472" s="2" t="s">
        <v>697</v>
      </c>
      <c r="C472" s="2" t="s">
        <v>43</v>
      </c>
      <c r="D472" s="2" t="s">
        <v>20</v>
      </c>
      <c r="E472" s="7" t="s">
        <v>970</v>
      </c>
      <c r="F472" s="3">
        <v>42332.479166666664</v>
      </c>
      <c r="G472" s="3">
        <v>42332.520833333336</v>
      </c>
      <c r="H472" s="1" t="s">
        <v>6</v>
      </c>
      <c r="I472" s="1" t="s">
        <v>38</v>
      </c>
      <c r="J472" s="1">
        <v>42333.704722222225</v>
      </c>
      <c r="K472" s="1" t="s">
        <v>43</v>
      </c>
      <c r="L472" s="14">
        <f>24*(TblTimeSheet[[#This Row],[End Date and Time]]-TblTimeSheet[[#This Row],[Start Date and Time]])</f>
        <v>1.0000000001164153</v>
      </c>
      <c r="M47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2">
        <f>--(0&gt;(TblTimeSheet[[#This Row],[End Date and Time]]-TblTimeSheet[[#This Row],[Start Date and Time]]))</f>
        <v>0</v>
      </c>
    </row>
    <row r="473" spans="1:14" x14ac:dyDescent="0.25">
      <c r="A473" s="1"/>
      <c r="B473" s="2" t="s">
        <v>697</v>
      </c>
      <c r="C473" s="2" t="s">
        <v>124</v>
      </c>
      <c r="D473" s="2" t="s">
        <v>20</v>
      </c>
      <c r="E473" s="7" t="s">
        <v>971</v>
      </c>
      <c r="F473" s="3">
        <v>42327.666666666664</v>
      </c>
      <c r="G473" s="3">
        <v>42327.729166666664</v>
      </c>
      <c r="H473" s="1" t="s">
        <v>6</v>
      </c>
      <c r="I473" s="1" t="s">
        <v>38</v>
      </c>
      <c r="J473" s="1">
        <v>42333.711724537039</v>
      </c>
      <c r="K473" s="1" t="s">
        <v>2863</v>
      </c>
      <c r="L473" s="14">
        <f>24*(TblTimeSheet[[#This Row],[End Date and Time]]-TblTimeSheet[[#This Row],[Start Date and Time]])</f>
        <v>1.5</v>
      </c>
      <c r="M47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3">
        <f>--(0&gt;(TblTimeSheet[[#This Row],[End Date and Time]]-TblTimeSheet[[#This Row],[Start Date and Time]]))</f>
        <v>0</v>
      </c>
    </row>
    <row r="474" spans="1:14" x14ac:dyDescent="0.25">
      <c r="A474" s="1"/>
      <c r="B474" s="2" t="s">
        <v>697</v>
      </c>
      <c r="C474" s="2" t="s">
        <v>124</v>
      </c>
      <c r="D474" s="2" t="s">
        <v>20</v>
      </c>
      <c r="E474" s="7" t="s">
        <v>972</v>
      </c>
      <c r="F474" s="3">
        <v>42331.375</v>
      </c>
      <c r="G474" s="3">
        <v>42331.5625</v>
      </c>
      <c r="H474" s="1" t="s">
        <v>6</v>
      </c>
      <c r="I474" s="1" t="s">
        <v>38</v>
      </c>
      <c r="J474" s="1">
        <v>42333.713194444441</v>
      </c>
      <c r="K474" s="1" t="s">
        <v>2863</v>
      </c>
      <c r="L474" s="14">
        <f>24*(TblTimeSheet[[#This Row],[End Date and Time]]-TblTimeSheet[[#This Row],[Start Date and Time]])</f>
        <v>4.5</v>
      </c>
      <c r="M47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4">
        <f>--(0&gt;(TblTimeSheet[[#This Row],[End Date and Time]]-TblTimeSheet[[#This Row],[Start Date and Time]]))</f>
        <v>0</v>
      </c>
    </row>
    <row r="475" spans="1:14" x14ac:dyDescent="0.25">
      <c r="A475" s="1"/>
      <c r="B475" s="2" t="s">
        <v>697</v>
      </c>
      <c r="C475" s="2" t="s">
        <v>78</v>
      </c>
      <c r="D475" s="2" t="s">
        <v>20</v>
      </c>
      <c r="E475" s="7" t="s">
        <v>973</v>
      </c>
      <c r="F475" s="3">
        <v>42334.708333333336</v>
      </c>
      <c r="G475" s="3">
        <v>42334.729166666664</v>
      </c>
      <c r="H475" s="1" t="s">
        <v>6</v>
      </c>
      <c r="I475" s="1" t="s">
        <v>38</v>
      </c>
      <c r="J475" s="1">
        <v>42334.731678240743</v>
      </c>
      <c r="K475" s="1" t="s">
        <v>78</v>
      </c>
      <c r="L475" s="14">
        <f>24*(TblTimeSheet[[#This Row],[End Date and Time]]-TblTimeSheet[[#This Row],[Start Date and Time]])</f>
        <v>0.49999999988358468</v>
      </c>
      <c r="M47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5">
        <f>--(0&gt;(TblTimeSheet[[#This Row],[End Date and Time]]-TblTimeSheet[[#This Row],[Start Date and Time]]))</f>
        <v>0</v>
      </c>
    </row>
    <row r="476" spans="1:14" x14ac:dyDescent="0.25">
      <c r="A476" s="1"/>
      <c r="B476" s="2" t="s">
        <v>697</v>
      </c>
      <c r="C476" s="2" t="s">
        <v>124</v>
      </c>
      <c r="D476" s="2" t="s">
        <v>20</v>
      </c>
      <c r="E476" s="7" t="s">
        <v>974</v>
      </c>
      <c r="F476" s="3">
        <v>42334.708333333336</v>
      </c>
      <c r="G476" s="3">
        <v>42334.729166666664</v>
      </c>
      <c r="H476" s="1" t="s">
        <v>6</v>
      </c>
      <c r="I476" s="1" t="s">
        <v>38</v>
      </c>
      <c r="J476" s="1">
        <v>42334.737800925926</v>
      </c>
      <c r="K476" s="1" t="s">
        <v>2863</v>
      </c>
      <c r="L476" s="14">
        <f>24*(TblTimeSheet[[#This Row],[End Date and Time]]-TblTimeSheet[[#This Row],[Start Date and Time]])</f>
        <v>0.49999999988358468</v>
      </c>
      <c r="M47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6">
        <f>--(0&gt;(TblTimeSheet[[#This Row],[End Date and Time]]-TblTimeSheet[[#This Row],[Start Date and Time]]))</f>
        <v>0</v>
      </c>
    </row>
    <row r="477" spans="1:14" x14ac:dyDescent="0.25">
      <c r="A477" s="1"/>
      <c r="B477" s="2" t="s">
        <v>697</v>
      </c>
      <c r="C477" s="2" t="s">
        <v>124</v>
      </c>
      <c r="D477" s="2" t="s">
        <v>20</v>
      </c>
      <c r="E477" s="7" t="s">
        <v>975</v>
      </c>
      <c r="F477" s="3">
        <v>42333.416666666664</v>
      </c>
      <c r="G477" s="3">
        <v>42333.541666666664</v>
      </c>
      <c r="H477" s="1" t="s">
        <v>6</v>
      </c>
      <c r="I477" s="1" t="s">
        <v>38</v>
      </c>
      <c r="J477" s="1">
        <v>42335.384166666663</v>
      </c>
      <c r="K477" s="1" t="s">
        <v>2863</v>
      </c>
      <c r="L477" s="14">
        <f>24*(TblTimeSheet[[#This Row],[End Date and Time]]-TblTimeSheet[[#This Row],[Start Date and Time]])</f>
        <v>3</v>
      </c>
      <c r="M477">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7">
        <f>--(0&gt;(TblTimeSheet[[#This Row],[End Date and Time]]-TblTimeSheet[[#This Row],[Start Date and Time]]))</f>
        <v>0</v>
      </c>
    </row>
    <row r="478" spans="1:14" x14ac:dyDescent="0.25">
      <c r="A478" s="1"/>
      <c r="B478" s="2" t="s">
        <v>697</v>
      </c>
      <c r="C478" s="2" t="s">
        <v>124</v>
      </c>
      <c r="D478" s="2" t="s">
        <v>20</v>
      </c>
      <c r="E478" s="7" t="s">
        <v>976</v>
      </c>
      <c r="F478" s="3">
        <v>42334.375</v>
      </c>
      <c r="G478" s="3">
        <v>42334.541666666664</v>
      </c>
      <c r="H478" s="1" t="s">
        <v>6</v>
      </c>
      <c r="I478" s="1" t="s">
        <v>38</v>
      </c>
      <c r="J478" s="1">
        <v>42335.386076388888</v>
      </c>
      <c r="K478" s="1" t="s">
        <v>2863</v>
      </c>
      <c r="L478" s="14">
        <f>24*(TblTimeSheet[[#This Row],[End Date and Time]]-TblTimeSheet[[#This Row],[Start Date and Time]])</f>
        <v>3.9999999999417923</v>
      </c>
      <c r="M478">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8">
        <f>--(0&gt;(TblTimeSheet[[#This Row],[End Date and Time]]-TblTimeSheet[[#This Row],[Start Date and Time]]))</f>
        <v>0</v>
      </c>
    </row>
    <row r="479" spans="1:14" x14ac:dyDescent="0.25">
      <c r="A479" s="1"/>
      <c r="B479" s="2" t="s">
        <v>697</v>
      </c>
      <c r="C479" s="2" t="s">
        <v>124</v>
      </c>
      <c r="D479" s="2" t="s">
        <v>20</v>
      </c>
      <c r="E479" s="7" t="s">
        <v>1726</v>
      </c>
      <c r="F479" s="3">
        <v>42334.666666666664</v>
      </c>
      <c r="G479" s="3">
        <v>42334.708333333336</v>
      </c>
      <c r="H479" s="1" t="s">
        <v>6</v>
      </c>
      <c r="I479" s="1" t="s">
        <v>38</v>
      </c>
      <c r="J479" s="1">
        <v>42335.388495370367</v>
      </c>
      <c r="K479" s="1" t="s">
        <v>2863</v>
      </c>
      <c r="L479" s="14">
        <f>24*(TblTimeSheet[[#This Row],[End Date and Time]]-TblTimeSheet[[#This Row],[Start Date and Time]])</f>
        <v>1.0000000001164153</v>
      </c>
      <c r="M479">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79">
        <f>--(0&gt;(TblTimeSheet[[#This Row],[End Date and Time]]-TblTimeSheet[[#This Row],[Start Date and Time]]))</f>
        <v>0</v>
      </c>
    </row>
    <row r="480" spans="1:14" x14ac:dyDescent="0.25">
      <c r="A480" s="1"/>
      <c r="B480" s="2" t="s">
        <v>697</v>
      </c>
      <c r="C480" s="2" t="s">
        <v>41</v>
      </c>
      <c r="D480" s="2" t="s">
        <v>20</v>
      </c>
      <c r="E480" s="7" t="s">
        <v>977</v>
      </c>
      <c r="F480" s="3">
        <v>42334.666666666664</v>
      </c>
      <c r="G480" s="3">
        <v>42334.708333333336</v>
      </c>
      <c r="H480" s="1" t="s">
        <v>6</v>
      </c>
      <c r="I480" s="1" t="s">
        <v>38</v>
      </c>
      <c r="J480" s="1">
        <v>42335.388773148145</v>
      </c>
      <c r="K480" s="1" t="s">
        <v>41</v>
      </c>
      <c r="L480" s="14">
        <f>24*(TblTimeSheet[[#This Row],[End Date and Time]]-TblTimeSheet[[#This Row],[Start Date and Time]])</f>
        <v>1.0000000001164153</v>
      </c>
      <c r="M480">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0">
        <f>--(0&gt;(TblTimeSheet[[#This Row],[End Date and Time]]-TblTimeSheet[[#This Row],[Start Date and Time]]))</f>
        <v>0</v>
      </c>
    </row>
    <row r="481" spans="1:14" x14ac:dyDescent="0.25">
      <c r="A481" s="1"/>
      <c r="B481" s="2" t="s">
        <v>697</v>
      </c>
      <c r="C481" s="2" t="s">
        <v>116</v>
      </c>
      <c r="D481" s="2" t="s">
        <v>20</v>
      </c>
      <c r="E481" s="7" t="s">
        <v>978</v>
      </c>
      <c r="F481" s="3">
        <v>42334.708333333336</v>
      </c>
      <c r="G481" s="3">
        <v>42334.729166666664</v>
      </c>
      <c r="H481" s="1" t="s">
        <v>6</v>
      </c>
      <c r="I481" s="1" t="s">
        <v>38</v>
      </c>
      <c r="J481" s="1">
        <v>42335.399560185186</v>
      </c>
      <c r="K481" s="1" t="s">
        <v>701</v>
      </c>
      <c r="L481" s="14">
        <f>24*(TblTimeSheet[[#This Row],[End Date and Time]]-TblTimeSheet[[#This Row],[Start Date and Time]])</f>
        <v>0.49999999988358468</v>
      </c>
      <c r="M481">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1">
        <f>--(0&gt;(TblTimeSheet[[#This Row],[End Date and Time]]-TblTimeSheet[[#This Row],[Start Date and Time]]))</f>
        <v>0</v>
      </c>
    </row>
    <row r="482" spans="1:14" x14ac:dyDescent="0.25">
      <c r="A482" s="1"/>
      <c r="B482" s="2" t="s">
        <v>697</v>
      </c>
      <c r="C482" s="2" t="s">
        <v>43</v>
      </c>
      <c r="D482" s="2" t="s">
        <v>20</v>
      </c>
      <c r="E482" s="7" t="s">
        <v>978</v>
      </c>
      <c r="F482" s="3">
        <v>42334.708333333336</v>
      </c>
      <c r="G482" s="3">
        <v>42334.729166666664</v>
      </c>
      <c r="H482" s="1" t="s">
        <v>6</v>
      </c>
      <c r="I482" s="1" t="s">
        <v>38</v>
      </c>
      <c r="J482" s="1">
        <v>42335.406863425924</v>
      </c>
      <c r="K482" s="1" t="s">
        <v>43</v>
      </c>
      <c r="L482" s="14">
        <f>24*(TblTimeSheet[[#This Row],[End Date and Time]]-TblTimeSheet[[#This Row],[Start Date and Time]])</f>
        <v>0.49999999988358468</v>
      </c>
      <c r="M482">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2">
        <f>--(0&gt;(TblTimeSheet[[#This Row],[End Date and Time]]-TblTimeSheet[[#This Row],[Start Date and Time]]))</f>
        <v>0</v>
      </c>
    </row>
    <row r="483" spans="1:14" x14ac:dyDescent="0.25">
      <c r="A483" s="1"/>
      <c r="B483" s="2" t="s">
        <v>699</v>
      </c>
      <c r="C483" s="2" t="s">
        <v>41</v>
      </c>
      <c r="D483" s="2" t="s">
        <v>20</v>
      </c>
      <c r="E483" s="7" t="s">
        <v>979</v>
      </c>
      <c r="F483" s="3">
        <v>42332.458333333336</v>
      </c>
      <c r="G483" s="3">
        <v>42332.479166666664</v>
      </c>
      <c r="H483" s="1" t="s">
        <v>6</v>
      </c>
      <c r="I483" s="1" t="s">
        <v>38</v>
      </c>
      <c r="J483" s="1">
        <v>42341.545347222222</v>
      </c>
      <c r="K483" s="1" t="s">
        <v>41</v>
      </c>
      <c r="L483" s="14">
        <f>24*(TblTimeSheet[[#This Row],[End Date and Time]]-TblTimeSheet[[#This Row],[Start Date and Time]])</f>
        <v>0.49999999988358468</v>
      </c>
      <c r="M483">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3">
        <f>--(0&gt;(TblTimeSheet[[#This Row],[End Date and Time]]-TblTimeSheet[[#This Row],[Start Date and Time]]))</f>
        <v>0</v>
      </c>
    </row>
    <row r="484" spans="1:14" x14ac:dyDescent="0.25">
      <c r="A484" s="1"/>
      <c r="B484" s="2" t="s">
        <v>699</v>
      </c>
      <c r="C484" s="2" t="s">
        <v>116</v>
      </c>
      <c r="D484" s="2" t="s">
        <v>20</v>
      </c>
      <c r="E484" s="7" t="s">
        <v>980</v>
      </c>
      <c r="F484" s="3">
        <v>42332.458333333336</v>
      </c>
      <c r="G484" s="3">
        <v>42332.479166666664</v>
      </c>
      <c r="H484" s="1" t="s">
        <v>6</v>
      </c>
      <c r="I484" s="1" t="s">
        <v>38</v>
      </c>
      <c r="J484" s="1">
        <v>42341.546446759261</v>
      </c>
      <c r="K484" s="1" t="s">
        <v>701</v>
      </c>
      <c r="L484" s="14">
        <f>24*(TblTimeSheet[[#This Row],[End Date and Time]]-TblTimeSheet[[#This Row],[Start Date and Time]])</f>
        <v>0.49999999988358468</v>
      </c>
      <c r="M48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4">
        <f>--(0&gt;(TblTimeSheet[[#This Row],[End Date and Time]]-TblTimeSheet[[#This Row],[Start Date and Time]]))</f>
        <v>0</v>
      </c>
    </row>
    <row r="485" spans="1:14" x14ac:dyDescent="0.25">
      <c r="A485" s="1"/>
      <c r="B485" s="2" t="s">
        <v>699</v>
      </c>
      <c r="C485" s="2" t="s">
        <v>118</v>
      </c>
      <c r="D485" s="2" t="s">
        <v>20</v>
      </c>
      <c r="E485" s="7" t="s">
        <v>981</v>
      </c>
      <c r="F485" s="3">
        <v>42332.458333333336</v>
      </c>
      <c r="G485" s="3">
        <v>42332.479166666664</v>
      </c>
      <c r="H485" s="1" t="s">
        <v>6</v>
      </c>
      <c r="I485" s="1" t="s">
        <v>38</v>
      </c>
      <c r="J485" s="1">
        <v>42341.547569444447</v>
      </c>
      <c r="K485" s="1" t="s">
        <v>118</v>
      </c>
      <c r="L485" s="14">
        <f>24*(TblTimeSheet[[#This Row],[End Date and Time]]-TblTimeSheet[[#This Row],[Start Date and Time]])</f>
        <v>0.49999999988358468</v>
      </c>
      <c r="M485">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5">
        <f>--(0&gt;(TblTimeSheet[[#This Row],[End Date and Time]]-TblTimeSheet[[#This Row],[Start Date and Time]]))</f>
        <v>0</v>
      </c>
    </row>
    <row r="486" spans="1:14" x14ac:dyDescent="0.25">
      <c r="A486" s="1"/>
      <c r="B486" s="2" t="s">
        <v>697</v>
      </c>
      <c r="C486" s="2" t="s">
        <v>118</v>
      </c>
      <c r="D486" s="2" t="s">
        <v>20</v>
      </c>
      <c r="E486" s="7" t="s">
        <v>982</v>
      </c>
      <c r="F486" s="3">
        <v>42341.666666666664</v>
      </c>
      <c r="G486" s="3">
        <v>42341.729166666664</v>
      </c>
      <c r="H486" s="1" t="s">
        <v>6</v>
      </c>
      <c r="I486" s="1" t="s">
        <v>38</v>
      </c>
      <c r="J486" s="1">
        <v>42348.698460648149</v>
      </c>
      <c r="K486" s="1" t="s">
        <v>118</v>
      </c>
      <c r="L486" s="14">
        <f>24*(TblTimeSheet[[#This Row],[End Date and Time]]-TblTimeSheet[[#This Row],[Start Date and Time]])</f>
        <v>1.5</v>
      </c>
      <c r="M486">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6">
        <f>--(0&gt;(TblTimeSheet[[#This Row],[End Date and Time]]-TblTimeSheet[[#This Row],[Start Date and Time]]))</f>
        <v>0</v>
      </c>
    </row>
    <row r="487" spans="1:14" x14ac:dyDescent="0.25">
      <c r="A487" s="1"/>
      <c r="B487" s="2" t="s">
        <v>697</v>
      </c>
      <c r="C487" s="2" t="s">
        <v>116</v>
      </c>
      <c r="D487" s="2" t="s">
        <v>20</v>
      </c>
      <c r="E487" s="7" t="s">
        <v>1727</v>
      </c>
      <c r="F487" s="37">
        <v>42341.666666666664</v>
      </c>
      <c r="G487" s="37">
        <v>42341.729166666664</v>
      </c>
      <c r="H487" s="1" t="s">
        <v>6</v>
      </c>
      <c r="I487" s="1" t="s">
        <v>38</v>
      </c>
      <c r="J487" s="1">
        <v>42342.398668981485</v>
      </c>
      <c r="K487" s="1" t="s">
        <v>701</v>
      </c>
      <c r="L487" s="14">
        <f>24*(TblTimeSheet[[#This Row],[End Date and Time]]-TblTimeSheet[[#This Row],[Start Date and Time]])</f>
        <v>1.5</v>
      </c>
      <c r="M4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487">
        <f>--(0&gt;(TblTimeSheet[[#This Row],[End Date and Time]]-TblTimeSheet[[#This Row],[Start Date and Time]]))</f>
        <v>0</v>
      </c>
    </row>
    <row r="488" spans="1:14" x14ac:dyDescent="0.25">
      <c r="A488" s="1"/>
      <c r="B488" s="2" t="s">
        <v>699</v>
      </c>
      <c r="C488" s="2" t="s">
        <v>116</v>
      </c>
      <c r="D488" s="2" t="s">
        <v>20</v>
      </c>
      <c r="E488" s="7" t="s">
        <v>983</v>
      </c>
      <c r="F488" s="37">
        <v>42341.611111111109</v>
      </c>
      <c r="G488" s="37">
        <v>42341.666666666664</v>
      </c>
      <c r="H488" s="1" t="s">
        <v>6</v>
      </c>
      <c r="I488" s="1" t="s">
        <v>38</v>
      </c>
      <c r="J488" s="1">
        <v>42342.400243055556</v>
      </c>
      <c r="K488" s="1" t="s">
        <v>701</v>
      </c>
      <c r="L488" s="14">
        <f>24*(TblTimeSheet[[#This Row],[End Date and Time]]-TblTimeSheet[[#This Row],[Start Date and Time]])</f>
        <v>1.3333333333139308</v>
      </c>
      <c r="M4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8">
        <f>--(0&gt;(TblTimeSheet[[#This Row],[End Date and Time]]-TblTimeSheet[[#This Row],[Start Date and Time]]))</f>
        <v>0</v>
      </c>
    </row>
    <row r="489" spans="1:14" x14ac:dyDescent="0.25">
      <c r="A489" s="1"/>
      <c r="B489" s="2" t="s">
        <v>699</v>
      </c>
      <c r="C489" s="2" t="s">
        <v>41</v>
      </c>
      <c r="D489" s="2" t="s">
        <v>20</v>
      </c>
      <c r="E489" s="7" t="s">
        <v>984</v>
      </c>
      <c r="F489" s="37">
        <v>42341.611111111109</v>
      </c>
      <c r="G489" s="37">
        <v>42341.666666666664</v>
      </c>
      <c r="H489" s="1" t="s">
        <v>6</v>
      </c>
      <c r="I489" s="1" t="s">
        <v>38</v>
      </c>
      <c r="J489" s="1">
        <v>42342.697731481479</v>
      </c>
      <c r="K489" s="1" t="s">
        <v>41</v>
      </c>
      <c r="L489" s="14">
        <f>24*(TblTimeSheet[[#This Row],[End Date and Time]]-TblTimeSheet[[#This Row],[Start Date and Time]])</f>
        <v>1.3333333333139308</v>
      </c>
      <c r="M4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89">
        <f>--(0&gt;(TblTimeSheet[[#This Row],[End Date and Time]]-TblTimeSheet[[#This Row],[Start Date and Time]]))</f>
        <v>0</v>
      </c>
    </row>
    <row r="490" spans="1:14" x14ac:dyDescent="0.25">
      <c r="A490" s="1"/>
      <c r="B490" s="2" t="s">
        <v>697</v>
      </c>
      <c r="C490" s="2" t="s">
        <v>36</v>
      </c>
      <c r="D490" s="2" t="s">
        <v>20</v>
      </c>
      <c r="E490" s="7" t="s">
        <v>1728</v>
      </c>
      <c r="F490" s="37">
        <v>42341.666666666664</v>
      </c>
      <c r="G490" s="37">
        <v>42341.729166666664</v>
      </c>
      <c r="H490" s="1" t="s">
        <v>6</v>
      </c>
      <c r="I490" s="1" t="s">
        <v>38</v>
      </c>
      <c r="J490" s="1">
        <v>42342.703611111108</v>
      </c>
      <c r="K490" s="1" t="s">
        <v>36</v>
      </c>
      <c r="L490" s="14">
        <f>24*(TblTimeSheet[[#This Row],[End Date and Time]]-TblTimeSheet[[#This Row],[Start Date and Time]])</f>
        <v>1.5</v>
      </c>
      <c r="M4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0">
        <f>--(0&gt;(TblTimeSheet[[#This Row],[End Date and Time]]-TblTimeSheet[[#This Row],[Start Date and Time]]))</f>
        <v>0</v>
      </c>
    </row>
    <row r="491" spans="1:14" x14ac:dyDescent="0.25">
      <c r="A491" s="1"/>
      <c r="B491" s="2" t="s">
        <v>697</v>
      </c>
      <c r="C491" s="2" t="s">
        <v>116</v>
      </c>
      <c r="D491" s="2" t="s">
        <v>20</v>
      </c>
      <c r="E491" s="7" t="s">
        <v>985</v>
      </c>
      <c r="F491" s="37">
        <v>42341.666666666664</v>
      </c>
      <c r="G491" s="37">
        <v>42341.729166666664</v>
      </c>
      <c r="H491" s="1" t="s">
        <v>6</v>
      </c>
      <c r="I491" s="1" t="s">
        <v>38</v>
      </c>
      <c r="J491" s="1">
        <v>42342.744189814817</v>
      </c>
      <c r="K491" s="1" t="s">
        <v>39</v>
      </c>
      <c r="L491" s="14">
        <f>24*(TblTimeSheet[[#This Row],[End Date and Time]]-TblTimeSheet[[#This Row],[Start Date and Time]])</f>
        <v>1.5</v>
      </c>
      <c r="M4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491">
        <f>--(0&gt;(TblTimeSheet[[#This Row],[End Date and Time]]-TblTimeSheet[[#This Row],[Start Date and Time]]))</f>
        <v>0</v>
      </c>
    </row>
    <row r="492" spans="1:14" x14ac:dyDescent="0.25">
      <c r="A492" s="1"/>
      <c r="B492" s="2" t="s">
        <v>699</v>
      </c>
      <c r="C492" s="2" t="s">
        <v>41</v>
      </c>
      <c r="D492" s="2" t="s">
        <v>20</v>
      </c>
      <c r="E492" s="7" t="s">
        <v>986</v>
      </c>
      <c r="F492" s="37">
        <v>42342.458333333336</v>
      </c>
      <c r="G492" s="37">
        <v>42342.5</v>
      </c>
      <c r="H492" s="1" t="s">
        <v>6</v>
      </c>
      <c r="I492" s="1" t="s">
        <v>38</v>
      </c>
      <c r="J492" s="1">
        <v>42343.448206018518</v>
      </c>
      <c r="K492" s="1" t="s">
        <v>41</v>
      </c>
      <c r="L492" s="14">
        <f>24*(TblTimeSheet[[#This Row],[End Date and Time]]-TblTimeSheet[[#This Row],[Start Date and Time]])</f>
        <v>0.99999999994179234</v>
      </c>
      <c r="M4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2">
        <f>--(0&gt;(TblTimeSheet[[#This Row],[End Date and Time]]-TblTimeSheet[[#This Row],[Start Date and Time]]))</f>
        <v>0</v>
      </c>
    </row>
    <row r="493" spans="1:14" x14ac:dyDescent="0.25">
      <c r="A493" s="1"/>
      <c r="B493" s="2" t="s">
        <v>699</v>
      </c>
      <c r="C493" s="2" t="s">
        <v>116</v>
      </c>
      <c r="D493" s="2" t="s">
        <v>20</v>
      </c>
      <c r="E493" s="7" t="s">
        <v>987</v>
      </c>
      <c r="F493" s="37">
        <v>42343.479166666664</v>
      </c>
      <c r="G493" s="37">
        <v>42343.5</v>
      </c>
      <c r="H493" s="1" t="s">
        <v>6</v>
      </c>
      <c r="I493" s="1" t="s">
        <v>38</v>
      </c>
      <c r="J493" s="1">
        <v>42343.505636574075</v>
      </c>
      <c r="K493" s="1" t="s">
        <v>701</v>
      </c>
      <c r="L493" s="14">
        <f>24*(TblTimeSheet[[#This Row],[End Date and Time]]-TblTimeSheet[[#This Row],[Start Date and Time]])</f>
        <v>0.50000000005820766</v>
      </c>
      <c r="M4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3">
        <f>--(0&gt;(TblTimeSheet[[#This Row],[End Date and Time]]-TblTimeSheet[[#This Row],[Start Date and Time]]))</f>
        <v>0</v>
      </c>
    </row>
    <row r="494" spans="1:14" x14ac:dyDescent="0.25">
      <c r="A494" s="1"/>
      <c r="B494" s="2" t="s">
        <v>699</v>
      </c>
      <c r="C494" s="2" t="s">
        <v>41</v>
      </c>
      <c r="D494" s="2" t="s">
        <v>20</v>
      </c>
      <c r="E494" s="7" t="s">
        <v>988</v>
      </c>
      <c r="F494" s="37">
        <v>42343.479166666664</v>
      </c>
      <c r="G494" s="37">
        <v>42343.5</v>
      </c>
      <c r="H494" s="1" t="s">
        <v>6</v>
      </c>
      <c r="I494" s="1" t="s">
        <v>38</v>
      </c>
      <c r="J494" s="1">
        <v>42343.506261574075</v>
      </c>
      <c r="K494" s="1" t="s">
        <v>41</v>
      </c>
      <c r="L494" s="14">
        <f>24*(TblTimeSheet[[#This Row],[End Date and Time]]-TblTimeSheet[[#This Row],[Start Date and Time]])</f>
        <v>0.50000000005820766</v>
      </c>
      <c r="M4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4">
        <f>--(0&gt;(TblTimeSheet[[#This Row],[End Date and Time]]-TblTimeSheet[[#This Row],[Start Date and Time]]))</f>
        <v>0</v>
      </c>
    </row>
    <row r="495" spans="1:14" x14ac:dyDescent="0.25">
      <c r="A495" s="1"/>
      <c r="B495" s="2" t="s">
        <v>699</v>
      </c>
      <c r="C495" s="2" t="s">
        <v>144</v>
      </c>
      <c r="D495" s="2" t="s">
        <v>20</v>
      </c>
      <c r="E495" s="7" t="s">
        <v>1729</v>
      </c>
      <c r="F495" s="37">
        <v>42345.708333333336</v>
      </c>
      <c r="G495" s="37">
        <v>42345.725694444445</v>
      </c>
      <c r="H495" s="1" t="s">
        <v>6</v>
      </c>
      <c r="I495" s="1" t="s">
        <v>38</v>
      </c>
      <c r="J495" s="1">
        <v>42346.482048611113</v>
      </c>
      <c r="K495" s="1" t="s">
        <v>144</v>
      </c>
      <c r="L495" s="14">
        <f>24*(TblTimeSheet[[#This Row],[End Date and Time]]-TblTimeSheet[[#This Row],[Start Date and Time]])</f>
        <v>0.41666666662786156</v>
      </c>
      <c r="M4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5">
        <f>--(0&gt;(TblTimeSheet[[#This Row],[End Date and Time]]-TblTimeSheet[[#This Row],[Start Date and Time]]))</f>
        <v>0</v>
      </c>
    </row>
    <row r="496" spans="1:14" x14ac:dyDescent="0.25">
      <c r="A496" s="1"/>
      <c r="B496" s="2" t="s">
        <v>699</v>
      </c>
      <c r="C496" s="2" t="s">
        <v>118</v>
      </c>
      <c r="D496" s="2" t="s">
        <v>20</v>
      </c>
      <c r="E496" s="7" t="s">
        <v>989</v>
      </c>
      <c r="F496" s="37">
        <v>42345.708333333336</v>
      </c>
      <c r="G496" s="37">
        <v>42345.725694444445</v>
      </c>
      <c r="H496" s="1" t="s">
        <v>6</v>
      </c>
      <c r="I496" s="1" t="s">
        <v>38</v>
      </c>
      <c r="J496" s="1">
        <v>42346.495393518519</v>
      </c>
      <c r="K496" s="1" t="s">
        <v>118</v>
      </c>
      <c r="L496" s="14">
        <f>24*(TblTimeSheet[[#This Row],[End Date and Time]]-TblTimeSheet[[#This Row],[Start Date and Time]])</f>
        <v>0.41666666662786156</v>
      </c>
      <c r="M4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6">
        <f>--(0&gt;(TblTimeSheet[[#This Row],[End Date and Time]]-TblTimeSheet[[#This Row],[Start Date and Time]]))</f>
        <v>0</v>
      </c>
    </row>
    <row r="497" spans="1:14" x14ac:dyDescent="0.25">
      <c r="A497" s="1"/>
      <c r="B497" s="2" t="s">
        <v>699</v>
      </c>
      <c r="C497" s="2" t="s">
        <v>176</v>
      </c>
      <c r="D497" s="2" t="s">
        <v>20</v>
      </c>
      <c r="E497" s="7" t="s">
        <v>990</v>
      </c>
      <c r="F497" s="37">
        <v>42345.708333333336</v>
      </c>
      <c r="G497" s="37">
        <v>42345.725694444445</v>
      </c>
      <c r="H497" s="1" t="s">
        <v>6</v>
      </c>
      <c r="I497" s="1" t="s">
        <v>38</v>
      </c>
      <c r="J497" s="1">
        <v>42346.496134259258</v>
      </c>
      <c r="K497" s="1" t="s">
        <v>176</v>
      </c>
      <c r="L497" s="14">
        <f>24*(TblTimeSheet[[#This Row],[End Date and Time]]-TblTimeSheet[[#This Row],[Start Date and Time]])</f>
        <v>0.41666666662786156</v>
      </c>
      <c r="M4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7">
        <f>--(0&gt;(TblTimeSheet[[#This Row],[End Date and Time]]-TblTimeSheet[[#This Row],[Start Date and Time]]))</f>
        <v>0</v>
      </c>
    </row>
    <row r="498" spans="1:14" x14ac:dyDescent="0.25">
      <c r="A498" s="1"/>
      <c r="B498" s="2" t="s">
        <v>697</v>
      </c>
      <c r="C498" s="2" t="s">
        <v>176</v>
      </c>
      <c r="D498" s="2" t="s">
        <v>20</v>
      </c>
      <c r="E498" s="7" t="s">
        <v>1730</v>
      </c>
      <c r="F498" s="37">
        <v>42341.666666666664</v>
      </c>
      <c r="G498" s="37">
        <v>42341.729166666664</v>
      </c>
      <c r="H498" s="1" t="s">
        <v>6</v>
      </c>
      <c r="I498" s="1" t="s">
        <v>38</v>
      </c>
      <c r="J498" s="1">
        <v>42348.701412037037</v>
      </c>
      <c r="K498" s="1" t="s">
        <v>176</v>
      </c>
      <c r="L498" s="14">
        <f>24*(TblTimeSheet[[#This Row],[End Date and Time]]-TblTimeSheet[[#This Row],[Start Date and Time]])</f>
        <v>1.5</v>
      </c>
      <c r="M4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8">
        <f>--(0&gt;(TblTimeSheet[[#This Row],[End Date and Time]]-TblTimeSheet[[#This Row],[Start Date and Time]]))</f>
        <v>0</v>
      </c>
    </row>
    <row r="499" spans="1:14" x14ac:dyDescent="0.25">
      <c r="A499" s="1"/>
      <c r="B499" s="2" t="s">
        <v>697</v>
      </c>
      <c r="C499" s="2" t="s">
        <v>124</v>
      </c>
      <c r="D499" s="2" t="s">
        <v>20</v>
      </c>
      <c r="E499" s="7" t="s">
        <v>991</v>
      </c>
      <c r="F499" s="37">
        <v>42341.666666666664</v>
      </c>
      <c r="G499" s="37">
        <v>42341.729166666664</v>
      </c>
      <c r="H499" s="1" t="s">
        <v>6</v>
      </c>
      <c r="I499" s="1" t="s">
        <v>38</v>
      </c>
      <c r="J499" s="1">
        <v>42346.678032407406</v>
      </c>
      <c r="K499" s="1" t="s">
        <v>2863</v>
      </c>
      <c r="L499" s="14">
        <f>24*(TblTimeSheet[[#This Row],[End Date and Time]]-TblTimeSheet[[#This Row],[Start Date and Time]])</f>
        <v>1.5</v>
      </c>
      <c r="M4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499">
        <f>--(0&gt;(TblTimeSheet[[#This Row],[End Date and Time]]-TblTimeSheet[[#This Row],[Start Date and Time]]))</f>
        <v>0</v>
      </c>
    </row>
    <row r="500" spans="1:14" x14ac:dyDescent="0.25">
      <c r="A500" s="1"/>
      <c r="B500" s="2" t="s">
        <v>697</v>
      </c>
      <c r="C500" s="2" t="s">
        <v>116</v>
      </c>
      <c r="D500" s="2" t="s">
        <v>20</v>
      </c>
      <c r="E500" s="7" t="s">
        <v>787</v>
      </c>
      <c r="F500" s="37">
        <v>42335.5</v>
      </c>
      <c r="G500" s="37">
        <v>42335.527777777781</v>
      </c>
      <c r="H500" s="1" t="s">
        <v>6</v>
      </c>
      <c r="I500" s="1" t="s">
        <v>38</v>
      </c>
      <c r="J500" s="1">
        <v>42347.460578703707</v>
      </c>
      <c r="K500" s="1" t="s">
        <v>81</v>
      </c>
      <c r="L500" s="14">
        <f>24*(TblTimeSheet[[#This Row],[End Date and Time]]-TblTimeSheet[[#This Row],[Start Date and Time]])</f>
        <v>0.66666666674427688</v>
      </c>
      <c r="M5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0">
        <f>--(0&gt;(TblTimeSheet[[#This Row],[End Date and Time]]-TblTimeSheet[[#This Row],[Start Date and Time]]))</f>
        <v>0</v>
      </c>
    </row>
    <row r="501" spans="1:14" x14ac:dyDescent="0.25">
      <c r="A501" s="1"/>
      <c r="B501" s="2" t="s">
        <v>697</v>
      </c>
      <c r="C501" s="2" t="s">
        <v>116</v>
      </c>
      <c r="D501" s="2" t="s">
        <v>20</v>
      </c>
      <c r="E501" s="7" t="s">
        <v>787</v>
      </c>
      <c r="F501" s="37">
        <v>42336.75</v>
      </c>
      <c r="G501" s="37">
        <v>42336.777777777781</v>
      </c>
      <c r="H501" s="1" t="s">
        <v>6</v>
      </c>
      <c r="I501" s="1" t="s">
        <v>38</v>
      </c>
      <c r="J501" s="1">
        <v>42347.461701388886</v>
      </c>
      <c r="K501" s="1" t="s">
        <v>81</v>
      </c>
      <c r="L501" s="14">
        <f>24*(TblTimeSheet[[#This Row],[End Date and Time]]-TblTimeSheet[[#This Row],[Start Date and Time]])</f>
        <v>0.66666666674427688</v>
      </c>
      <c r="M5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1">
        <f>--(0&gt;(TblTimeSheet[[#This Row],[End Date and Time]]-TblTimeSheet[[#This Row],[Start Date and Time]]))</f>
        <v>0</v>
      </c>
    </row>
    <row r="502" spans="1:14" x14ac:dyDescent="0.25">
      <c r="A502" s="1"/>
      <c r="B502" s="2" t="s">
        <v>699</v>
      </c>
      <c r="C502" s="2" t="s">
        <v>116</v>
      </c>
      <c r="D502" s="2" t="s">
        <v>20</v>
      </c>
      <c r="E502" s="7" t="s">
        <v>787</v>
      </c>
      <c r="F502" s="37">
        <v>42346.527777777781</v>
      </c>
      <c r="G502" s="37">
        <v>42346.534722222219</v>
      </c>
      <c r="H502" s="1" t="s">
        <v>6</v>
      </c>
      <c r="I502" s="1" t="s">
        <v>38</v>
      </c>
      <c r="J502" s="1">
        <v>42347.712743055556</v>
      </c>
      <c r="K502" s="1" t="s">
        <v>81</v>
      </c>
      <c r="L502" s="14">
        <f>24*(TblTimeSheet[[#This Row],[End Date and Time]]-TblTimeSheet[[#This Row],[Start Date and Time]])</f>
        <v>0.16666666651144624</v>
      </c>
      <c r="M5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2">
        <f>--(0&gt;(TblTimeSheet[[#This Row],[End Date and Time]]-TblTimeSheet[[#This Row],[Start Date and Time]]))</f>
        <v>0</v>
      </c>
    </row>
    <row r="503" spans="1:14" x14ac:dyDescent="0.25">
      <c r="A503" s="1"/>
      <c r="B503" s="2" t="s">
        <v>699</v>
      </c>
      <c r="C503" s="2" t="s">
        <v>116</v>
      </c>
      <c r="D503" s="2" t="s">
        <v>20</v>
      </c>
      <c r="E503" s="7" t="s">
        <v>793</v>
      </c>
      <c r="F503" s="37">
        <v>42346.704861111109</v>
      </c>
      <c r="G503" s="37">
        <v>42346.711805555555</v>
      </c>
      <c r="H503" s="1" t="s">
        <v>6</v>
      </c>
      <c r="I503" s="1" t="s">
        <v>38</v>
      </c>
      <c r="J503" s="1">
        <v>42347.713414351849</v>
      </c>
      <c r="K503" s="1" t="s">
        <v>81</v>
      </c>
      <c r="L503" s="14">
        <f>24*(TblTimeSheet[[#This Row],[End Date and Time]]-TblTimeSheet[[#This Row],[Start Date and Time]])</f>
        <v>0.16666666668606922</v>
      </c>
      <c r="M5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3">
        <f>--(0&gt;(TblTimeSheet[[#This Row],[End Date and Time]]-TblTimeSheet[[#This Row],[Start Date and Time]]))</f>
        <v>0</v>
      </c>
    </row>
    <row r="504" spans="1:14" x14ac:dyDescent="0.25">
      <c r="A504" s="1"/>
      <c r="B504" s="2" t="s">
        <v>699</v>
      </c>
      <c r="C504" s="2" t="s">
        <v>116</v>
      </c>
      <c r="D504" s="2" t="s">
        <v>20</v>
      </c>
      <c r="E504" s="7" t="s">
        <v>793</v>
      </c>
      <c r="F504" s="37">
        <v>42347.520833333336</v>
      </c>
      <c r="G504" s="37">
        <v>42347.527777777781</v>
      </c>
      <c r="H504" s="1" t="s">
        <v>6</v>
      </c>
      <c r="I504" s="1" t="s">
        <v>38</v>
      </c>
      <c r="J504" s="1">
        <v>42347.714756944442</v>
      </c>
      <c r="K504" s="1" t="s">
        <v>81</v>
      </c>
      <c r="L504" s="14">
        <f>24*(TblTimeSheet[[#This Row],[End Date and Time]]-TblTimeSheet[[#This Row],[Start Date and Time]])</f>
        <v>0.16666666668606922</v>
      </c>
      <c r="M5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4">
        <f>--(0&gt;(TblTimeSheet[[#This Row],[End Date and Time]]-TblTimeSheet[[#This Row],[Start Date and Time]]))</f>
        <v>0</v>
      </c>
    </row>
    <row r="505" spans="1:14" x14ac:dyDescent="0.25">
      <c r="A505" s="1"/>
      <c r="B505" s="2" t="s">
        <v>699</v>
      </c>
      <c r="C505" s="2" t="s">
        <v>116</v>
      </c>
      <c r="D505" s="2" t="s">
        <v>20</v>
      </c>
      <c r="E505" s="7" t="s">
        <v>787</v>
      </c>
      <c r="F505" s="37">
        <v>42347.597222222219</v>
      </c>
      <c r="G505" s="37">
        <v>42347.621527777781</v>
      </c>
      <c r="H505" s="1" t="s">
        <v>6</v>
      </c>
      <c r="I505" s="1" t="s">
        <v>38</v>
      </c>
      <c r="J505" s="1">
        <v>42347.717164351852</v>
      </c>
      <c r="K505" s="1" t="s">
        <v>81</v>
      </c>
      <c r="L505" s="14">
        <f>24*(TblTimeSheet[[#This Row],[End Date and Time]]-TblTimeSheet[[#This Row],[Start Date and Time]])</f>
        <v>0.58333333348855376</v>
      </c>
      <c r="M5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5">
        <f>--(0&gt;(TblTimeSheet[[#This Row],[End Date and Time]]-TblTimeSheet[[#This Row],[Start Date and Time]]))</f>
        <v>0</v>
      </c>
    </row>
    <row r="506" spans="1:14" x14ac:dyDescent="0.25">
      <c r="A506" s="1"/>
      <c r="B506" s="2" t="s">
        <v>699</v>
      </c>
      <c r="C506" s="2" t="s">
        <v>116</v>
      </c>
      <c r="D506" s="2" t="s">
        <v>20</v>
      </c>
      <c r="E506" s="7" t="s">
        <v>787</v>
      </c>
      <c r="F506" s="37">
        <v>42347.631944444445</v>
      </c>
      <c r="G506" s="37">
        <v>42347.635416666664</v>
      </c>
      <c r="H506" s="1" t="s">
        <v>6</v>
      </c>
      <c r="I506" s="1" t="s">
        <v>38</v>
      </c>
      <c r="J506" s="1">
        <v>42347.717361111114</v>
      </c>
      <c r="K506" s="1" t="s">
        <v>81</v>
      </c>
      <c r="L506" s="14">
        <f>24*(TblTimeSheet[[#This Row],[End Date and Time]]-TblTimeSheet[[#This Row],[Start Date and Time]])</f>
        <v>8.3333333255723119E-2</v>
      </c>
      <c r="M5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6">
        <f>--(0&gt;(TblTimeSheet[[#This Row],[End Date and Time]]-TblTimeSheet[[#This Row],[Start Date and Time]]))</f>
        <v>0</v>
      </c>
    </row>
    <row r="507" spans="1:14" x14ac:dyDescent="0.25">
      <c r="A507" s="1"/>
      <c r="B507" s="2" t="s">
        <v>699</v>
      </c>
      <c r="C507" s="2" t="s">
        <v>116</v>
      </c>
      <c r="D507" s="2" t="s">
        <v>20</v>
      </c>
      <c r="E507" s="7" t="s">
        <v>787</v>
      </c>
      <c r="F507" s="37">
        <v>42347.680555555555</v>
      </c>
      <c r="G507" s="37">
        <v>42347.711805555555</v>
      </c>
      <c r="H507" s="1" t="s">
        <v>6</v>
      </c>
      <c r="I507" s="1" t="s">
        <v>38</v>
      </c>
      <c r="J507" s="1">
        <v>42347.718923611108</v>
      </c>
      <c r="K507" s="1" t="s">
        <v>81</v>
      </c>
      <c r="L507" s="14">
        <f>24*(TblTimeSheet[[#This Row],[End Date and Time]]-TblTimeSheet[[#This Row],[Start Date and Time]])</f>
        <v>0.75</v>
      </c>
      <c r="M5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7">
        <f>--(0&gt;(TblTimeSheet[[#This Row],[End Date and Time]]-TblTimeSheet[[#This Row],[Start Date and Time]]))</f>
        <v>0</v>
      </c>
    </row>
    <row r="508" spans="1:14" x14ac:dyDescent="0.25">
      <c r="A508" s="1"/>
      <c r="B508" s="2" t="s">
        <v>699</v>
      </c>
      <c r="C508" s="2" t="s">
        <v>41</v>
      </c>
      <c r="D508" s="2" t="s">
        <v>20</v>
      </c>
      <c r="E508" s="7" t="s">
        <v>992</v>
      </c>
      <c r="F508" s="37">
        <v>42346.527777777781</v>
      </c>
      <c r="G508" s="37">
        <v>42346.534722222219</v>
      </c>
      <c r="H508" s="1" t="s">
        <v>6</v>
      </c>
      <c r="I508" s="1" t="s">
        <v>38</v>
      </c>
      <c r="J508" s="1">
        <v>42347.725914351853</v>
      </c>
      <c r="K508" s="1" t="s">
        <v>41</v>
      </c>
      <c r="L508" s="14">
        <f>24*(TblTimeSheet[[#This Row],[End Date and Time]]-TblTimeSheet[[#This Row],[Start Date and Time]])</f>
        <v>0.16666666651144624</v>
      </c>
      <c r="M5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08">
        <f>--(0&gt;(TblTimeSheet[[#This Row],[End Date and Time]]-TblTimeSheet[[#This Row],[Start Date and Time]]))</f>
        <v>0</v>
      </c>
    </row>
    <row r="509" spans="1:14" x14ac:dyDescent="0.25">
      <c r="A509" s="1"/>
      <c r="B509" s="2" t="s">
        <v>699</v>
      </c>
      <c r="C509" s="2" t="s">
        <v>41</v>
      </c>
      <c r="D509" s="2" t="s">
        <v>20</v>
      </c>
      <c r="E509" s="7" t="s">
        <v>992</v>
      </c>
      <c r="F509" s="37">
        <v>42346.704861111109</v>
      </c>
      <c r="G509" s="37">
        <v>42346.711805555555</v>
      </c>
      <c r="H509" s="1" t="s">
        <v>6</v>
      </c>
      <c r="I509" s="1" t="s">
        <v>38</v>
      </c>
      <c r="J509" s="1">
        <v>42347.726365740738</v>
      </c>
      <c r="K509" s="1" t="s">
        <v>41</v>
      </c>
      <c r="L509" s="14">
        <f>24*(TblTimeSheet[[#This Row],[End Date and Time]]-TblTimeSheet[[#This Row],[Start Date and Time]])</f>
        <v>0.16666666668606922</v>
      </c>
      <c r="M5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09">
        <f>--(0&gt;(TblTimeSheet[[#This Row],[End Date and Time]]-TblTimeSheet[[#This Row],[Start Date and Time]]))</f>
        <v>0</v>
      </c>
    </row>
    <row r="510" spans="1:14" x14ac:dyDescent="0.25">
      <c r="A510" s="1"/>
      <c r="B510" s="2" t="s">
        <v>699</v>
      </c>
      <c r="C510" s="2" t="s">
        <v>41</v>
      </c>
      <c r="D510" s="2" t="s">
        <v>20</v>
      </c>
      <c r="E510" s="7" t="s">
        <v>992</v>
      </c>
      <c r="F510" s="37">
        <v>42347.520833333336</v>
      </c>
      <c r="G510" s="37">
        <v>42347.527777777781</v>
      </c>
      <c r="H510" s="1" t="s">
        <v>6</v>
      </c>
      <c r="I510" s="1" t="s">
        <v>38</v>
      </c>
      <c r="J510" s="1">
        <v>42347.726701388892</v>
      </c>
      <c r="K510" s="1" t="s">
        <v>41</v>
      </c>
      <c r="L510" s="14">
        <f>24*(TblTimeSheet[[#This Row],[End Date and Time]]-TblTimeSheet[[#This Row],[Start Date and Time]])</f>
        <v>0.16666666668606922</v>
      </c>
      <c r="M5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10">
        <f>--(0&gt;(TblTimeSheet[[#This Row],[End Date and Time]]-TblTimeSheet[[#This Row],[Start Date and Time]]))</f>
        <v>0</v>
      </c>
    </row>
    <row r="511" spans="1:14" x14ac:dyDescent="0.25">
      <c r="A511" s="1"/>
      <c r="B511" s="2" t="s">
        <v>699</v>
      </c>
      <c r="C511" s="2" t="s">
        <v>41</v>
      </c>
      <c r="D511" s="2" t="s">
        <v>20</v>
      </c>
      <c r="E511" s="7" t="s">
        <v>992</v>
      </c>
      <c r="F511" s="37">
        <v>42347.597222222219</v>
      </c>
      <c r="G511" s="37">
        <v>42347.621527777781</v>
      </c>
      <c r="H511" s="1" t="s">
        <v>6</v>
      </c>
      <c r="I511" s="1" t="s">
        <v>38</v>
      </c>
      <c r="J511" s="1">
        <v>42347.727037037039</v>
      </c>
      <c r="K511" s="1" t="s">
        <v>41</v>
      </c>
      <c r="L511" s="14">
        <f>24*(TblTimeSheet[[#This Row],[End Date and Time]]-TblTimeSheet[[#This Row],[Start Date and Time]])</f>
        <v>0.58333333348855376</v>
      </c>
      <c r="M5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1">
        <f>--(0&gt;(TblTimeSheet[[#This Row],[End Date and Time]]-TblTimeSheet[[#This Row],[Start Date and Time]]))</f>
        <v>0</v>
      </c>
    </row>
    <row r="512" spans="1:14" x14ac:dyDescent="0.25">
      <c r="A512" s="1"/>
      <c r="B512" s="2" t="s">
        <v>699</v>
      </c>
      <c r="C512" s="2" t="s">
        <v>41</v>
      </c>
      <c r="D512" s="2" t="s">
        <v>20</v>
      </c>
      <c r="E512" s="7" t="s">
        <v>992</v>
      </c>
      <c r="F512" s="37">
        <v>42347.631944444445</v>
      </c>
      <c r="G512" s="37">
        <v>42347.635416666664</v>
      </c>
      <c r="H512" s="1" t="s">
        <v>6</v>
      </c>
      <c r="I512" s="1" t="s">
        <v>38</v>
      </c>
      <c r="J512" s="1">
        <v>42347.727395833332</v>
      </c>
      <c r="K512" s="1" t="s">
        <v>41</v>
      </c>
      <c r="L512" s="14">
        <f>24*(TblTimeSheet[[#This Row],[End Date and Time]]-TblTimeSheet[[#This Row],[Start Date and Time]])</f>
        <v>8.3333333255723119E-2</v>
      </c>
      <c r="M5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12">
        <f>--(0&gt;(TblTimeSheet[[#This Row],[End Date and Time]]-TblTimeSheet[[#This Row],[Start Date and Time]]))</f>
        <v>0</v>
      </c>
    </row>
    <row r="513" spans="1:14" x14ac:dyDescent="0.25">
      <c r="A513" s="1"/>
      <c r="B513" s="2" t="s">
        <v>699</v>
      </c>
      <c r="C513" s="2" t="s">
        <v>41</v>
      </c>
      <c r="D513" s="2" t="s">
        <v>20</v>
      </c>
      <c r="E513" s="7" t="s">
        <v>992</v>
      </c>
      <c r="F513" s="37">
        <v>42347.680555555555</v>
      </c>
      <c r="G513" s="37">
        <v>42347.711805555555</v>
      </c>
      <c r="H513" s="1" t="s">
        <v>6</v>
      </c>
      <c r="I513" s="1" t="s">
        <v>38</v>
      </c>
      <c r="J513" s="1">
        <v>42357.73877314815</v>
      </c>
      <c r="K513" s="1" t="s">
        <v>41</v>
      </c>
      <c r="L513" s="14">
        <f>24*(TblTimeSheet[[#This Row],[End Date and Time]]-TblTimeSheet[[#This Row],[Start Date and Time]])</f>
        <v>0.75</v>
      </c>
      <c r="M5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13">
        <f>--(0&gt;(TblTimeSheet[[#This Row],[End Date and Time]]-TblTimeSheet[[#This Row],[Start Date and Time]]))</f>
        <v>0</v>
      </c>
    </row>
    <row r="514" spans="1:14" x14ac:dyDescent="0.25">
      <c r="A514" s="1"/>
      <c r="B514" s="2" t="s">
        <v>699</v>
      </c>
      <c r="C514" s="2" t="s">
        <v>116</v>
      </c>
      <c r="D514" s="2" t="s">
        <v>20</v>
      </c>
      <c r="E514" s="7" t="s">
        <v>449</v>
      </c>
      <c r="F514" s="37">
        <v>42345.708333333336</v>
      </c>
      <c r="G514" s="37">
        <v>42345.725694444445</v>
      </c>
      <c r="H514" s="1" t="s">
        <v>6</v>
      </c>
      <c r="I514" s="1" t="s">
        <v>38</v>
      </c>
      <c r="J514" s="1">
        <v>42347.758622685185</v>
      </c>
      <c r="K514" s="1" t="s">
        <v>701</v>
      </c>
      <c r="L514" s="14">
        <f>24*(TblTimeSheet[[#This Row],[End Date and Time]]-TblTimeSheet[[#This Row],[Start Date and Time]])</f>
        <v>0.41666666662786156</v>
      </c>
      <c r="M5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4">
        <f>--(0&gt;(TblTimeSheet[[#This Row],[End Date and Time]]-TblTimeSheet[[#This Row],[Start Date and Time]]))</f>
        <v>0</v>
      </c>
    </row>
    <row r="515" spans="1:14" x14ac:dyDescent="0.25">
      <c r="A515" s="1"/>
      <c r="B515" s="2" t="s">
        <v>699</v>
      </c>
      <c r="C515" s="2" t="s">
        <v>41</v>
      </c>
      <c r="D515" s="2" t="s">
        <v>20</v>
      </c>
      <c r="E515" s="7" t="s">
        <v>993</v>
      </c>
      <c r="F515" s="37">
        <v>42345.569444444445</v>
      </c>
      <c r="G515" s="37">
        <v>42345.590277777781</v>
      </c>
      <c r="H515" s="1" t="s">
        <v>6</v>
      </c>
      <c r="I515" s="1" t="s">
        <v>38</v>
      </c>
      <c r="J515" s="1">
        <v>42347.764652777776</v>
      </c>
      <c r="K515" s="1" t="s">
        <v>41</v>
      </c>
      <c r="L515" s="14">
        <f>24*(TblTimeSheet[[#This Row],[End Date and Time]]-TblTimeSheet[[#This Row],[Start Date and Time]])</f>
        <v>0.50000000005820766</v>
      </c>
      <c r="M5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5">
        <f>--(0&gt;(TblTimeSheet[[#This Row],[End Date and Time]]-TblTimeSheet[[#This Row],[Start Date and Time]]))</f>
        <v>0</v>
      </c>
    </row>
    <row r="516" spans="1:14" x14ac:dyDescent="0.25">
      <c r="A516" s="1"/>
      <c r="B516" s="2" t="s">
        <v>699</v>
      </c>
      <c r="C516" s="2" t="s">
        <v>116</v>
      </c>
      <c r="D516" s="2" t="s">
        <v>32</v>
      </c>
      <c r="E516" s="7" t="s">
        <v>1731</v>
      </c>
      <c r="F516" s="37">
        <v>42348.395833333336</v>
      </c>
      <c r="G516" s="37">
        <v>42348.416666666664</v>
      </c>
      <c r="H516" s="1" t="s">
        <v>6</v>
      </c>
      <c r="I516" s="1" t="s">
        <v>38</v>
      </c>
      <c r="J516" s="1">
        <v>42348.417303240742</v>
      </c>
      <c r="K516" s="1" t="s">
        <v>701</v>
      </c>
      <c r="L516" s="14">
        <f>24*(TblTimeSheet[[#This Row],[End Date and Time]]-TblTimeSheet[[#This Row],[Start Date and Time]])</f>
        <v>0.49999999988358468</v>
      </c>
      <c r="M5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6">
        <f>--(0&gt;(TblTimeSheet[[#This Row],[End Date and Time]]-TblTimeSheet[[#This Row],[Start Date and Time]]))</f>
        <v>0</v>
      </c>
    </row>
    <row r="517" spans="1:14" x14ac:dyDescent="0.25">
      <c r="A517" s="1"/>
      <c r="B517" s="2" t="s">
        <v>699</v>
      </c>
      <c r="C517" s="2" t="s">
        <v>171</v>
      </c>
      <c r="D517" s="2" t="s">
        <v>32</v>
      </c>
      <c r="E517" s="7" t="s">
        <v>994</v>
      </c>
      <c r="F517" s="37">
        <v>42348.395833333336</v>
      </c>
      <c r="G517" s="37">
        <v>42348.416666666664</v>
      </c>
      <c r="H517" s="1" t="s">
        <v>6</v>
      </c>
      <c r="I517" s="1" t="s">
        <v>38</v>
      </c>
      <c r="J517" s="1">
        <v>42348.418344907404</v>
      </c>
      <c r="K517" s="1" t="s">
        <v>171</v>
      </c>
      <c r="L517" s="14">
        <f>24*(TblTimeSheet[[#This Row],[End Date and Time]]-TblTimeSheet[[#This Row],[Start Date and Time]])</f>
        <v>0.49999999988358468</v>
      </c>
      <c r="M5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7">
        <f>--(0&gt;(TblTimeSheet[[#This Row],[End Date and Time]]-TblTimeSheet[[#This Row],[Start Date and Time]]))</f>
        <v>0</v>
      </c>
    </row>
    <row r="518" spans="1:14" x14ac:dyDescent="0.25">
      <c r="A518" s="1"/>
      <c r="B518" s="2" t="s">
        <v>699</v>
      </c>
      <c r="C518" s="2" t="s">
        <v>118</v>
      </c>
      <c r="D518" s="2" t="s">
        <v>32</v>
      </c>
      <c r="E518" s="7" t="s">
        <v>995</v>
      </c>
      <c r="F518" s="37">
        <v>42346.416666666664</v>
      </c>
      <c r="G518" s="37">
        <v>42346.541666666664</v>
      </c>
      <c r="H518" s="1" t="s">
        <v>6</v>
      </c>
      <c r="I518" s="1" t="s">
        <v>38</v>
      </c>
      <c r="J518" s="1">
        <v>42348.419710648152</v>
      </c>
      <c r="K518" s="1" t="s">
        <v>118</v>
      </c>
      <c r="L518" s="14">
        <f>24*(TblTimeSheet[[#This Row],[End Date and Time]]-TblTimeSheet[[#This Row],[Start Date and Time]])</f>
        <v>3</v>
      </c>
      <c r="M5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8">
        <f>--(0&gt;(TblTimeSheet[[#This Row],[End Date and Time]]-TblTimeSheet[[#This Row],[Start Date and Time]]))</f>
        <v>0</v>
      </c>
    </row>
    <row r="519" spans="1:14" x14ac:dyDescent="0.25">
      <c r="A519" s="1"/>
      <c r="B519" s="2" t="s">
        <v>699</v>
      </c>
      <c r="C519" s="2" t="s">
        <v>118</v>
      </c>
      <c r="D519" s="2" t="s">
        <v>32</v>
      </c>
      <c r="E519" s="7" t="s">
        <v>996</v>
      </c>
      <c r="F519" s="37">
        <v>42347.416666666664</v>
      </c>
      <c r="G519" s="37">
        <v>42347.5</v>
      </c>
      <c r="H519" s="1" t="s">
        <v>6</v>
      </c>
      <c r="I519" s="1" t="s">
        <v>38</v>
      </c>
      <c r="J519" s="1">
        <v>42348.420937499999</v>
      </c>
      <c r="K519" s="1" t="s">
        <v>118</v>
      </c>
      <c r="L519" s="14">
        <f>24*(TblTimeSheet[[#This Row],[End Date and Time]]-TblTimeSheet[[#This Row],[Start Date and Time]])</f>
        <v>2.0000000000582077</v>
      </c>
      <c r="M5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19">
        <f>--(0&gt;(TblTimeSheet[[#This Row],[End Date and Time]]-TblTimeSheet[[#This Row],[Start Date and Time]]))</f>
        <v>0</v>
      </c>
    </row>
    <row r="520" spans="1:14" x14ac:dyDescent="0.25">
      <c r="A520" s="1"/>
      <c r="B520" s="2" t="s">
        <v>699</v>
      </c>
      <c r="C520" s="2" t="s">
        <v>118</v>
      </c>
      <c r="D520" s="2" t="s">
        <v>32</v>
      </c>
      <c r="E520" s="7" t="s">
        <v>997</v>
      </c>
      <c r="F520" s="37">
        <v>42347.583333333336</v>
      </c>
      <c r="G520" s="37">
        <v>42347.625</v>
      </c>
      <c r="H520" s="1" t="s">
        <v>6</v>
      </c>
      <c r="I520" s="1" t="s">
        <v>38</v>
      </c>
      <c r="J520" s="1">
        <v>42348.421967592592</v>
      </c>
      <c r="K520" s="1" t="s">
        <v>118</v>
      </c>
      <c r="L520" s="14">
        <f>24*(TblTimeSheet[[#This Row],[End Date and Time]]-TblTimeSheet[[#This Row],[Start Date and Time]])</f>
        <v>0.99999999994179234</v>
      </c>
      <c r="M5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0">
        <f>--(0&gt;(TblTimeSheet[[#This Row],[End Date and Time]]-TblTimeSheet[[#This Row],[Start Date and Time]]))</f>
        <v>0</v>
      </c>
    </row>
    <row r="521" spans="1:14" x14ac:dyDescent="0.25">
      <c r="A521" s="1"/>
      <c r="B521" s="2" t="s">
        <v>699</v>
      </c>
      <c r="C521" s="2" t="s">
        <v>118</v>
      </c>
      <c r="D521" s="2" t="s">
        <v>32</v>
      </c>
      <c r="E521" s="7" t="s">
        <v>516</v>
      </c>
      <c r="F521" s="37">
        <v>42348.395833333336</v>
      </c>
      <c r="G521" s="37">
        <v>42348.416666666664</v>
      </c>
      <c r="H521" s="1" t="s">
        <v>6</v>
      </c>
      <c r="I521" s="1" t="s">
        <v>38</v>
      </c>
      <c r="J521" s="1">
        <v>42348.422511574077</v>
      </c>
      <c r="K521" s="1" t="s">
        <v>118</v>
      </c>
      <c r="L521" s="14">
        <f>24*(TblTimeSheet[[#This Row],[End Date and Time]]-TblTimeSheet[[#This Row],[Start Date and Time]])</f>
        <v>0.49999999988358468</v>
      </c>
      <c r="M5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1">
        <f>--(0&gt;(TblTimeSheet[[#This Row],[End Date and Time]]-TblTimeSheet[[#This Row],[Start Date and Time]]))</f>
        <v>0</v>
      </c>
    </row>
    <row r="522" spans="1:14" x14ac:dyDescent="0.25">
      <c r="A522" s="1"/>
      <c r="B522" s="2" t="s">
        <v>697</v>
      </c>
      <c r="C522" s="2" t="s">
        <v>124</v>
      </c>
      <c r="D522" s="2" t="s">
        <v>20</v>
      </c>
      <c r="E522" s="7" t="s">
        <v>787</v>
      </c>
      <c r="F522" s="37">
        <v>42335.5</v>
      </c>
      <c r="G522" s="37">
        <v>42335.527777777781</v>
      </c>
      <c r="H522" s="1" t="s">
        <v>6</v>
      </c>
      <c r="I522" s="1" t="s">
        <v>38</v>
      </c>
      <c r="J522" s="1">
        <v>42348.472118055557</v>
      </c>
      <c r="K522" s="1" t="s">
        <v>2863</v>
      </c>
      <c r="L522" s="14">
        <f>24*(TblTimeSheet[[#This Row],[End Date and Time]]-TblTimeSheet[[#This Row],[Start Date and Time]])</f>
        <v>0.66666666674427688</v>
      </c>
      <c r="M5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2">
        <f>--(0&gt;(TblTimeSheet[[#This Row],[End Date and Time]]-TblTimeSheet[[#This Row],[Start Date and Time]]))</f>
        <v>0</v>
      </c>
    </row>
    <row r="523" spans="1:14" x14ac:dyDescent="0.25">
      <c r="A523" s="1"/>
      <c r="B523" s="2" t="s">
        <v>697</v>
      </c>
      <c r="C523" s="2" t="s">
        <v>124</v>
      </c>
      <c r="D523" s="2" t="s">
        <v>20</v>
      </c>
      <c r="E523" s="7" t="s">
        <v>787</v>
      </c>
      <c r="F523" s="37">
        <v>42336.75</v>
      </c>
      <c r="G523" s="37">
        <v>42336.777777777781</v>
      </c>
      <c r="H523" s="1" t="s">
        <v>6</v>
      </c>
      <c r="I523" s="1" t="s">
        <v>38</v>
      </c>
      <c r="J523" s="1">
        <v>42348.473229166666</v>
      </c>
      <c r="K523" s="1" t="s">
        <v>2863</v>
      </c>
      <c r="L523" s="14">
        <f>24*(TblTimeSheet[[#This Row],[End Date and Time]]-TblTimeSheet[[#This Row],[Start Date and Time]])</f>
        <v>0.66666666674427688</v>
      </c>
      <c r="M5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3">
        <f>--(0&gt;(TblTimeSheet[[#This Row],[End Date and Time]]-TblTimeSheet[[#This Row],[Start Date and Time]]))</f>
        <v>0</v>
      </c>
    </row>
    <row r="524" spans="1:14" x14ac:dyDescent="0.25">
      <c r="A524" s="1"/>
      <c r="B524" s="2" t="s">
        <v>699</v>
      </c>
      <c r="C524" s="2" t="s">
        <v>116</v>
      </c>
      <c r="D524" s="2" t="s">
        <v>20</v>
      </c>
      <c r="E524" s="7" t="s">
        <v>998</v>
      </c>
      <c r="F524" s="37">
        <v>42331.583333333336</v>
      </c>
      <c r="G524" s="37">
        <v>42331.625</v>
      </c>
      <c r="H524" s="1" t="s">
        <v>6</v>
      </c>
      <c r="I524" s="1" t="s">
        <v>38</v>
      </c>
      <c r="J524" s="1">
        <v>42348.610983796294</v>
      </c>
      <c r="K524" s="1" t="s">
        <v>701</v>
      </c>
      <c r="L524" s="14">
        <f>24*(TblTimeSheet[[#This Row],[End Date and Time]]-TblTimeSheet[[#This Row],[Start Date and Time]])</f>
        <v>0.99999999994179234</v>
      </c>
      <c r="M5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24">
        <f>--(0&gt;(TblTimeSheet[[#This Row],[End Date and Time]]-TblTimeSheet[[#This Row],[Start Date and Time]]))</f>
        <v>0</v>
      </c>
    </row>
    <row r="525" spans="1:14" x14ac:dyDescent="0.25">
      <c r="A525" s="1"/>
      <c r="B525" s="2" t="s">
        <v>699</v>
      </c>
      <c r="C525" s="2" t="s">
        <v>41</v>
      </c>
      <c r="D525" s="2" t="s">
        <v>20</v>
      </c>
      <c r="E525" s="7" t="s">
        <v>999</v>
      </c>
      <c r="F525" s="37">
        <v>42345.708333333336</v>
      </c>
      <c r="G525" s="37">
        <v>42345.725694444445</v>
      </c>
      <c r="H525" s="1" t="s">
        <v>6</v>
      </c>
      <c r="I525" s="1" t="s">
        <v>38</v>
      </c>
      <c r="J525" s="1">
        <v>42348.674849537034</v>
      </c>
      <c r="K525" s="1" t="s">
        <v>41</v>
      </c>
      <c r="L525" s="14">
        <f>24*(TblTimeSheet[[#This Row],[End Date and Time]]-TblTimeSheet[[#This Row],[Start Date and Time]])</f>
        <v>0.41666666662786156</v>
      </c>
      <c r="M5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5">
        <f>--(0&gt;(TblTimeSheet[[#This Row],[End Date and Time]]-TblTimeSheet[[#This Row],[Start Date and Time]]))</f>
        <v>0</v>
      </c>
    </row>
    <row r="526" spans="1:14" x14ac:dyDescent="0.25">
      <c r="A526" s="1"/>
      <c r="B526" s="2" t="s">
        <v>699</v>
      </c>
      <c r="C526" s="2" t="s">
        <v>118</v>
      </c>
      <c r="D526" s="2" t="s">
        <v>32</v>
      </c>
      <c r="E526" s="7" t="s">
        <v>1000</v>
      </c>
      <c r="F526" s="37">
        <v>42348.458333333336</v>
      </c>
      <c r="G526" s="37">
        <v>42348.541666666664</v>
      </c>
      <c r="H526" s="1" t="s">
        <v>6</v>
      </c>
      <c r="I526" s="1" t="s">
        <v>38</v>
      </c>
      <c r="J526" s="1">
        <v>42348.67664351852</v>
      </c>
      <c r="K526" s="1" t="s">
        <v>118</v>
      </c>
      <c r="L526" s="14">
        <f>24*(TblTimeSheet[[#This Row],[End Date and Time]]-TblTimeSheet[[#This Row],[Start Date and Time]])</f>
        <v>1.9999999998835847</v>
      </c>
      <c r="M5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6">
        <f>--(0&gt;(TblTimeSheet[[#This Row],[End Date and Time]]-TblTimeSheet[[#This Row],[Start Date and Time]]))</f>
        <v>0</v>
      </c>
    </row>
    <row r="527" spans="1:14" x14ac:dyDescent="0.25">
      <c r="A527" s="1"/>
      <c r="B527" s="2" t="s">
        <v>699</v>
      </c>
      <c r="C527" s="2" t="s">
        <v>118</v>
      </c>
      <c r="D527" s="2" t="s">
        <v>32</v>
      </c>
      <c r="E527" s="7" t="s">
        <v>1001</v>
      </c>
      <c r="F527" s="37">
        <v>42348.583333333336</v>
      </c>
      <c r="G527" s="37">
        <v>42348.604166666664</v>
      </c>
      <c r="H527" s="1" t="s">
        <v>6</v>
      </c>
      <c r="I527" s="1" t="s">
        <v>38</v>
      </c>
      <c r="J527" s="1">
        <v>42348.679710648146</v>
      </c>
      <c r="K527" s="1" t="s">
        <v>118</v>
      </c>
      <c r="L527" s="14">
        <f>24*(TblTimeSheet[[#This Row],[End Date and Time]]-TblTimeSheet[[#This Row],[Start Date and Time]])</f>
        <v>0.49999999988358468</v>
      </c>
      <c r="M5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7">
        <f>--(0&gt;(TblTimeSheet[[#This Row],[End Date and Time]]-TblTimeSheet[[#This Row],[Start Date and Time]]))</f>
        <v>0</v>
      </c>
    </row>
    <row r="528" spans="1:14" x14ac:dyDescent="0.25">
      <c r="A528" s="1"/>
      <c r="B528" s="2" t="s">
        <v>699</v>
      </c>
      <c r="C528" s="2" t="s">
        <v>116</v>
      </c>
      <c r="D528" s="2" t="s">
        <v>20</v>
      </c>
      <c r="E528" s="7" t="s">
        <v>1732</v>
      </c>
      <c r="F528" s="37">
        <v>42348.628472222219</v>
      </c>
      <c r="G528" s="37">
        <v>42348.645833333336</v>
      </c>
      <c r="H528" s="1" t="s">
        <v>6</v>
      </c>
      <c r="I528" s="1" t="s">
        <v>38</v>
      </c>
      <c r="J528" s="1">
        <v>42348.680891203701</v>
      </c>
      <c r="K528" s="1" t="s">
        <v>81</v>
      </c>
      <c r="L528" s="14">
        <f>24*(TblTimeSheet[[#This Row],[End Date and Time]]-TblTimeSheet[[#This Row],[Start Date and Time]])</f>
        <v>0.41666666680248454</v>
      </c>
      <c r="M5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28">
        <f>--(0&gt;(TblTimeSheet[[#This Row],[End Date and Time]]-TblTimeSheet[[#This Row],[Start Date and Time]]))</f>
        <v>0</v>
      </c>
    </row>
    <row r="529" spans="1:14" x14ac:dyDescent="0.25">
      <c r="A529" s="1"/>
      <c r="B529" s="2" t="s">
        <v>699</v>
      </c>
      <c r="C529" s="2" t="s">
        <v>41</v>
      </c>
      <c r="D529" s="2" t="s">
        <v>20</v>
      </c>
      <c r="E529" s="7" t="s">
        <v>1733</v>
      </c>
      <c r="F529" s="37">
        <v>42347.75</v>
      </c>
      <c r="G529" s="37">
        <v>42347.770833333336</v>
      </c>
      <c r="H529" s="1" t="s">
        <v>6</v>
      </c>
      <c r="I529" s="1" t="s">
        <v>38</v>
      </c>
      <c r="J529" s="1">
        <v>42348.682037037041</v>
      </c>
      <c r="K529" s="1" t="s">
        <v>41</v>
      </c>
      <c r="L529" s="14">
        <f>24*(TblTimeSheet[[#This Row],[End Date and Time]]-TblTimeSheet[[#This Row],[Start Date and Time]])</f>
        <v>0.50000000005820766</v>
      </c>
      <c r="M5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29">
        <f>--(0&gt;(TblTimeSheet[[#This Row],[End Date and Time]]-TblTimeSheet[[#This Row],[Start Date and Time]]))</f>
        <v>0</v>
      </c>
    </row>
    <row r="530" spans="1:14" x14ac:dyDescent="0.25">
      <c r="A530" s="1"/>
      <c r="B530" s="2" t="s">
        <v>699</v>
      </c>
      <c r="C530" s="2" t="s">
        <v>41</v>
      </c>
      <c r="D530" s="2" t="s">
        <v>20</v>
      </c>
      <c r="E530" s="7" t="s">
        <v>1002</v>
      </c>
      <c r="F530" s="37">
        <v>42348.628472222219</v>
      </c>
      <c r="G530" s="37">
        <v>42348.645833333336</v>
      </c>
      <c r="H530" s="1" t="s">
        <v>6</v>
      </c>
      <c r="I530" s="1" t="s">
        <v>38</v>
      </c>
      <c r="J530" s="1">
        <v>42348.685671296298</v>
      </c>
      <c r="K530" s="1" t="s">
        <v>41</v>
      </c>
      <c r="L530" s="14">
        <f>24*(TblTimeSheet[[#This Row],[End Date and Time]]-TblTimeSheet[[#This Row],[Start Date and Time]])</f>
        <v>0.41666666680248454</v>
      </c>
      <c r="M5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0">
        <f>--(0&gt;(TblTimeSheet[[#This Row],[End Date and Time]]-TblTimeSheet[[#This Row],[Start Date and Time]]))</f>
        <v>0</v>
      </c>
    </row>
    <row r="531" spans="1:14" x14ac:dyDescent="0.25">
      <c r="A531" s="1"/>
      <c r="B531" s="2" t="s">
        <v>697</v>
      </c>
      <c r="C531" s="2" t="s">
        <v>124</v>
      </c>
      <c r="D531" s="2" t="s">
        <v>20</v>
      </c>
      <c r="E531" s="7" t="s">
        <v>1003</v>
      </c>
      <c r="F531" s="37">
        <v>42338.416666666664</v>
      </c>
      <c r="G531" s="37">
        <v>42338.4375</v>
      </c>
      <c r="H531" s="1" t="s">
        <v>6</v>
      </c>
      <c r="I531" s="1" t="s">
        <v>38</v>
      </c>
      <c r="J531" s="1">
        <v>42348.695914351854</v>
      </c>
      <c r="K531" s="1" t="s">
        <v>2863</v>
      </c>
      <c r="L531" s="14">
        <f>24*(TblTimeSheet[[#This Row],[End Date and Time]]-TblTimeSheet[[#This Row],[Start Date and Time]])</f>
        <v>0.50000000005820766</v>
      </c>
      <c r="M5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1">
        <f>--(0&gt;(TblTimeSheet[[#This Row],[End Date and Time]]-TblTimeSheet[[#This Row],[Start Date and Time]]))</f>
        <v>0</v>
      </c>
    </row>
    <row r="532" spans="1:14" x14ac:dyDescent="0.25">
      <c r="A532" s="1"/>
      <c r="B532" s="2" t="s">
        <v>697</v>
      </c>
      <c r="C532" s="2" t="s">
        <v>124</v>
      </c>
      <c r="D532" s="2" t="s">
        <v>20</v>
      </c>
      <c r="E532" s="7" t="s">
        <v>1003</v>
      </c>
      <c r="F532" s="37">
        <v>42348.625</v>
      </c>
      <c r="G532" s="37">
        <v>42348.645833333336</v>
      </c>
      <c r="H532" s="1" t="s">
        <v>6</v>
      </c>
      <c r="I532" s="1" t="s">
        <v>38</v>
      </c>
      <c r="J532" s="1">
        <v>42348.696446759262</v>
      </c>
      <c r="K532" s="1" t="s">
        <v>2863</v>
      </c>
      <c r="L532" s="14">
        <f>24*(TblTimeSheet[[#This Row],[End Date and Time]]-TblTimeSheet[[#This Row],[Start Date and Time]])</f>
        <v>0.50000000005820766</v>
      </c>
      <c r="M5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2">
        <f>--(0&gt;(TblTimeSheet[[#This Row],[End Date and Time]]-TblTimeSheet[[#This Row],[Start Date and Time]]))</f>
        <v>0</v>
      </c>
    </row>
    <row r="533" spans="1:14" x14ac:dyDescent="0.25">
      <c r="A533" s="1"/>
      <c r="B533" s="2" t="s">
        <v>699</v>
      </c>
      <c r="C533" s="2" t="s">
        <v>41</v>
      </c>
      <c r="D533" s="2" t="s">
        <v>20</v>
      </c>
      <c r="E533" s="7" t="s">
        <v>1004</v>
      </c>
      <c r="F533" s="37">
        <v>42348.458333333336</v>
      </c>
      <c r="G533" s="37">
        <v>42348.583333333336</v>
      </c>
      <c r="H533" s="1" t="s">
        <v>6</v>
      </c>
      <c r="I533" s="1" t="s">
        <v>38</v>
      </c>
      <c r="J533" s="1">
        <v>42348.697199074071</v>
      </c>
      <c r="K533" s="1" t="s">
        <v>41</v>
      </c>
      <c r="L533" s="14">
        <f>24*(TblTimeSheet[[#This Row],[End Date and Time]]-TblTimeSheet[[#This Row],[Start Date and Time]])</f>
        <v>3</v>
      </c>
      <c r="M5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3">
        <f>--(0&gt;(TblTimeSheet[[#This Row],[End Date and Time]]-TblTimeSheet[[#This Row],[Start Date and Time]]))</f>
        <v>0</v>
      </c>
    </row>
    <row r="534" spans="1:14" x14ac:dyDescent="0.25">
      <c r="A534" s="1"/>
      <c r="B534" s="2" t="s">
        <v>697</v>
      </c>
      <c r="C534" s="2" t="s">
        <v>43</v>
      </c>
      <c r="D534" s="2" t="s">
        <v>20</v>
      </c>
      <c r="E534" s="7" t="s">
        <v>1005</v>
      </c>
      <c r="F534" s="37">
        <v>42341.666666666664</v>
      </c>
      <c r="G534" s="37">
        <v>42341.729166666664</v>
      </c>
      <c r="H534" s="1" t="s">
        <v>6</v>
      </c>
      <c r="I534" s="1" t="s">
        <v>38</v>
      </c>
      <c r="J534" s="1">
        <v>42348.699583333335</v>
      </c>
      <c r="K534" s="1" t="s">
        <v>43</v>
      </c>
      <c r="L534" s="14">
        <f>24*(TblTimeSheet[[#This Row],[End Date and Time]]-TblTimeSheet[[#This Row],[Start Date and Time]])</f>
        <v>1.5</v>
      </c>
      <c r="M5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4">
        <f>--(0&gt;(TblTimeSheet[[#This Row],[End Date and Time]]-TblTimeSheet[[#This Row],[Start Date and Time]]))</f>
        <v>0</v>
      </c>
    </row>
    <row r="535" spans="1:14" x14ac:dyDescent="0.25">
      <c r="A535" s="1"/>
      <c r="B535" s="2" t="s">
        <v>697</v>
      </c>
      <c r="C535" s="2" t="s">
        <v>924</v>
      </c>
      <c r="D535" s="2" t="s">
        <v>20</v>
      </c>
      <c r="E535" s="7" t="s">
        <v>1006</v>
      </c>
      <c r="F535" s="37">
        <v>42341.666666666664</v>
      </c>
      <c r="G535" s="37">
        <v>42341.729166666664</v>
      </c>
      <c r="H535" s="1" t="s">
        <v>6</v>
      </c>
      <c r="I535" s="1" t="s">
        <v>38</v>
      </c>
      <c r="J535" s="1">
        <v>42348.702476851853</v>
      </c>
      <c r="K535" s="1" t="s">
        <v>924</v>
      </c>
      <c r="L535" s="14">
        <f>24*(TblTimeSheet[[#This Row],[End Date and Time]]-TblTimeSheet[[#This Row],[Start Date and Time]])</f>
        <v>1.5</v>
      </c>
      <c r="M5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5">
        <f>--(0&gt;(TblTimeSheet[[#This Row],[End Date and Time]]-TblTimeSheet[[#This Row],[Start Date and Time]]))</f>
        <v>0</v>
      </c>
    </row>
    <row r="536" spans="1:14" x14ac:dyDescent="0.25">
      <c r="A536" s="1"/>
      <c r="B536" s="2" t="s">
        <v>699</v>
      </c>
      <c r="C536" s="2" t="s">
        <v>43</v>
      </c>
      <c r="D536" s="2" t="s">
        <v>32</v>
      </c>
      <c r="E536" s="7" t="s">
        <v>1007</v>
      </c>
      <c r="F536" s="37">
        <v>42347.583333333336</v>
      </c>
      <c r="G536" s="37">
        <v>42347.625</v>
      </c>
      <c r="H536" s="1" t="s">
        <v>6</v>
      </c>
      <c r="I536" s="1" t="s">
        <v>38</v>
      </c>
      <c r="J536" s="1">
        <v>42348.708680555559</v>
      </c>
      <c r="K536" s="1" t="s">
        <v>43</v>
      </c>
      <c r="L536" s="14">
        <f>24*(TblTimeSheet[[#This Row],[End Date and Time]]-TblTimeSheet[[#This Row],[Start Date and Time]])</f>
        <v>0.99999999994179234</v>
      </c>
      <c r="M5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6">
        <f>--(0&gt;(TblTimeSheet[[#This Row],[End Date and Time]]-TblTimeSheet[[#This Row],[Start Date and Time]]))</f>
        <v>0</v>
      </c>
    </row>
    <row r="537" spans="1:14" x14ac:dyDescent="0.25">
      <c r="A537" s="1"/>
      <c r="B537" s="2" t="s">
        <v>699</v>
      </c>
      <c r="C537" s="2" t="s">
        <v>43</v>
      </c>
      <c r="D537" s="2" t="s">
        <v>32</v>
      </c>
      <c r="E537" s="7" t="s">
        <v>1008</v>
      </c>
      <c r="F537" s="37">
        <v>42348.583333333336</v>
      </c>
      <c r="G537" s="37">
        <v>42348.604166666664</v>
      </c>
      <c r="H537" s="1" t="s">
        <v>6</v>
      </c>
      <c r="I537" s="1" t="s">
        <v>38</v>
      </c>
      <c r="J537" s="1">
        <v>42348.709270833337</v>
      </c>
      <c r="K537" s="1" t="s">
        <v>43</v>
      </c>
      <c r="L537" s="14">
        <f>24*(TblTimeSheet[[#This Row],[End Date and Time]]-TblTimeSheet[[#This Row],[Start Date and Time]])</f>
        <v>0.49999999988358468</v>
      </c>
      <c r="M5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7">
        <f>--(0&gt;(TblTimeSheet[[#This Row],[End Date and Time]]-TblTimeSheet[[#This Row],[Start Date and Time]]))</f>
        <v>0</v>
      </c>
    </row>
    <row r="538" spans="1:14" x14ac:dyDescent="0.25">
      <c r="A538" s="1"/>
      <c r="B538" s="2" t="s">
        <v>699</v>
      </c>
      <c r="C538" s="2" t="s">
        <v>41</v>
      </c>
      <c r="D538" s="2" t="s">
        <v>20</v>
      </c>
      <c r="E538" s="7" t="s">
        <v>1009</v>
      </c>
      <c r="F538" s="37">
        <v>42348.666666666664</v>
      </c>
      <c r="G538" s="37">
        <v>42348.708333333336</v>
      </c>
      <c r="H538" s="1" t="s">
        <v>6</v>
      </c>
      <c r="I538" s="1" t="s">
        <v>38</v>
      </c>
      <c r="J538" s="1">
        <v>42348.721400462964</v>
      </c>
      <c r="K538" s="1" t="s">
        <v>41</v>
      </c>
      <c r="L538" s="14">
        <f>24*(TblTimeSheet[[#This Row],[End Date and Time]]-TblTimeSheet[[#This Row],[Start Date and Time]])</f>
        <v>1.0000000001164153</v>
      </c>
      <c r="M5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8">
        <f>--(0&gt;(TblTimeSheet[[#This Row],[End Date and Time]]-TblTimeSheet[[#This Row],[Start Date and Time]]))</f>
        <v>0</v>
      </c>
    </row>
    <row r="539" spans="1:14" x14ac:dyDescent="0.25">
      <c r="A539" s="1"/>
      <c r="B539" s="2" t="s">
        <v>697</v>
      </c>
      <c r="C539" s="2" t="s">
        <v>124</v>
      </c>
      <c r="D539" s="2" t="s">
        <v>20</v>
      </c>
      <c r="E539" s="7" t="s">
        <v>1010</v>
      </c>
      <c r="F539" s="37">
        <v>42347.416666666664</v>
      </c>
      <c r="G539" s="37">
        <v>42347.666666666664</v>
      </c>
      <c r="H539" s="1" t="s">
        <v>6</v>
      </c>
      <c r="I539" s="1" t="s">
        <v>38</v>
      </c>
      <c r="J539" s="1">
        <v>42348.729317129626</v>
      </c>
      <c r="K539" s="1" t="s">
        <v>2863</v>
      </c>
      <c r="L539" s="14">
        <f>24*(TblTimeSheet[[#This Row],[End Date and Time]]-TblTimeSheet[[#This Row],[Start Date and Time]])</f>
        <v>6</v>
      </c>
      <c r="M5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39">
        <f>--(0&gt;(TblTimeSheet[[#This Row],[End Date and Time]]-TblTimeSheet[[#This Row],[Start Date and Time]]))</f>
        <v>0</v>
      </c>
    </row>
    <row r="540" spans="1:14" x14ac:dyDescent="0.25">
      <c r="A540" s="1"/>
      <c r="B540" s="2" t="s">
        <v>697</v>
      </c>
      <c r="C540" s="2" t="s">
        <v>124</v>
      </c>
      <c r="D540" s="2" t="s">
        <v>20</v>
      </c>
      <c r="E540" s="7" t="s">
        <v>1011</v>
      </c>
      <c r="F540" s="37">
        <v>42346.375</v>
      </c>
      <c r="G540" s="37">
        <v>42346.708333333336</v>
      </c>
      <c r="H540" s="1" t="s">
        <v>6</v>
      </c>
      <c r="I540" s="1" t="s">
        <v>38</v>
      </c>
      <c r="J540" s="1">
        <v>42348.73060185185</v>
      </c>
      <c r="K540" s="1" t="s">
        <v>2863</v>
      </c>
      <c r="L540" s="14">
        <f>24*(TblTimeSheet[[#This Row],[End Date and Time]]-TblTimeSheet[[#This Row],[Start Date and Time]])</f>
        <v>8.0000000000582077</v>
      </c>
      <c r="M5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0">
        <f>--(0&gt;(TblTimeSheet[[#This Row],[End Date and Time]]-TblTimeSheet[[#This Row],[Start Date and Time]]))</f>
        <v>0</v>
      </c>
    </row>
    <row r="541" spans="1:14" x14ac:dyDescent="0.25">
      <c r="A541" s="1"/>
      <c r="B541" s="2" t="s">
        <v>697</v>
      </c>
      <c r="C541" s="2" t="s">
        <v>116</v>
      </c>
      <c r="D541" s="2" t="s">
        <v>32</v>
      </c>
      <c r="E541" s="7" t="s">
        <v>1734</v>
      </c>
      <c r="F541" s="37">
        <v>42349.65625</v>
      </c>
      <c r="G541" s="37">
        <v>42349.673611111109</v>
      </c>
      <c r="H541" s="1" t="s">
        <v>6</v>
      </c>
      <c r="I541" s="1" t="s">
        <v>38</v>
      </c>
      <c r="J541" s="1">
        <v>42349.671770833331</v>
      </c>
      <c r="K541" s="1" t="s">
        <v>701</v>
      </c>
      <c r="L541" s="14">
        <f>24*(TblTimeSheet[[#This Row],[End Date and Time]]-TblTimeSheet[[#This Row],[Start Date and Time]])</f>
        <v>0.41666666662786156</v>
      </c>
      <c r="M5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41">
        <f>--(0&gt;(TblTimeSheet[[#This Row],[End Date and Time]]-TblTimeSheet[[#This Row],[Start Date and Time]]))</f>
        <v>0</v>
      </c>
    </row>
    <row r="542" spans="1:14" x14ac:dyDescent="0.25">
      <c r="A542" s="1"/>
      <c r="B542" s="2" t="s">
        <v>697</v>
      </c>
      <c r="C542" s="2" t="s">
        <v>116</v>
      </c>
      <c r="D542" s="2" t="s">
        <v>32</v>
      </c>
      <c r="E542" s="7" t="s">
        <v>1012</v>
      </c>
      <c r="F542" s="37">
        <v>42349.65625</v>
      </c>
      <c r="G542" s="37">
        <v>42349.673611111109</v>
      </c>
      <c r="H542" s="1" t="s">
        <v>6</v>
      </c>
      <c r="I542" s="1" t="s">
        <v>38</v>
      </c>
      <c r="J542" s="1">
        <v>42349.717476851853</v>
      </c>
      <c r="K542" s="1" t="s">
        <v>81</v>
      </c>
      <c r="L542" s="14">
        <f>24*(TblTimeSheet[[#This Row],[End Date and Time]]-TblTimeSheet[[#This Row],[Start Date and Time]])</f>
        <v>0.41666666662786156</v>
      </c>
      <c r="M5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42">
        <f>--(0&gt;(TblTimeSheet[[#This Row],[End Date and Time]]-TblTimeSheet[[#This Row],[Start Date and Time]]))</f>
        <v>0</v>
      </c>
    </row>
    <row r="543" spans="1:14" x14ac:dyDescent="0.25">
      <c r="A543" s="1"/>
      <c r="B543" s="2" t="s">
        <v>697</v>
      </c>
      <c r="C543" s="2" t="s">
        <v>143</v>
      </c>
      <c r="D543" s="2" t="s">
        <v>32</v>
      </c>
      <c r="E543" s="7" t="s">
        <v>1012</v>
      </c>
      <c r="F543" s="37">
        <v>42349.65625</v>
      </c>
      <c r="G543" s="37">
        <v>42349.673611111109</v>
      </c>
      <c r="H543" s="1" t="s">
        <v>6</v>
      </c>
      <c r="I543" s="1" t="s">
        <v>38</v>
      </c>
      <c r="J543" s="1">
        <v>42349.719085648147</v>
      </c>
      <c r="K543" s="1" t="s">
        <v>143</v>
      </c>
      <c r="L543" s="14">
        <f>24*(TblTimeSheet[[#This Row],[End Date and Time]]-TblTimeSheet[[#This Row],[Start Date and Time]])</f>
        <v>0.41666666662786156</v>
      </c>
      <c r="M5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3">
        <f>--(0&gt;(TblTimeSheet[[#This Row],[End Date and Time]]-TblTimeSheet[[#This Row],[Start Date and Time]]))</f>
        <v>0</v>
      </c>
    </row>
    <row r="544" spans="1:14" x14ac:dyDescent="0.25">
      <c r="A544" s="1"/>
      <c r="B544" s="2" t="s">
        <v>699</v>
      </c>
      <c r="C544" s="2" t="s">
        <v>116</v>
      </c>
      <c r="D544" s="2" t="s">
        <v>32</v>
      </c>
      <c r="E544" s="7" t="s">
        <v>1013</v>
      </c>
      <c r="F544" s="37">
        <v>42349.416666666664</v>
      </c>
      <c r="G544" s="37">
        <v>42349.541666666664</v>
      </c>
      <c r="H544" s="1" t="s">
        <v>6</v>
      </c>
      <c r="I544" s="1" t="s">
        <v>38</v>
      </c>
      <c r="J544" s="1">
        <v>42349.722071759257</v>
      </c>
      <c r="K544" s="1" t="s">
        <v>701</v>
      </c>
      <c r="L544" s="14">
        <f>24*(TblTimeSheet[[#This Row],[End Date and Time]]-TblTimeSheet[[#This Row],[Start Date and Time]])</f>
        <v>3</v>
      </c>
      <c r="M5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4">
        <f>--(0&gt;(TblTimeSheet[[#This Row],[End Date and Time]]-TblTimeSheet[[#This Row],[Start Date and Time]]))</f>
        <v>0</v>
      </c>
    </row>
    <row r="545" spans="1:14" x14ac:dyDescent="0.25">
      <c r="A545" s="1"/>
      <c r="B545" s="2" t="s">
        <v>699</v>
      </c>
      <c r="C545" s="2" t="s">
        <v>116</v>
      </c>
      <c r="D545" s="2" t="s">
        <v>32</v>
      </c>
      <c r="E545" s="7" t="s">
        <v>1014</v>
      </c>
      <c r="F545" s="37">
        <v>42349.583333333336</v>
      </c>
      <c r="G545" s="37">
        <v>42349.645833333336</v>
      </c>
      <c r="H545" s="1" t="s">
        <v>6</v>
      </c>
      <c r="I545" s="1" t="s">
        <v>38</v>
      </c>
      <c r="J545" s="1">
        <v>42349.722627314812</v>
      </c>
      <c r="K545" s="1" t="s">
        <v>701</v>
      </c>
      <c r="L545" s="14">
        <f>24*(TblTimeSheet[[#This Row],[End Date and Time]]-TblTimeSheet[[#This Row],[Start Date and Time]])</f>
        <v>1.5</v>
      </c>
      <c r="M5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5">
        <f>--(0&gt;(TblTimeSheet[[#This Row],[End Date and Time]]-TblTimeSheet[[#This Row],[Start Date and Time]]))</f>
        <v>0</v>
      </c>
    </row>
    <row r="546" spans="1:14" x14ac:dyDescent="0.25">
      <c r="A546" s="1"/>
      <c r="B546" s="2" t="s">
        <v>699</v>
      </c>
      <c r="C546" s="2" t="s">
        <v>116</v>
      </c>
      <c r="D546" s="2" t="s">
        <v>32</v>
      </c>
      <c r="E546" s="7" t="s">
        <v>1015</v>
      </c>
      <c r="F546" s="37">
        <v>42348.458333333336</v>
      </c>
      <c r="G546" s="37">
        <v>42348.541666666664</v>
      </c>
      <c r="H546" s="1" t="s">
        <v>6</v>
      </c>
      <c r="I546" s="1" t="s">
        <v>38</v>
      </c>
      <c r="J546" s="1">
        <v>42349.72320601852</v>
      </c>
      <c r="K546" s="1" t="s">
        <v>701</v>
      </c>
      <c r="L546" s="14">
        <f>24*(TblTimeSheet[[#This Row],[End Date and Time]]-TblTimeSheet[[#This Row],[Start Date and Time]])</f>
        <v>1.9999999998835847</v>
      </c>
      <c r="M5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6">
        <f>--(0&gt;(TblTimeSheet[[#This Row],[End Date and Time]]-TblTimeSheet[[#This Row],[Start Date and Time]]))</f>
        <v>0</v>
      </c>
    </row>
    <row r="547" spans="1:14" x14ac:dyDescent="0.25">
      <c r="A547" s="1"/>
      <c r="B547" s="2" t="s">
        <v>699</v>
      </c>
      <c r="C547" s="2" t="s">
        <v>116</v>
      </c>
      <c r="D547" s="2" t="s">
        <v>32</v>
      </c>
      <c r="E547" s="7" t="s">
        <v>1016</v>
      </c>
      <c r="F547" s="37">
        <v>42348.583333333336</v>
      </c>
      <c r="G547" s="37">
        <v>42348.708333333336</v>
      </c>
      <c r="H547" s="1" t="s">
        <v>6</v>
      </c>
      <c r="I547" s="1" t="s">
        <v>38</v>
      </c>
      <c r="J547" s="1">
        <v>42349.72384259259</v>
      </c>
      <c r="K547" s="1" t="s">
        <v>701</v>
      </c>
      <c r="L547" s="14">
        <f>24*(TblTimeSheet[[#This Row],[End Date and Time]]-TblTimeSheet[[#This Row],[Start Date and Time]])</f>
        <v>3</v>
      </c>
      <c r="M5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7">
        <f>--(0&gt;(TblTimeSheet[[#This Row],[End Date and Time]]-TblTimeSheet[[#This Row],[Start Date and Time]]))</f>
        <v>0</v>
      </c>
    </row>
    <row r="548" spans="1:14" x14ac:dyDescent="0.25">
      <c r="A548" s="1"/>
      <c r="B548" s="2" t="s">
        <v>699</v>
      </c>
      <c r="C548" s="2" t="s">
        <v>171</v>
      </c>
      <c r="D548" s="2" t="s">
        <v>32</v>
      </c>
      <c r="E548" s="7" t="s">
        <v>1017</v>
      </c>
      <c r="F548" s="37">
        <v>42350.375</v>
      </c>
      <c r="G548" s="37">
        <v>42350.479166666664</v>
      </c>
      <c r="H548" s="1" t="s">
        <v>6</v>
      </c>
      <c r="I548" s="1" t="s">
        <v>38</v>
      </c>
      <c r="J548" s="1">
        <v>42356.624768518515</v>
      </c>
      <c r="K548" s="1" t="s">
        <v>171</v>
      </c>
      <c r="L548" s="14">
        <f>24*(TblTimeSheet[[#This Row],[End Date and Time]]-TblTimeSheet[[#This Row],[Start Date and Time]])</f>
        <v>2.4999999999417923</v>
      </c>
      <c r="M5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8">
        <f>--(0&gt;(TblTimeSheet[[#This Row],[End Date and Time]]-TblTimeSheet[[#This Row],[Start Date and Time]]))</f>
        <v>0</v>
      </c>
    </row>
    <row r="549" spans="1:14" x14ac:dyDescent="0.25">
      <c r="A549" s="1"/>
      <c r="B549" s="2" t="s">
        <v>697</v>
      </c>
      <c r="C549" s="2" t="s">
        <v>124</v>
      </c>
      <c r="D549" s="2" t="s">
        <v>32</v>
      </c>
      <c r="E549" s="7" t="s">
        <v>1018</v>
      </c>
      <c r="F549" s="37">
        <v>42349.65625</v>
      </c>
      <c r="G549" s="37">
        <v>42349.673611111109</v>
      </c>
      <c r="H549" s="1" t="s">
        <v>6</v>
      </c>
      <c r="I549" s="1" t="s">
        <v>38</v>
      </c>
      <c r="J549" s="1">
        <v>42350.461898148147</v>
      </c>
      <c r="K549" s="1" t="s">
        <v>2863</v>
      </c>
      <c r="L549" s="14">
        <f>24*(TblTimeSheet[[#This Row],[End Date and Time]]-TblTimeSheet[[#This Row],[Start Date and Time]])</f>
        <v>0.41666666662786156</v>
      </c>
      <c r="M5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49">
        <f>--(0&gt;(TblTimeSheet[[#This Row],[End Date and Time]]-TblTimeSheet[[#This Row],[Start Date and Time]]))</f>
        <v>0</v>
      </c>
    </row>
    <row r="550" spans="1:14" x14ac:dyDescent="0.25">
      <c r="A550" s="1"/>
      <c r="B550" s="2" t="s">
        <v>697</v>
      </c>
      <c r="C550" s="2" t="s">
        <v>124</v>
      </c>
      <c r="D550" s="2" t="s">
        <v>32</v>
      </c>
      <c r="E550" s="7" t="s">
        <v>1019</v>
      </c>
      <c r="F550" s="37">
        <v>42349.708333333336</v>
      </c>
      <c r="G550" s="37">
        <v>42349.729166666664</v>
      </c>
      <c r="H550" s="1" t="s">
        <v>6</v>
      </c>
      <c r="I550" s="1" t="s">
        <v>38</v>
      </c>
      <c r="J550" s="1">
        <v>42350.495810185188</v>
      </c>
      <c r="K550" s="1" t="s">
        <v>2863</v>
      </c>
      <c r="L550" s="14">
        <f>24*(TblTimeSheet[[#This Row],[End Date and Time]]-TblTimeSheet[[#This Row],[Start Date and Time]])</f>
        <v>0.49999999988358468</v>
      </c>
      <c r="M5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0">
        <f>--(0&gt;(TblTimeSheet[[#This Row],[End Date and Time]]-TblTimeSheet[[#This Row],[Start Date and Time]]))</f>
        <v>0</v>
      </c>
    </row>
    <row r="551" spans="1:14" x14ac:dyDescent="0.25">
      <c r="A551" s="1"/>
      <c r="B551" s="2" t="s">
        <v>699</v>
      </c>
      <c r="C551" s="2" t="s">
        <v>176</v>
      </c>
      <c r="D551" s="2" t="s">
        <v>32</v>
      </c>
      <c r="E551" s="7" t="s">
        <v>1020</v>
      </c>
      <c r="F551" s="37">
        <v>42349.416666666664</v>
      </c>
      <c r="G551" s="37">
        <v>42349.541666666664</v>
      </c>
      <c r="H551" s="1" t="s">
        <v>6</v>
      </c>
      <c r="I551" s="1" t="s">
        <v>38</v>
      </c>
      <c r="J551" s="1">
        <v>42350.658553240741</v>
      </c>
      <c r="K551" s="1" t="s">
        <v>176</v>
      </c>
      <c r="L551" s="14">
        <f>24*(TblTimeSheet[[#This Row],[End Date and Time]]-TblTimeSheet[[#This Row],[Start Date and Time]])</f>
        <v>3</v>
      </c>
      <c r="M5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1">
        <f>--(0&gt;(TblTimeSheet[[#This Row],[End Date and Time]]-TblTimeSheet[[#This Row],[Start Date and Time]]))</f>
        <v>0</v>
      </c>
    </row>
    <row r="552" spans="1:14" x14ac:dyDescent="0.25">
      <c r="A552" s="1"/>
      <c r="B552" s="2" t="s">
        <v>699</v>
      </c>
      <c r="C552" s="2" t="s">
        <v>176</v>
      </c>
      <c r="D552" s="2" t="s">
        <v>32</v>
      </c>
      <c r="E552" s="7" t="s">
        <v>1021</v>
      </c>
      <c r="F552" s="37">
        <v>42349.625</v>
      </c>
      <c r="G552" s="37">
        <v>42349.666666666664</v>
      </c>
      <c r="H552" s="1" t="s">
        <v>6</v>
      </c>
      <c r="I552" s="1" t="s">
        <v>38</v>
      </c>
      <c r="J552" s="1">
        <v>42350.658935185187</v>
      </c>
      <c r="K552" s="1" t="s">
        <v>176</v>
      </c>
      <c r="L552" s="14">
        <f>24*(TblTimeSheet[[#This Row],[End Date and Time]]-TblTimeSheet[[#This Row],[Start Date and Time]])</f>
        <v>0.99999999994179234</v>
      </c>
      <c r="M5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2">
        <f>--(0&gt;(TblTimeSheet[[#This Row],[End Date and Time]]-TblTimeSheet[[#This Row],[Start Date and Time]]))</f>
        <v>0</v>
      </c>
    </row>
    <row r="553" spans="1:14" x14ac:dyDescent="0.25">
      <c r="A553" s="1"/>
      <c r="B553" s="2" t="s">
        <v>699</v>
      </c>
      <c r="C553" s="2" t="s">
        <v>176</v>
      </c>
      <c r="D553" s="2" t="s">
        <v>32</v>
      </c>
      <c r="E553" s="7" t="s">
        <v>1022</v>
      </c>
      <c r="F553" s="37">
        <v>42350.395833333336</v>
      </c>
      <c r="G553" s="37">
        <v>42350.5625</v>
      </c>
      <c r="H553" s="1" t="s">
        <v>6</v>
      </c>
      <c r="I553" s="1" t="s">
        <v>38</v>
      </c>
      <c r="J553" s="1">
        <v>42350.659421296295</v>
      </c>
      <c r="K553" s="1" t="s">
        <v>176</v>
      </c>
      <c r="L553" s="14">
        <f>24*(TblTimeSheet[[#This Row],[End Date and Time]]-TblTimeSheet[[#This Row],[Start Date and Time]])</f>
        <v>3.9999999999417923</v>
      </c>
      <c r="M5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3">
        <f>--(0&gt;(TblTimeSheet[[#This Row],[End Date and Time]]-TblTimeSheet[[#This Row],[Start Date and Time]]))</f>
        <v>0</v>
      </c>
    </row>
    <row r="554" spans="1:14" x14ac:dyDescent="0.25">
      <c r="A554" s="1"/>
      <c r="B554" s="2" t="s">
        <v>699</v>
      </c>
      <c r="C554" s="2" t="s">
        <v>41</v>
      </c>
      <c r="D554" s="2" t="s">
        <v>32</v>
      </c>
      <c r="E554" s="7" t="s">
        <v>1023</v>
      </c>
      <c r="F554" s="37">
        <v>42347.375</v>
      </c>
      <c r="G554" s="37">
        <v>42347.541666666664</v>
      </c>
      <c r="H554" s="1" t="s">
        <v>6</v>
      </c>
      <c r="I554" s="1" t="s">
        <v>38</v>
      </c>
      <c r="J554" s="1">
        <v>42350.702326388891</v>
      </c>
      <c r="K554" s="1" t="s">
        <v>41</v>
      </c>
      <c r="L554" s="14">
        <f>24*(TblTimeSheet[[#This Row],[End Date and Time]]-TblTimeSheet[[#This Row],[Start Date and Time]])</f>
        <v>3.9999999999417923</v>
      </c>
      <c r="M5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4">
        <f>--(0&gt;(TblTimeSheet[[#This Row],[End Date and Time]]-TblTimeSheet[[#This Row],[Start Date and Time]]))</f>
        <v>0</v>
      </c>
    </row>
    <row r="555" spans="1:14" x14ac:dyDescent="0.25">
      <c r="A555" s="1"/>
      <c r="B555" s="2" t="s">
        <v>699</v>
      </c>
      <c r="C555" s="2" t="s">
        <v>41</v>
      </c>
      <c r="D555" s="2" t="s">
        <v>32</v>
      </c>
      <c r="E555" s="7" t="s">
        <v>1024</v>
      </c>
      <c r="F555" s="37">
        <v>42347.621527777781</v>
      </c>
      <c r="G555" s="37">
        <v>42347.729166666664</v>
      </c>
      <c r="H555" s="1" t="s">
        <v>6</v>
      </c>
      <c r="I555" s="1" t="s">
        <v>38</v>
      </c>
      <c r="J555" s="1">
        <v>42448.397233796299</v>
      </c>
      <c r="K555" s="1" t="s">
        <v>41</v>
      </c>
      <c r="L555" s="14">
        <f>24*(TblTimeSheet[[#This Row],[End Date and Time]]-TblTimeSheet[[#This Row],[Start Date and Time]])</f>
        <v>2.5833333331975155</v>
      </c>
      <c r="M5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5">
        <f>--(0&gt;(TblTimeSheet[[#This Row],[End Date and Time]]-TblTimeSheet[[#This Row],[Start Date and Time]]))</f>
        <v>0</v>
      </c>
    </row>
    <row r="556" spans="1:14" x14ac:dyDescent="0.25">
      <c r="A556" s="1"/>
      <c r="B556" s="2" t="s">
        <v>699</v>
      </c>
      <c r="C556" s="2" t="s">
        <v>41</v>
      </c>
      <c r="D556" s="2" t="s">
        <v>32</v>
      </c>
      <c r="E556" s="7" t="s">
        <v>1025</v>
      </c>
      <c r="F556" s="37">
        <v>42348.375</v>
      </c>
      <c r="G556" s="37">
        <v>42348.395833333336</v>
      </c>
      <c r="H556" s="1" t="s">
        <v>6</v>
      </c>
      <c r="I556" s="1" t="s">
        <v>38</v>
      </c>
      <c r="J556" s="1">
        <v>42358.47693287037</v>
      </c>
      <c r="K556" s="1" t="s">
        <v>41</v>
      </c>
      <c r="L556" s="14">
        <f>24*(TblTimeSheet[[#This Row],[End Date and Time]]-TblTimeSheet[[#This Row],[Start Date and Time]])</f>
        <v>0.50000000005820766</v>
      </c>
      <c r="M5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6">
        <f>--(0&gt;(TblTimeSheet[[#This Row],[End Date and Time]]-TblTimeSheet[[#This Row],[Start Date and Time]]))</f>
        <v>0</v>
      </c>
    </row>
    <row r="557" spans="1:14" x14ac:dyDescent="0.25">
      <c r="A557" s="1"/>
      <c r="B557" s="2" t="s">
        <v>697</v>
      </c>
      <c r="C557" s="2" t="s">
        <v>116</v>
      </c>
      <c r="D557" s="2" t="s">
        <v>32</v>
      </c>
      <c r="E557" s="7" t="s">
        <v>456</v>
      </c>
      <c r="F557" s="37">
        <v>42349.65625</v>
      </c>
      <c r="G557" s="37">
        <v>42349.673611111109</v>
      </c>
      <c r="H557" s="1" t="s">
        <v>6</v>
      </c>
      <c r="I557" s="1" t="s">
        <v>38</v>
      </c>
      <c r="J557" s="1">
        <v>42350.705833333333</v>
      </c>
      <c r="K557" s="1" t="s">
        <v>1026</v>
      </c>
      <c r="L557" s="14">
        <f>24*(TblTimeSheet[[#This Row],[End Date and Time]]-TblTimeSheet[[#This Row],[Start Date and Time]])</f>
        <v>0.41666666662786156</v>
      </c>
      <c r="M5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57">
        <f>--(0&gt;(TblTimeSheet[[#This Row],[End Date and Time]]-TblTimeSheet[[#This Row],[Start Date and Time]]))</f>
        <v>0</v>
      </c>
    </row>
    <row r="558" spans="1:14" x14ac:dyDescent="0.25">
      <c r="A558" s="1"/>
      <c r="B558" s="2" t="s">
        <v>699</v>
      </c>
      <c r="C558" s="2" t="s">
        <v>41</v>
      </c>
      <c r="D558" s="2" t="s">
        <v>32</v>
      </c>
      <c r="E558" s="7" t="s">
        <v>1027</v>
      </c>
      <c r="F558" s="37">
        <v>42319.375</v>
      </c>
      <c r="G558" s="37">
        <v>42319.541666666664</v>
      </c>
      <c r="H558" s="1" t="s">
        <v>6</v>
      </c>
      <c r="I558" s="1" t="s">
        <v>38</v>
      </c>
      <c r="J558" s="1">
        <v>42350.71671296296</v>
      </c>
      <c r="K558" s="1" t="s">
        <v>41</v>
      </c>
      <c r="L558" s="14">
        <f>24*(TblTimeSheet[[#This Row],[End Date and Time]]-TblTimeSheet[[#This Row],[Start Date and Time]])</f>
        <v>3.9999999999417923</v>
      </c>
      <c r="M5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8">
        <f>--(0&gt;(TblTimeSheet[[#This Row],[End Date and Time]]-TblTimeSheet[[#This Row],[Start Date and Time]]))</f>
        <v>0</v>
      </c>
    </row>
    <row r="559" spans="1:14" x14ac:dyDescent="0.25">
      <c r="A559" s="1"/>
      <c r="B559" s="2" t="s">
        <v>699</v>
      </c>
      <c r="C559" s="2" t="s">
        <v>41</v>
      </c>
      <c r="D559" s="2" t="s">
        <v>32</v>
      </c>
      <c r="E559" s="7" t="s">
        <v>1028</v>
      </c>
      <c r="F559" s="37">
        <v>42319.5625</v>
      </c>
      <c r="G559" s="37">
        <v>42319.833333333336</v>
      </c>
      <c r="H559" s="1" t="s">
        <v>6</v>
      </c>
      <c r="I559" s="1" t="s">
        <v>38</v>
      </c>
      <c r="J559" s="1">
        <v>42358.457766203705</v>
      </c>
      <c r="K559" s="1" t="s">
        <v>41</v>
      </c>
      <c r="L559" s="14">
        <f>24*(TblTimeSheet[[#This Row],[End Date and Time]]-TblTimeSheet[[#This Row],[Start Date and Time]])</f>
        <v>6.5000000000582077</v>
      </c>
      <c r="M5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59">
        <f>--(0&gt;(TblTimeSheet[[#This Row],[End Date and Time]]-TblTimeSheet[[#This Row],[Start Date and Time]]))</f>
        <v>0</v>
      </c>
    </row>
    <row r="560" spans="1:14" x14ac:dyDescent="0.25">
      <c r="A560" s="1"/>
      <c r="B560" s="2" t="s">
        <v>699</v>
      </c>
      <c r="C560" s="2" t="s">
        <v>41</v>
      </c>
      <c r="D560" s="2" t="s">
        <v>32</v>
      </c>
      <c r="E560" s="7" t="s">
        <v>1029</v>
      </c>
      <c r="F560" s="37">
        <v>42320.375</v>
      </c>
      <c r="G560" s="37">
        <v>42320.458333333336</v>
      </c>
      <c r="H560" s="1" t="s">
        <v>6</v>
      </c>
      <c r="I560" s="1" t="s">
        <v>38</v>
      </c>
      <c r="J560" s="1">
        <v>42350.717951388891</v>
      </c>
      <c r="K560" s="1" t="s">
        <v>41</v>
      </c>
      <c r="L560" s="14">
        <f>24*(TblTimeSheet[[#This Row],[End Date and Time]]-TblTimeSheet[[#This Row],[Start Date and Time]])</f>
        <v>2.0000000000582077</v>
      </c>
      <c r="M5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0">
        <f>--(0&gt;(TblTimeSheet[[#This Row],[End Date and Time]]-TblTimeSheet[[#This Row],[Start Date and Time]]))</f>
        <v>0</v>
      </c>
    </row>
    <row r="561" spans="1:14" x14ac:dyDescent="0.25">
      <c r="A561" s="1"/>
      <c r="B561" s="2" t="s">
        <v>699</v>
      </c>
      <c r="C561" s="2" t="s">
        <v>118</v>
      </c>
      <c r="D561" s="2" t="s">
        <v>32</v>
      </c>
      <c r="E561" s="7" t="s">
        <v>1030</v>
      </c>
      <c r="F561" s="37">
        <v>42343.375</v>
      </c>
      <c r="G561" s="37">
        <v>42343.541666666664</v>
      </c>
      <c r="H561" s="1" t="s">
        <v>6</v>
      </c>
      <c r="I561" s="1" t="s">
        <v>38</v>
      </c>
      <c r="J561" s="1">
        <v>42355.629756944443</v>
      </c>
      <c r="K561" s="1" t="s">
        <v>118</v>
      </c>
      <c r="L561" s="14">
        <f>24*(TblTimeSheet[[#This Row],[End Date and Time]]-TblTimeSheet[[#This Row],[Start Date and Time]])</f>
        <v>3.9999999999417923</v>
      </c>
      <c r="M5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1">
        <f>--(0&gt;(TblTimeSheet[[#This Row],[End Date and Time]]-TblTimeSheet[[#This Row],[Start Date and Time]]))</f>
        <v>0</v>
      </c>
    </row>
    <row r="562" spans="1:14" x14ac:dyDescent="0.25">
      <c r="A562" s="1"/>
      <c r="B562" s="2" t="s">
        <v>699</v>
      </c>
      <c r="C562" s="2" t="s">
        <v>961</v>
      </c>
      <c r="D562" s="2" t="s">
        <v>32</v>
      </c>
      <c r="E562" s="7" t="s">
        <v>1031</v>
      </c>
      <c r="F562" s="37">
        <v>42350.479166666664</v>
      </c>
      <c r="G562" s="37">
        <v>42350.5</v>
      </c>
      <c r="H562" s="1" t="s">
        <v>6</v>
      </c>
      <c r="I562" s="1" t="s">
        <v>38</v>
      </c>
      <c r="J562" s="1">
        <v>42356.623796296299</v>
      </c>
      <c r="K562" s="1" t="s">
        <v>171</v>
      </c>
      <c r="L562" s="14">
        <f>24*(TblTimeSheet[[#This Row],[End Date and Time]]-TblTimeSheet[[#This Row],[Start Date and Time]])</f>
        <v>0.50000000005820766</v>
      </c>
      <c r="M5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2">
        <f>--(0&gt;(TblTimeSheet[[#This Row],[End Date and Time]]-TblTimeSheet[[#This Row],[Start Date and Time]]))</f>
        <v>0</v>
      </c>
    </row>
    <row r="563" spans="1:14" x14ac:dyDescent="0.25">
      <c r="A563" s="1"/>
      <c r="B563" s="2" t="s">
        <v>699</v>
      </c>
      <c r="C563" s="2" t="s">
        <v>171</v>
      </c>
      <c r="D563" s="2" t="s">
        <v>32</v>
      </c>
      <c r="E563" s="7" t="s">
        <v>1032</v>
      </c>
      <c r="F563" s="37">
        <v>42350.5</v>
      </c>
      <c r="G563" s="37">
        <v>42350.520833333336</v>
      </c>
      <c r="H563" s="1" t="s">
        <v>6</v>
      </c>
      <c r="I563" s="1" t="s">
        <v>38</v>
      </c>
      <c r="J563" s="1">
        <v>42356.624432870369</v>
      </c>
      <c r="K563" s="1" t="s">
        <v>171</v>
      </c>
      <c r="L563" s="14">
        <f>24*(TblTimeSheet[[#This Row],[End Date and Time]]-TblTimeSheet[[#This Row],[Start Date and Time]])</f>
        <v>0.50000000005820766</v>
      </c>
      <c r="M5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3">
        <f>--(0&gt;(TblTimeSheet[[#This Row],[End Date and Time]]-TblTimeSheet[[#This Row],[Start Date and Time]]))</f>
        <v>0</v>
      </c>
    </row>
    <row r="564" spans="1:14" x14ac:dyDescent="0.25">
      <c r="A564" s="1"/>
      <c r="B564" s="2" t="s">
        <v>699</v>
      </c>
      <c r="C564" s="2" t="s">
        <v>171</v>
      </c>
      <c r="D564" s="2" t="s">
        <v>32</v>
      </c>
      <c r="E564" s="7" t="s">
        <v>1033</v>
      </c>
      <c r="F564" s="37">
        <v>42349.416666666664</v>
      </c>
      <c r="G564" s="37">
        <v>42349.458333333336</v>
      </c>
      <c r="H564" s="1" t="s">
        <v>6</v>
      </c>
      <c r="I564" s="1" t="s">
        <v>38</v>
      </c>
      <c r="J564" s="1">
        <v>42356.611388888887</v>
      </c>
      <c r="K564" s="1" t="s">
        <v>171</v>
      </c>
      <c r="L564" s="14">
        <f>24*(TblTimeSheet[[#This Row],[End Date and Time]]-TblTimeSheet[[#This Row],[Start Date and Time]])</f>
        <v>1.0000000001164153</v>
      </c>
      <c r="M5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4">
        <f>--(0&gt;(TblTimeSheet[[#This Row],[End Date and Time]]-TblTimeSheet[[#This Row],[Start Date and Time]]))</f>
        <v>0</v>
      </c>
    </row>
    <row r="565" spans="1:14" ht="30" x14ac:dyDescent="0.25">
      <c r="A565" s="1"/>
      <c r="B565" s="2" t="s">
        <v>699</v>
      </c>
      <c r="C565" s="2" t="s">
        <v>41</v>
      </c>
      <c r="D565" s="2" t="s">
        <v>32</v>
      </c>
      <c r="E565" s="7" t="s">
        <v>1034</v>
      </c>
      <c r="F565" s="37">
        <v>42349.416666666664</v>
      </c>
      <c r="G565" s="37">
        <v>42349.458333333336</v>
      </c>
      <c r="H565" s="1" t="s">
        <v>6</v>
      </c>
      <c r="I565" s="1" t="s">
        <v>38</v>
      </c>
      <c r="J565" s="1">
        <v>42355.679513888892</v>
      </c>
      <c r="K565" s="1" t="s">
        <v>41</v>
      </c>
      <c r="L565" s="14">
        <f>24*(TblTimeSheet[[#This Row],[End Date and Time]]-TblTimeSheet[[#This Row],[Start Date and Time]])</f>
        <v>1.0000000001164153</v>
      </c>
      <c r="M5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5">
        <f>--(0&gt;(TblTimeSheet[[#This Row],[End Date and Time]]-TblTimeSheet[[#This Row],[Start Date and Time]]))</f>
        <v>0</v>
      </c>
    </row>
    <row r="566" spans="1:14" x14ac:dyDescent="0.25">
      <c r="A566" s="1"/>
      <c r="B566" s="2" t="s">
        <v>699</v>
      </c>
      <c r="C566" s="2" t="s">
        <v>78</v>
      </c>
      <c r="D566" s="2" t="s">
        <v>32</v>
      </c>
      <c r="E566" s="7" t="s">
        <v>1035</v>
      </c>
      <c r="F566" s="37">
        <v>42350.5</v>
      </c>
      <c r="G566" s="37">
        <v>42350.520833333336</v>
      </c>
      <c r="H566" s="1" t="s">
        <v>6</v>
      </c>
      <c r="I566" s="1" t="s">
        <v>38</v>
      </c>
      <c r="J566" s="1">
        <v>42356.628576388888</v>
      </c>
      <c r="K566" s="1" t="s">
        <v>171</v>
      </c>
      <c r="L566" s="14">
        <f>24*(TblTimeSheet[[#This Row],[End Date and Time]]-TblTimeSheet[[#This Row],[Start Date and Time]])</f>
        <v>0.50000000005820766</v>
      </c>
      <c r="M5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66">
        <f>--(0&gt;(TblTimeSheet[[#This Row],[End Date and Time]]-TblTimeSheet[[#This Row],[Start Date and Time]]))</f>
        <v>0</v>
      </c>
    </row>
    <row r="567" spans="1:14" x14ac:dyDescent="0.25">
      <c r="A567" s="1"/>
      <c r="B567" s="2" t="s">
        <v>699</v>
      </c>
      <c r="C567" s="2" t="s">
        <v>116</v>
      </c>
      <c r="D567" s="2" t="s">
        <v>32</v>
      </c>
      <c r="E567" s="7" t="s">
        <v>1036</v>
      </c>
      <c r="F567" s="37">
        <v>42350.395833333336</v>
      </c>
      <c r="G567" s="37">
        <v>42350.541666666664</v>
      </c>
      <c r="H567" s="1" t="s">
        <v>6</v>
      </c>
      <c r="I567" s="1" t="s">
        <v>38</v>
      </c>
      <c r="J567" s="1">
        <v>42355.729756944442</v>
      </c>
      <c r="K567" s="1" t="s">
        <v>701</v>
      </c>
      <c r="L567" s="14">
        <f>24*(TblTimeSheet[[#This Row],[End Date and Time]]-TblTimeSheet[[#This Row],[Start Date and Time]])</f>
        <v>3.4999999998835847</v>
      </c>
      <c r="M5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7">
        <f>--(0&gt;(TblTimeSheet[[#This Row],[End Date and Time]]-TblTimeSheet[[#This Row],[Start Date and Time]]))</f>
        <v>0</v>
      </c>
    </row>
    <row r="568" spans="1:14" x14ac:dyDescent="0.25">
      <c r="A568" s="1"/>
      <c r="B568" s="2" t="s">
        <v>699</v>
      </c>
      <c r="C568" s="2" t="s">
        <v>116</v>
      </c>
      <c r="D568" s="2" t="s">
        <v>32</v>
      </c>
      <c r="E568" s="7" t="s">
        <v>1037</v>
      </c>
      <c r="F568" s="37">
        <v>42350.583333333336</v>
      </c>
      <c r="G568" s="37">
        <v>42350.625</v>
      </c>
      <c r="H568" s="1" t="s">
        <v>6</v>
      </c>
      <c r="I568" s="1" t="s">
        <v>38</v>
      </c>
      <c r="J568" s="1">
        <v>42355.730532407404</v>
      </c>
      <c r="K568" s="1" t="s">
        <v>701</v>
      </c>
      <c r="L568" s="14">
        <f>24*(TblTimeSheet[[#This Row],[End Date and Time]]-TblTimeSheet[[#This Row],[Start Date and Time]])</f>
        <v>0.99999999994179234</v>
      </c>
      <c r="M5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68">
        <f>--(0&gt;(TblTimeSheet[[#This Row],[End Date and Time]]-TblTimeSheet[[#This Row],[Start Date and Time]]))</f>
        <v>0</v>
      </c>
    </row>
    <row r="569" spans="1:14" x14ac:dyDescent="0.25">
      <c r="A569" s="1"/>
      <c r="B569" s="2" t="s">
        <v>699</v>
      </c>
      <c r="C569" s="2" t="s">
        <v>116</v>
      </c>
      <c r="D569" s="2" t="s">
        <v>32</v>
      </c>
      <c r="E569" s="7" t="s">
        <v>1038</v>
      </c>
      <c r="F569" s="37">
        <v>42350.625</v>
      </c>
      <c r="G569" s="37">
        <v>42350.645833333336</v>
      </c>
      <c r="H569" s="1" t="s">
        <v>6</v>
      </c>
      <c r="I569" s="1" t="s">
        <v>38</v>
      </c>
      <c r="J569" s="1">
        <v>42355.731203703705</v>
      </c>
      <c r="K569" s="1" t="s">
        <v>701</v>
      </c>
      <c r="L569" s="14">
        <f>24*(TblTimeSheet[[#This Row],[End Date and Time]]-TblTimeSheet[[#This Row],[Start Date and Time]])</f>
        <v>0.50000000005820766</v>
      </c>
      <c r="M5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69">
        <f>--(0&gt;(TblTimeSheet[[#This Row],[End Date and Time]]-TblTimeSheet[[#This Row],[Start Date and Time]]))</f>
        <v>0</v>
      </c>
    </row>
    <row r="570" spans="1:14" x14ac:dyDescent="0.25">
      <c r="A570" s="1"/>
      <c r="B570" s="2" t="s">
        <v>699</v>
      </c>
      <c r="C570" s="2" t="s">
        <v>116</v>
      </c>
      <c r="D570" s="2" t="s">
        <v>32</v>
      </c>
      <c r="E570" s="7" t="s">
        <v>1039</v>
      </c>
      <c r="F570" s="37">
        <v>42350.645833333336</v>
      </c>
      <c r="G570" s="37">
        <v>42350.708333333336</v>
      </c>
      <c r="H570" s="1" t="s">
        <v>6</v>
      </c>
      <c r="I570" s="1" t="s">
        <v>38</v>
      </c>
      <c r="J570" s="1">
        <v>42355.731874999998</v>
      </c>
      <c r="K570" s="1" t="s">
        <v>701</v>
      </c>
      <c r="L570" s="14">
        <f>24*(TblTimeSheet[[#This Row],[End Date and Time]]-TblTimeSheet[[#This Row],[Start Date and Time]])</f>
        <v>1.5</v>
      </c>
      <c r="M5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0">
        <f>--(0&gt;(TblTimeSheet[[#This Row],[End Date and Time]]-TblTimeSheet[[#This Row],[Start Date and Time]]))</f>
        <v>0</v>
      </c>
    </row>
    <row r="571" spans="1:14" x14ac:dyDescent="0.25">
      <c r="A571" s="1"/>
      <c r="B571" s="2" t="s">
        <v>699</v>
      </c>
      <c r="C571" s="2" t="s">
        <v>116</v>
      </c>
      <c r="D571" s="2" t="s">
        <v>32</v>
      </c>
      <c r="E571" s="7" t="s">
        <v>1040</v>
      </c>
      <c r="F571" s="37">
        <v>42350.708333333336</v>
      </c>
      <c r="G571" s="37">
        <v>42350.729166666664</v>
      </c>
      <c r="H571" s="1" t="s">
        <v>6</v>
      </c>
      <c r="I571" s="1" t="s">
        <v>38</v>
      </c>
      <c r="J571" s="1">
        <v>42355.732407407406</v>
      </c>
      <c r="K571" s="1" t="s">
        <v>701</v>
      </c>
      <c r="L571" s="14">
        <f>24*(TblTimeSheet[[#This Row],[End Date and Time]]-TblTimeSheet[[#This Row],[Start Date and Time]])</f>
        <v>0.49999999988358468</v>
      </c>
      <c r="M5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71">
        <f>--(0&gt;(TblTimeSheet[[#This Row],[End Date and Time]]-TblTimeSheet[[#This Row],[Start Date and Time]]))</f>
        <v>0</v>
      </c>
    </row>
    <row r="572" spans="1:14" ht="30" x14ac:dyDescent="0.25">
      <c r="A572" s="1"/>
      <c r="B572" s="2" t="s">
        <v>699</v>
      </c>
      <c r="C572" s="2" t="s">
        <v>144</v>
      </c>
      <c r="D572" s="2" t="s">
        <v>34</v>
      </c>
      <c r="E572" s="7" t="s">
        <v>1735</v>
      </c>
      <c r="F572" s="37">
        <v>42355.708333333336</v>
      </c>
      <c r="G572" s="37">
        <v>42355.729166666664</v>
      </c>
      <c r="H572" s="1" t="s">
        <v>6</v>
      </c>
      <c r="I572" s="1" t="s">
        <v>38</v>
      </c>
      <c r="J572" s="1">
        <v>42358.500810185185</v>
      </c>
      <c r="K572" s="1" t="s">
        <v>144</v>
      </c>
      <c r="L572" s="14">
        <f>24*(TblTimeSheet[[#This Row],[End Date and Time]]-TblTimeSheet[[#This Row],[Start Date and Time]])</f>
        <v>0.49999999988358468</v>
      </c>
      <c r="M5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2">
        <f>--(0&gt;(TblTimeSheet[[#This Row],[End Date and Time]]-TblTimeSheet[[#This Row],[Start Date and Time]]))</f>
        <v>0</v>
      </c>
    </row>
    <row r="573" spans="1:14" x14ac:dyDescent="0.25">
      <c r="A573" s="1"/>
      <c r="B573" s="2" t="s">
        <v>699</v>
      </c>
      <c r="C573" s="2" t="s">
        <v>144</v>
      </c>
      <c r="D573" s="2" t="s">
        <v>34</v>
      </c>
      <c r="E573" s="7" t="s">
        <v>1736</v>
      </c>
      <c r="F573" s="37">
        <v>42355.736111111109</v>
      </c>
      <c r="G573" s="37">
        <v>42355.791666666664</v>
      </c>
      <c r="H573" s="1" t="s">
        <v>6</v>
      </c>
      <c r="I573" s="1" t="s">
        <v>38</v>
      </c>
      <c r="J573" s="1">
        <v>42356.416655092595</v>
      </c>
      <c r="K573" s="1" t="s">
        <v>144</v>
      </c>
      <c r="L573" s="14">
        <f>24*(TblTimeSheet[[#This Row],[End Date and Time]]-TblTimeSheet[[#This Row],[Start Date and Time]])</f>
        <v>1.3333333333139308</v>
      </c>
      <c r="M5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3">
        <f>--(0&gt;(TblTimeSheet[[#This Row],[End Date and Time]]-TblTimeSheet[[#This Row],[Start Date and Time]]))</f>
        <v>0</v>
      </c>
    </row>
    <row r="574" spans="1:14" x14ac:dyDescent="0.25">
      <c r="A574" s="1"/>
      <c r="B574" s="2" t="s">
        <v>699</v>
      </c>
      <c r="C574" s="2" t="s">
        <v>116</v>
      </c>
      <c r="D574" s="2" t="s">
        <v>32</v>
      </c>
      <c r="E574" s="7" t="s">
        <v>1041</v>
      </c>
      <c r="F574" s="37">
        <v>42350.625</v>
      </c>
      <c r="G574" s="37">
        <v>42350.645833333336</v>
      </c>
      <c r="H574" s="1" t="s">
        <v>6</v>
      </c>
      <c r="I574" s="1" t="s">
        <v>38</v>
      </c>
      <c r="J574" s="1">
        <v>42356.491041666668</v>
      </c>
      <c r="K574" s="1" t="s">
        <v>39</v>
      </c>
      <c r="L574" s="14">
        <f>24*(TblTimeSheet[[#This Row],[End Date and Time]]-TblTimeSheet[[#This Row],[Start Date and Time]])</f>
        <v>0.50000000005820766</v>
      </c>
      <c r="M5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74">
        <f>--(0&gt;(TblTimeSheet[[#This Row],[End Date and Time]]-TblTimeSheet[[#This Row],[Start Date and Time]]))</f>
        <v>0</v>
      </c>
    </row>
    <row r="575" spans="1:14" x14ac:dyDescent="0.25">
      <c r="A575" s="1"/>
      <c r="B575" s="2" t="s">
        <v>699</v>
      </c>
      <c r="C575" s="2" t="s">
        <v>116</v>
      </c>
      <c r="D575" s="2" t="s">
        <v>32</v>
      </c>
      <c r="E575" s="7" t="s">
        <v>1042</v>
      </c>
      <c r="F575" s="37">
        <v>42350.708333333336</v>
      </c>
      <c r="G575" s="37">
        <v>42350.729166666664</v>
      </c>
      <c r="H575" s="1" t="s">
        <v>6</v>
      </c>
      <c r="I575" s="1" t="s">
        <v>38</v>
      </c>
      <c r="J575" s="1">
        <v>42356.491979166669</v>
      </c>
      <c r="K575" s="1" t="s">
        <v>39</v>
      </c>
      <c r="L575" s="14">
        <f>24*(TblTimeSheet[[#This Row],[End Date and Time]]-TblTimeSheet[[#This Row],[Start Date and Time]])</f>
        <v>0.49999999988358468</v>
      </c>
      <c r="M5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75">
        <f>--(0&gt;(TblTimeSheet[[#This Row],[End Date and Time]]-TblTimeSheet[[#This Row],[Start Date and Time]]))</f>
        <v>0</v>
      </c>
    </row>
    <row r="576" spans="1:14" x14ac:dyDescent="0.25">
      <c r="A576" s="1"/>
      <c r="B576" s="2" t="s">
        <v>699</v>
      </c>
      <c r="C576" s="2" t="s">
        <v>78</v>
      </c>
      <c r="D576" s="2" t="s">
        <v>32</v>
      </c>
      <c r="E576" s="7" t="s">
        <v>1043</v>
      </c>
      <c r="F576" s="37">
        <v>42350.375</v>
      </c>
      <c r="G576" s="37">
        <v>42350.541666666664</v>
      </c>
      <c r="H576" s="1" t="s">
        <v>6</v>
      </c>
      <c r="I576" s="1" t="s">
        <v>38</v>
      </c>
      <c r="J576" s="1">
        <v>42356.529467592591</v>
      </c>
      <c r="K576" s="1" t="s">
        <v>78</v>
      </c>
      <c r="L576" s="14">
        <f>24*(TblTimeSheet[[#This Row],[End Date and Time]]-TblTimeSheet[[#This Row],[Start Date and Time]])</f>
        <v>3.9999999999417923</v>
      </c>
      <c r="M5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6">
        <f>--(0&gt;(TblTimeSheet[[#This Row],[End Date and Time]]-TblTimeSheet[[#This Row],[Start Date and Time]]))</f>
        <v>0</v>
      </c>
    </row>
    <row r="577" spans="1:14" x14ac:dyDescent="0.25">
      <c r="A577" s="1"/>
      <c r="B577" s="2" t="s">
        <v>699</v>
      </c>
      <c r="C577" s="2" t="s">
        <v>116</v>
      </c>
      <c r="D577" s="2" t="s">
        <v>34</v>
      </c>
      <c r="E577" s="7" t="s">
        <v>985</v>
      </c>
      <c r="F577" s="37">
        <v>42355.708333333336</v>
      </c>
      <c r="G577" s="37">
        <v>42355.729166666664</v>
      </c>
      <c r="H577" s="1" t="s">
        <v>6</v>
      </c>
      <c r="I577" s="1" t="s">
        <v>38</v>
      </c>
      <c r="J577" s="1">
        <v>42358.429016203707</v>
      </c>
      <c r="K577" s="1" t="s">
        <v>39</v>
      </c>
      <c r="L577" s="14">
        <f>24*(TblTimeSheet[[#This Row],[End Date and Time]]-TblTimeSheet[[#This Row],[Start Date and Time]])</f>
        <v>0.49999999988358468</v>
      </c>
      <c r="M5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577">
        <f>--(0&gt;(TblTimeSheet[[#This Row],[End Date and Time]]-TblTimeSheet[[#This Row],[Start Date and Time]]))</f>
        <v>0</v>
      </c>
    </row>
    <row r="578" spans="1:14" x14ac:dyDescent="0.25">
      <c r="A578" s="1"/>
      <c r="B578" s="2" t="s">
        <v>699</v>
      </c>
      <c r="C578" s="2" t="s">
        <v>36</v>
      </c>
      <c r="D578" s="2" t="s">
        <v>34</v>
      </c>
      <c r="E578" s="7" t="s">
        <v>1737</v>
      </c>
      <c r="F578" s="37">
        <v>42356.493055555555</v>
      </c>
      <c r="G578" s="37">
        <v>42356.541666666664</v>
      </c>
      <c r="H578" s="1" t="s">
        <v>6</v>
      </c>
      <c r="I578" s="1" t="s">
        <v>38</v>
      </c>
      <c r="J578" s="1">
        <v>42356.609699074077</v>
      </c>
      <c r="K578" s="1" t="s">
        <v>36</v>
      </c>
      <c r="L578" s="14">
        <f>24*(TblTimeSheet[[#This Row],[End Date and Time]]-TblTimeSheet[[#This Row],[Start Date and Time]])</f>
        <v>1.1666666666278616</v>
      </c>
      <c r="M5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8">
        <f>--(0&gt;(TblTimeSheet[[#This Row],[End Date and Time]]-TblTimeSheet[[#This Row],[Start Date and Time]]))</f>
        <v>0</v>
      </c>
    </row>
    <row r="579" spans="1:14" x14ac:dyDescent="0.25">
      <c r="A579" s="1"/>
      <c r="B579" s="2" t="s">
        <v>699</v>
      </c>
      <c r="C579" s="2" t="s">
        <v>144</v>
      </c>
      <c r="D579" s="2" t="s">
        <v>34</v>
      </c>
      <c r="E579" s="7" t="s">
        <v>1738</v>
      </c>
      <c r="F579" s="37">
        <v>42356.493055555555</v>
      </c>
      <c r="G579" s="37">
        <v>42356.541666666664</v>
      </c>
      <c r="H579" s="1" t="s">
        <v>6</v>
      </c>
      <c r="I579" s="1" t="s">
        <v>38</v>
      </c>
      <c r="J579" s="1">
        <v>42356.612928240742</v>
      </c>
      <c r="K579" s="1" t="s">
        <v>144</v>
      </c>
      <c r="L579" s="14">
        <f>24*(TblTimeSheet[[#This Row],[End Date and Time]]-TblTimeSheet[[#This Row],[Start Date and Time]])</f>
        <v>1.1666666666278616</v>
      </c>
      <c r="M5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79">
        <f>--(0&gt;(TblTimeSheet[[#This Row],[End Date and Time]]-TblTimeSheet[[#This Row],[Start Date and Time]]))</f>
        <v>0</v>
      </c>
    </row>
    <row r="580" spans="1:14" x14ac:dyDescent="0.25">
      <c r="A580" s="1"/>
      <c r="B580" s="2" t="s">
        <v>699</v>
      </c>
      <c r="C580" s="2" t="s">
        <v>171</v>
      </c>
      <c r="D580" s="2" t="s">
        <v>32</v>
      </c>
      <c r="E580" s="7" t="s">
        <v>1044</v>
      </c>
      <c r="F580" s="37">
        <v>42350.541666666664</v>
      </c>
      <c r="G580" s="37">
        <v>42350.770833333336</v>
      </c>
      <c r="H580" s="1" t="s">
        <v>6</v>
      </c>
      <c r="I580" s="1" t="s">
        <v>38</v>
      </c>
      <c r="J580" s="1">
        <v>42356.613252314812</v>
      </c>
      <c r="K580" s="1" t="s">
        <v>171</v>
      </c>
      <c r="L580" s="14">
        <f>24*(TblTimeSheet[[#This Row],[End Date and Time]]-TblTimeSheet[[#This Row],[Start Date and Time]])</f>
        <v>5.5000000001164153</v>
      </c>
      <c r="M5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0">
        <f>--(0&gt;(TblTimeSheet[[#This Row],[End Date and Time]]-TblTimeSheet[[#This Row],[Start Date and Time]]))</f>
        <v>0</v>
      </c>
    </row>
    <row r="581" spans="1:14" x14ac:dyDescent="0.25">
      <c r="A581" s="1"/>
      <c r="B581" s="2" t="s">
        <v>699</v>
      </c>
      <c r="C581" s="2" t="s">
        <v>171</v>
      </c>
      <c r="D581" s="2" t="s">
        <v>32</v>
      </c>
      <c r="E581" s="7" t="s">
        <v>1045</v>
      </c>
      <c r="F581" s="37">
        <v>42351.381944444445</v>
      </c>
      <c r="G581" s="37">
        <v>42351.541666666664</v>
      </c>
      <c r="H581" s="1" t="s">
        <v>6</v>
      </c>
      <c r="I581" s="1" t="s">
        <v>38</v>
      </c>
      <c r="J581" s="1">
        <v>42357.738379629627</v>
      </c>
      <c r="K581" s="1" t="s">
        <v>171</v>
      </c>
      <c r="L581" s="14">
        <f>24*(TblTimeSheet[[#This Row],[End Date and Time]]-TblTimeSheet[[#This Row],[Start Date and Time]])</f>
        <v>3.8333333332557231</v>
      </c>
      <c r="M5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1">
        <f>--(0&gt;(TblTimeSheet[[#This Row],[End Date and Time]]-TblTimeSheet[[#This Row],[Start Date and Time]]))</f>
        <v>0</v>
      </c>
    </row>
    <row r="582" spans="1:14" x14ac:dyDescent="0.25">
      <c r="A582" s="1"/>
      <c r="B582" s="2" t="s">
        <v>699</v>
      </c>
      <c r="C582" s="2" t="s">
        <v>41</v>
      </c>
      <c r="D582" s="2" t="s">
        <v>32</v>
      </c>
      <c r="E582" s="7" t="s">
        <v>1046</v>
      </c>
      <c r="F582" s="37">
        <v>42350.375</v>
      </c>
      <c r="G582" s="37">
        <v>42350.541666666664</v>
      </c>
      <c r="H582" s="1" t="s">
        <v>6</v>
      </c>
      <c r="I582" s="1" t="s">
        <v>38</v>
      </c>
      <c r="J582" s="1">
        <v>42356.615590277775</v>
      </c>
      <c r="K582" s="1" t="s">
        <v>41</v>
      </c>
      <c r="L582" s="14">
        <f>24*(TblTimeSheet[[#This Row],[End Date and Time]]-TblTimeSheet[[#This Row],[Start Date and Time]])</f>
        <v>3.9999999999417923</v>
      </c>
      <c r="M5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2">
        <f>--(0&gt;(TblTimeSheet[[#This Row],[End Date and Time]]-TblTimeSheet[[#This Row],[Start Date and Time]]))</f>
        <v>0</v>
      </c>
    </row>
    <row r="583" spans="1:14" x14ac:dyDescent="0.25">
      <c r="A583" s="1"/>
      <c r="B583" s="2" t="s">
        <v>699</v>
      </c>
      <c r="C583" s="2" t="s">
        <v>41</v>
      </c>
      <c r="D583" s="2" t="s">
        <v>32</v>
      </c>
      <c r="E583" s="7" t="s">
        <v>1047</v>
      </c>
      <c r="F583" s="37">
        <v>42350.548611111109</v>
      </c>
      <c r="G583" s="37">
        <v>42350.5625</v>
      </c>
      <c r="H583" s="1" t="s">
        <v>6</v>
      </c>
      <c r="I583" s="1" t="s">
        <v>38</v>
      </c>
      <c r="J583" s="1">
        <v>42356.617303240739</v>
      </c>
      <c r="K583" s="1" t="s">
        <v>41</v>
      </c>
      <c r="L583" s="14">
        <f>24*(TblTimeSheet[[#This Row],[End Date and Time]]-TblTimeSheet[[#This Row],[Start Date and Time]])</f>
        <v>0.33333333337213844</v>
      </c>
      <c r="M5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3">
        <f>--(0&gt;(TblTimeSheet[[#This Row],[End Date and Time]]-TblTimeSheet[[#This Row],[Start Date and Time]]))</f>
        <v>0</v>
      </c>
    </row>
    <row r="584" spans="1:14" x14ac:dyDescent="0.25">
      <c r="A584" s="1"/>
      <c r="B584" s="2" t="s">
        <v>699</v>
      </c>
      <c r="C584" s="2" t="s">
        <v>171</v>
      </c>
      <c r="D584" s="2" t="s">
        <v>32</v>
      </c>
      <c r="E584" s="7" t="s">
        <v>1045</v>
      </c>
      <c r="F584" s="37">
        <v>42351.569444444445</v>
      </c>
      <c r="G584" s="37">
        <v>42351.725694444445</v>
      </c>
      <c r="H584" s="1" t="s">
        <v>6</v>
      </c>
      <c r="I584" s="1" t="s">
        <v>38</v>
      </c>
      <c r="J584" s="1">
        <v>42358.497974537036</v>
      </c>
      <c r="K584" s="1" t="s">
        <v>171</v>
      </c>
      <c r="L584" s="14">
        <f>24*(TblTimeSheet[[#This Row],[End Date and Time]]-TblTimeSheet[[#This Row],[Start Date and Time]])</f>
        <v>3.75</v>
      </c>
      <c r="M5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4">
        <f>--(0&gt;(TblTimeSheet[[#This Row],[End Date and Time]]-TblTimeSheet[[#This Row],[Start Date and Time]]))</f>
        <v>0</v>
      </c>
    </row>
    <row r="585" spans="1:14" x14ac:dyDescent="0.25">
      <c r="A585" s="1"/>
      <c r="B585" s="2" t="s">
        <v>699</v>
      </c>
      <c r="C585" s="2" t="s">
        <v>171</v>
      </c>
      <c r="D585" s="2" t="s">
        <v>34</v>
      </c>
      <c r="E585" s="7" t="s">
        <v>1048</v>
      </c>
      <c r="F585" s="37">
        <v>42355.708333333336</v>
      </c>
      <c r="G585" s="37">
        <v>42355.729166666664</v>
      </c>
      <c r="H585" s="1" t="s">
        <v>6</v>
      </c>
      <c r="I585" s="1" t="s">
        <v>38</v>
      </c>
      <c r="J585" s="1">
        <v>42358.466412037036</v>
      </c>
      <c r="K585" s="1" t="s">
        <v>171</v>
      </c>
      <c r="L585" s="14">
        <f>24*(TblTimeSheet[[#This Row],[End Date and Time]]-TblTimeSheet[[#This Row],[Start Date and Time]])</f>
        <v>0.49999999988358468</v>
      </c>
      <c r="M5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5">
        <f>--(0&gt;(TblTimeSheet[[#This Row],[End Date and Time]]-TblTimeSheet[[#This Row],[Start Date and Time]]))</f>
        <v>0</v>
      </c>
    </row>
    <row r="586" spans="1:14" x14ac:dyDescent="0.25">
      <c r="A586" s="1"/>
      <c r="B586" s="2" t="s">
        <v>699</v>
      </c>
      <c r="C586" s="2" t="s">
        <v>171</v>
      </c>
      <c r="D586" s="2" t="s">
        <v>32</v>
      </c>
      <c r="E586" s="7" t="s">
        <v>1049</v>
      </c>
      <c r="F586" s="37">
        <v>42350.479166666664</v>
      </c>
      <c r="G586" s="37">
        <v>42350.5</v>
      </c>
      <c r="H586" s="1" t="s">
        <v>6</v>
      </c>
      <c r="I586" s="1" t="s">
        <v>38</v>
      </c>
      <c r="J586" s="1">
        <v>42356.626446759263</v>
      </c>
      <c r="K586" s="1" t="s">
        <v>171</v>
      </c>
      <c r="L586" s="14">
        <f>24*(TblTimeSheet[[#This Row],[End Date and Time]]-TblTimeSheet[[#This Row],[Start Date and Time]])</f>
        <v>0.50000000005820766</v>
      </c>
      <c r="M5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6">
        <f>--(0&gt;(TblTimeSheet[[#This Row],[End Date and Time]]-TblTimeSheet[[#This Row],[Start Date and Time]]))</f>
        <v>0</v>
      </c>
    </row>
    <row r="587" spans="1:14" x14ac:dyDescent="0.25">
      <c r="A587" s="1"/>
      <c r="B587" s="2" t="s">
        <v>699</v>
      </c>
      <c r="C587" s="2" t="s">
        <v>116</v>
      </c>
      <c r="D587" s="2" t="s">
        <v>32</v>
      </c>
      <c r="E587" s="7" t="s">
        <v>1739</v>
      </c>
      <c r="F587" s="37">
        <v>42351.385416666664</v>
      </c>
      <c r="G587" s="37">
        <v>42351.5625</v>
      </c>
      <c r="H587" s="1" t="s">
        <v>6</v>
      </c>
      <c r="I587" s="1" t="s">
        <v>38</v>
      </c>
      <c r="J587" s="1">
        <v>42356.769108796296</v>
      </c>
      <c r="K587" s="1" t="s">
        <v>701</v>
      </c>
      <c r="L587" s="14">
        <f>24*(TblTimeSheet[[#This Row],[End Date and Time]]-TblTimeSheet[[#This Row],[Start Date and Time]])</f>
        <v>4.2500000000582077</v>
      </c>
      <c r="M5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7">
        <f>--(0&gt;(TblTimeSheet[[#This Row],[End Date and Time]]-TblTimeSheet[[#This Row],[Start Date and Time]]))</f>
        <v>0</v>
      </c>
    </row>
    <row r="588" spans="1:14" x14ac:dyDescent="0.25">
      <c r="A588" s="1"/>
      <c r="B588" s="2" t="s">
        <v>699</v>
      </c>
      <c r="C588" s="2" t="s">
        <v>116</v>
      </c>
      <c r="D588" s="2" t="s">
        <v>32</v>
      </c>
      <c r="E588" s="7" t="s">
        <v>1740</v>
      </c>
      <c r="F588" s="37">
        <v>42351.583333333336</v>
      </c>
      <c r="G588" s="37">
        <v>42351.708333333336</v>
      </c>
      <c r="H588" s="1" t="s">
        <v>6</v>
      </c>
      <c r="I588" s="1" t="s">
        <v>38</v>
      </c>
      <c r="J588" s="1">
        <v>42356.76966435185</v>
      </c>
      <c r="K588" s="1" t="s">
        <v>701</v>
      </c>
      <c r="L588" s="14">
        <f>24*(TblTimeSheet[[#This Row],[End Date and Time]]-TblTimeSheet[[#This Row],[Start Date and Time]])</f>
        <v>3</v>
      </c>
      <c r="M5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8">
        <f>--(0&gt;(TblTimeSheet[[#This Row],[End Date and Time]]-TblTimeSheet[[#This Row],[Start Date and Time]]))</f>
        <v>0</v>
      </c>
    </row>
    <row r="589" spans="1:14" x14ac:dyDescent="0.25">
      <c r="A589" s="1"/>
      <c r="B589" s="2" t="s">
        <v>699</v>
      </c>
      <c r="C589" s="2" t="s">
        <v>116</v>
      </c>
      <c r="D589" s="2" t="s">
        <v>32</v>
      </c>
      <c r="E589" s="7" t="s">
        <v>1050</v>
      </c>
      <c r="F589" s="37">
        <v>42351.729166666664</v>
      </c>
      <c r="G589" s="37">
        <v>42351.833333333336</v>
      </c>
      <c r="H589" s="1" t="s">
        <v>6</v>
      </c>
      <c r="I589" s="1" t="s">
        <v>38</v>
      </c>
      <c r="J589" s="1">
        <v>42356.775173611109</v>
      </c>
      <c r="K589" s="1" t="s">
        <v>701</v>
      </c>
      <c r="L589" s="14">
        <f>24*(TblTimeSheet[[#This Row],[End Date and Time]]-TblTimeSheet[[#This Row],[Start Date and Time]])</f>
        <v>2.5000000001164153</v>
      </c>
      <c r="M5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89">
        <f>--(0&gt;(TblTimeSheet[[#This Row],[End Date and Time]]-TblTimeSheet[[#This Row],[Start Date and Time]]))</f>
        <v>0</v>
      </c>
    </row>
    <row r="590" spans="1:14" x14ac:dyDescent="0.25">
      <c r="A590" s="1"/>
      <c r="B590" s="2" t="s">
        <v>699</v>
      </c>
      <c r="C590" s="2" t="s">
        <v>116</v>
      </c>
      <c r="D590" s="2" t="s">
        <v>32</v>
      </c>
      <c r="E590" s="7" t="s">
        <v>1050</v>
      </c>
      <c r="F590" s="37">
        <v>42352.385416666664</v>
      </c>
      <c r="G590" s="37">
        <v>42352.541666666664</v>
      </c>
      <c r="H590" s="1" t="s">
        <v>6</v>
      </c>
      <c r="I590" s="1" t="s">
        <v>38</v>
      </c>
      <c r="J590" s="1">
        <v>42356.77584490741</v>
      </c>
      <c r="K590" s="1" t="s">
        <v>701</v>
      </c>
      <c r="L590" s="14">
        <f>24*(TblTimeSheet[[#This Row],[End Date and Time]]-TblTimeSheet[[#This Row],[Start Date and Time]])</f>
        <v>3.75</v>
      </c>
      <c r="M5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0">
        <f>--(0&gt;(TblTimeSheet[[#This Row],[End Date and Time]]-TblTimeSheet[[#This Row],[Start Date and Time]]))</f>
        <v>0</v>
      </c>
    </row>
    <row r="591" spans="1:14" x14ac:dyDescent="0.25">
      <c r="A591" s="1"/>
      <c r="B591" s="2" t="s">
        <v>699</v>
      </c>
      <c r="C591" s="2" t="s">
        <v>171</v>
      </c>
      <c r="D591" s="2" t="s">
        <v>32</v>
      </c>
      <c r="E591" s="7" t="s">
        <v>1741</v>
      </c>
      <c r="F591" s="37">
        <v>42351.729166666664</v>
      </c>
      <c r="G591" s="37">
        <v>42351.833333333336</v>
      </c>
      <c r="H591" s="1" t="s">
        <v>6</v>
      </c>
      <c r="I591" s="1" t="s">
        <v>38</v>
      </c>
      <c r="J591" s="1">
        <v>42357.387141203704</v>
      </c>
      <c r="K591" s="1" t="s">
        <v>171</v>
      </c>
      <c r="L591" s="14">
        <f>24*(TblTimeSheet[[#This Row],[End Date and Time]]-TblTimeSheet[[#This Row],[Start Date and Time]])</f>
        <v>2.5000000001164153</v>
      </c>
      <c r="M5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1">
        <f>--(0&gt;(TblTimeSheet[[#This Row],[End Date and Time]]-TblTimeSheet[[#This Row],[Start Date and Time]]))</f>
        <v>0</v>
      </c>
    </row>
    <row r="592" spans="1:14" x14ac:dyDescent="0.25">
      <c r="A592" s="1"/>
      <c r="B592" s="2" t="s">
        <v>699</v>
      </c>
      <c r="C592" s="2" t="s">
        <v>171</v>
      </c>
      <c r="D592" s="2" t="s">
        <v>32</v>
      </c>
      <c r="E592" s="7" t="s">
        <v>1051</v>
      </c>
      <c r="F592" s="37">
        <v>42352.385416666664</v>
      </c>
      <c r="G592" s="37">
        <v>42352.541666666664</v>
      </c>
      <c r="H592" s="1" t="s">
        <v>6</v>
      </c>
      <c r="I592" s="1" t="s">
        <v>38</v>
      </c>
      <c r="J592" s="1">
        <v>42357.388194444444</v>
      </c>
      <c r="K592" s="1" t="s">
        <v>171</v>
      </c>
      <c r="L592" s="14">
        <f>24*(TblTimeSheet[[#This Row],[End Date and Time]]-TblTimeSheet[[#This Row],[Start Date and Time]])</f>
        <v>3.75</v>
      </c>
      <c r="M5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2">
        <f>--(0&gt;(TblTimeSheet[[#This Row],[End Date and Time]]-TblTimeSheet[[#This Row],[Start Date and Time]]))</f>
        <v>0</v>
      </c>
    </row>
    <row r="593" spans="1:14" x14ac:dyDescent="0.25">
      <c r="A593" s="1"/>
      <c r="B593" s="2" t="s">
        <v>699</v>
      </c>
      <c r="C593" s="2" t="s">
        <v>78</v>
      </c>
      <c r="D593" s="2" t="s">
        <v>32</v>
      </c>
      <c r="E593" s="7" t="s">
        <v>1052</v>
      </c>
      <c r="F593" s="37">
        <v>42351.375</v>
      </c>
      <c r="G593" s="37">
        <v>42351.416666666664</v>
      </c>
      <c r="H593" s="1" t="s">
        <v>6</v>
      </c>
      <c r="I593" s="1" t="s">
        <v>38</v>
      </c>
      <c r="J593" s="1">
        <v>42357.419039351851</v>
      </c>
      <c r="K593" s="1" t="s">
        <v>78</v>
      </c>
      <c r="L593" s="14">
        <f>24*(TblTimeSheet[[#This Row],[End Date and Time]]-TblTimeSheet[[#This Row],[Start Date and Time]])</f>
        <v>0.99999999994179234</v>
      </c>
      <c r="M5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3">
        <f>--(0&gt;(TblTimeSheet[[#This Row],[End Date and Time]]-TblTimeSheet[[#This Row],[Start Date and Time]]))</f>
        <v>0</v>
      </c>
    </row>
    <row r="594" spans="1:14" x14ac:dyDescent="0.25">
      <c r="A594" s="1"/>
      <c r="B594" s="2" t="s">
        <v>699</v>
      </c>
      <c r="C594" s="2" t="s">
        <v>41</v>
      </c>
      <c r="D594" s="2" t="s">
        <v>32</v>
      </c>
      <c r="E594" s="7" t="s">
        <v>1053</v>
      </c>
      <c r="F594" s="37">
        <v>42351.375</v>
      </c>
      <c r="G594" s="37">
        <v>42351.416666666664</v>
      </c>
      <c r="H594" s="1" t="s">
        <v>6</v>
      </c>
      <c r="I594" s="1" t="s">
        <v>38</v>
      </c>
      <c r="J594" s="1">
        <v>42357.419722222221</v>
      </c>
      <c r="K594" s="1" t="s">
        <v>41</v>
      </c>
      <c r="L594" s="14">
        <f>24*(TblTimeSheet[[#This Row],[End Date and Time]]-TblTimeSheet[[#This Row],[Start Date and Time]])</f>
        <v>0.99999999994179234</v>
      </c>
      <c r="M5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4">
        <f>--(0&gt;(TblTimeSheet[[#This Row],[End Date and Time]]-TblTimeSheet[[#This Row],[Start Date and Time]]))</f>
        <v>0</v>
      </c>
    </row>
    <row r="595" spans="1:14" x14ac:dyDescent="0.25">
      <c r="A595" s="1"/>
      <c r="B595" s="2" t="s">
        <v>699</v>
      </c>
      <c r="C595" s="2" t="s">
        <v>41</v>
      </c>
      <c r="D595" s="2" t="s">
        <v>32</v>
      </c>
      <c r="E595" s="7" t="s">
        <v>1054</v>
      </c>
      <c r="F595" s="37">
        <v>42350.625</v>
      </c>
      <c r="G595" s="37">
        <v>42350.708333333336</v>
      </c>
      <c r="H595" s="1" t="s">
        <v>6</v>
      </c>
      <c r="I595" s="1" t="s">
        <v>38</v>
      </c>
      <c r="J595" s="1">
        <v>42358.474675925929</v>
      </c>
      <c r="K595" s="1" t="s">
        <v>41</v>
      </c>
      <c r="L595" s="14">
        <f>24*(TblTimeSheet[[#This Row],[End Date and Time]]-TblTimeSheet[[#This Row],[Start Date and Time]])</f>
        <v>2.0000000000582077</v>
      </c>
      <c r="M5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5">
        <f>--(0&gt;(TblTimeSheet[[#This Row],[End Date and Time]]-TblTimeSheet[[#This Row],[Start Date and Time]]))</f>
        <v>0</v>
      </c>
    </row>
    <row r="596" spans="1:14" x14ac:dyDescent="0.25">
      <c r="A596" s="1"/>
      <c r="B596" s="2" t="s">
        <v>699</v>
      </c>
      <c r="C596" s="2" t="s">
        <v>41</v>
      </c>
      <c r="D596" s="2" t="s">
        <v>32</v>
      </c>
      <c r="E596" s="7" t="s">
        <v>1055</v>
      </c>
      <c r="F596" s="37">
        <v>42350.583333333336</v>
      </c>
      <c r="G596" s="37">
        <v>42350.625</v>
      </c>
      <c r="H596" s="1" t="s">
        <v>6</v>
      </c>
      <c r="I596" s="1" t="s">
        <v>38</v>
      </c>
      <c r="J596" s="1">
        <v>42358.474212962959</v>
      </c>
      <c r="K596" s="1" t="s">
        <v>41</v>
      </c>
      <c r="L596" s="14">
        <f>24*(TblTimeSheet[[#This Row],[End Date and Time]]-TblTimeSheet[[#This Row],[Start Date and Time]])</f>
        <v>0.99999999994179234</v>
      </c>
      <c r="M5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6">
        <f>--(0&gt;(TblTimeSheet[[#This Row],[End Date and Time]]-TblTimeSheet[[#This Row],[Start Date and Time]]))</f>
        <v>0</v>
      </c>
    </row>
    <row r="597" spans="1:14" x14ac:dyDescent="0.25">
      <c r="A597" s="1"/>
      <c r="B597" s="2" t="s">
        <v>699</v>
      </c>
      <c r="C597" s="2" t="s">
        <v>118</v>
      </c>
      <c r="D597" s="2" t="s">
        <v>32</v>
      </c>
      <c r="E597" s="7" t="s">
        <v>1056</v>
      </c>
      <c r="F597" s="37">
        <v>42350.375</v>
      </c>
      <c r="G597" s="37">
        <v>42350.5625</v>
      </c>
      <c r="H597" s="1" t="s">
        <v>6</v>
      </c>
      <c r="I597" s="1" t="s">
        <v>38</v>
      </c>
      <c r="J597" s="1">
        <v>42357.435254629629</v>
      </c>
      <c r="K597" s="1" t="s">
        <v>118</v>
      </c>
      <c r="L597" s="14">
        <f>24*(TblTimeSheet[[#This Row],[End Date and Time]]-TblTimeSheet[[#This Row],[Start Date and Time]])</f>
        <v>4.5</v>
      </c>
      <c r="M5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7">
        <f>--(0&gt;(TblTimeSheet[[#This Row],[End Date and Time]]-TblTimeSheet[[#This Row],[Start Date and Time]]))</f>
        <v>0</v>
      </c>
    </row>
    <row r="598" spans="1:14" x14ac:dyDescent="0.25">
      <c r="A598" s="1"/>
      <c r="B598" s="2" t="s">
        <v>699</v>
      </c>
      <c r="C598" s="2" t="s">
        <v>118</v>
      </c>
      <c r="D598" s="2" t="s">
        <v>32</v>
      </c>
      <c r="E598" s="7" t="s">
        <v>1056</v>
      </c>
      <c r="F598" s="37">
        <v>42350.583333333336</v>
      </c>
      <c r="G598" s="37">
        <v>42350.791666666664</v>
      </c>
      <c r="H598" s="1" t="s">
        <v>6</v>
      </c>
      <c r="I598" s="1" t="s">
        <v>38</v>
      </c>
      <c r="J598" s="1">
        <v>42357.435891203706</v>
      </c>
      <c r="K598" s="1" t="s">
        <v>118</v>
      </c>
      <c r="L598" s="14">
        <f>24*(TblTimeSheet[[#This Row],[End Date and Time]]-TblTimeSheet[[#This Row],[Start Date and Time]])</f>
        <v>4.9999999998835847</v>
      </c>
      <c r="M5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8">
        <f>--(0&gt;(TblTimeSheet[[#This Row],[End Date and Time]]-TblTimeSheet[[#This Row],[Start Date and Time]]))</f>
        <v>0</v>
      </c>
    </row>
    <row r="599" spans="1:14" x14ac:dyDescent="0.25">
      <c r="A599" s="1"/>
      <c r="B599" s="2" t="s">
        <v>699</v>
      </c>
      <c r="C599" s="2" t="s">
        <v>41</v>
      </c>
      <c r="D599" s="2" t="s">
        <v>32</v>
      </c>
      <c r="E599" s="7" t="s">
        <v>1057</v>
      </c>
      <c r="F599" s="37">
        <v>42352.375</v>
      </c>
      <c r="G599" s="37">
        <v>42352.416666666664</v>
      </c>
      <c r="H599" s="1" t="s">
        <v>6</v>
      </c>
      <c r="I599" s="1" t="s">
        <v>38</v>
      </c>
      <c r="J599" s="1">
        <v>42357.437604166669</v>
      </c>
      <c r="K599" s="1" t="s">
        <v>41</v>
      </c>
      <c r="L599" s="14">
        <f>24*(TblTimeSheet[[#This Row],[End Date and Time]]-TblTimeSheet[[#This Row],[Start Date and Time]])</f>
        <v>0.99999999994179234</v>
      </c>
      <c r="M5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599">
        <f>--(0&gt;(TblTimeSheet[[#This Row],[End Date and Time]]-TblTimeSheet[[#This Row],[Start Date and Time]]))</f>
        <v>0</v>
      </c>
    </row>
    <row r="600" spans="1:14" x14ac:dyDescent="0.25">
      <c r="A600" s="1"/>
      <c r="B600" s="2" t="s">
        <v>699</v>
      </c>
      <c r="C600" s="2" t="s">
        <v>41</v>
      </c>
      <c r="D600" s="2" t="s">
        <v>32</v>
      </c>
      <c r="E600" s="7" t="s">
        <v>1742</v>
      </c>
      <c r="F600" s="37">
        <v>42350.708333333336</v>
      </c>
      <c r="G600" s="37">
        <v>42350.75</v>
      </c>
      <c r="H600" s="1" t="s">
        <v>6</v>
      </c>
      <c r="I600" s="1" t="s">
        <v>38</v>
      </c>
      <c r="J600" s="1">
        <v>42357.43917824074</v>
      </c>
      <c r="K600" s="1" t="s">
        <v>41</v>
      </c>
      <c r="L600" s="14">
        <f>24*(TblTimeSheet[[#This Row],[End Date and Time]]-TblTimeSheet[[#This Row],[Start Date and Time]])</f>
        <v>0.99999999994179234</v>
      </c>
      <c r="M6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0">
        <f>--(0&gt;(TblTimeSheet[[#This Row],[End Date and Time]]-TblTimeSheet[[#This Row],[Start Date and Time]]))</f>
        <v>0</v>
      </c>
    </row>
    <row r="601" spans="1:14" x14ac:dyDescent="0.25">
      <c r="A601" s="1"/>
      <c r="B601" s="2" t="s">
        <v>699</v>
      </c>
      <c r="C601" s="2" t="s">
        <v>41</v>
      </c>
      <c r="D601" s="2" t="s">
        <v>32</v>
      </c>
      <c r="E601" s="7" t="s">
        <v>456</v>
      </c>
      <c r="F601" s="37">
        <v>42348.395833333336</v>
      </c>
      <c r="G601" s="37">
        <v>42348.416666666664</v>
      </c>
      <c r="H601" s="1" t="s">
        <v>6</v>
      </c>
      <c r="I601" s="1" t="s">
        <v>38</v>
      </c>
      <c r="J601" s="1">
        <v>42357.449236111112</v>
      </c>
      <c r="K601" s="1" t="s">
        <v>41</v>
      </c>
      <c r="L601" s="14">
        <f>24*(TblTimeSheet[[#This Row],[End Date and Time]]-TblTimeSheet[[#This Row],[Start Date and Time]])</f>
        <v>0.49999999988358468</v>
      </c>
      <c r="M6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1">
        <f>--(0&gt;(TblTimeSheet[[#This Row],[End Date and Time]]-TblTimeSheet[[#This Row],[Start Date and Time]]))</f>
        <v>0</v>
      </c>
    </row>
    <row r="602" spans="1:14" x14ac:dyDescent="0.25">
      <c r="A602" s="1"/>
      <c r="B602" s="2" t="s">
        <v>699</v>
      </c>
      <c r="C602" s="2" t="s">
        <v>144</v>
      </c>
      <c r="D602" s="2" t="s">
        <v>32</v>
      </c>
      <c r="E602" s="7" t="s">
        <v>516</v>
      </c>
      <c r="F602" s="37">
        <v>42348.395833333336</v>
      </c>
      <c r="G602" s="37">
        <v>42348.416666666664</v>
      </c>
      <c r="H602" s="1" t="s">
        <v>6</v>
      </c>
      <c r="I602" s="1" t="s">
        <v>38</v>
      </c>
      <c r="J602" s="1">
        <v>42357.451168981483</v>
      </c>
      <c r="K602" s="1" t="s">
        <v>144</v>
      </c>
      <c r="L602" s="14">
        <f>24*(TblTimeSheet[[#This Row],[End Date and Time]]-TblTimeSheet[[#This Row],[Start Date and Time]])</f>
        <v>0.49999999988358468</v>
      </c>
      <c r="M6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2">
        <f>--(0&gt;(TblTimeSheet[[#This Row],[End Date and Time]]-TblTimeSheet[[#This Row],[Start Date and Time]]))</f>
        <v>0</v>
      </c>
    </row>
    <row r="603" spans="1:14" x14ac:dyDescent="0.25">
      <c r="A603" s="1"/>
      <c r="B603" s="2" t="s">
        <v>699</v>
      </c>
      <c r="C603" s="2" t="s">
        <v>41</v>
      </c>
      <c r="D603" s="2" t="s">
        <v>32</v>
      </c>
      <c r="E603" s="7" t="s">
        <v>1058</v>
      </c>
      <c r="F603" s="37">
        <v>42350.75</v>
      </c>
      <c r="G603" s="37">
        <v>42350.8125</v>
      </c>
      <c r="H603" s="1" t="s">
        <v>6</v>
      </c>
      <c r="I603" s="1" t="s">
        <v>38</v>
      </c>
      <c r="J603" s="1">
        <v>42358.475081018521</v>
      </c>
      <c r="K603" s="1" t="s">
        <v>41</v>
      </c>
      <c r="L603" s="14">
        <f>24*(TblTimeSheet[[#This Row],[End Date and Time]]-TblTimeSheet[[#This Row],[Start Date and Time]])</f>
        <v>1.5</v>
      </c>
      <c r="M6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3">
        <f>--(0&gt;(TblTimeSheet[[#This Row],[End Date and Time]]-TblTimeSheet[[#This Row],[Start Date and Time]]))</f>
        <v>0</v>
      </c>
    </row>
    <row r="604" spans="1:14" x14ac:dyDescent="0.25">
      <c r="A604" s="1"/>
      <c r="B604" s="2" t="s">
        <v>697</v>
      </c>
      <c r="C604" s="2" t="s">
        <v>118</v>
      </c>
      <c r="D604" s="2" t="s">
        <v>32</v>
      </c>
      <c r="E604" s="7" t="s">
        <v>452</v>
      </c>
      <c r="F604" s="37">
        <v>42357.645833333336</v>
      </c>
      <c r="G604" s="37">
        <v>42357.666666666664</v>
      </c>
      <c r="H604" s="1" t="s">
        <v>6</v>
      </c>
      <c r="I604" s="1" t="s">
        <v>38</v>
      </c>
      <c r="J604" s="1">
        <v>42357.668425925927</v>
      </c>
      <c r="K604" s="1" t="s">
        <v>118</v>
      </c>
      <c r="L604" s="14">
        <f>24*(TblTimeSheet[[#This Row],[End Date and Time]]-TblTimeSheet[[#This Row],[Start Date and Time]])</f>
        <v>0.49999999988358468</v>
      </c>
      <c r="M6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4">
        <f>--(0&gt;(TblTimeSheet[[#This Row],[End Date and Time]]-TblTimeSheet[[#This Row],[Start Date and Time]]))</f>
        <v>0</v>
      </c>
    </row>
    <row r="605" spans="1:14" x14ac:dyDescent="0.25">
      <c r="A605" s="1"/>
      <c r="B605" s="2" t="s">
        <v>699</v>
      </c>
      <c r="C605" s="2" t="s">
        <v>171</v>
      </c>
      <c r="D605" s="2" t="s">
        <v>33</v>
      </c>
      <c r="E605" s="7" t="s">
        <v>1059</v>
      </c>
      <c r="F605" s="37">
        <v>42352.572916666664</v>
      </c>
      <c r="G605" s="37">
        <v>42352.732638888891</v>
      </c>
      <c r="H605" s="1" t="s">
        <v>6</v>
      </c>
      <c r="I605" s="1" t="s">
        <v>38</v>
      </c>
      <c r="J605" s="1">
        <v>42357.710092592592</v>
      </c>
      <c r="K605" s="1" t="s">
        <v>171</v>
      </c>
      <c r="L605" s="14">
        <f>24*(TblTimeSheet[[#This Row],[End Date and Time]]-TblTimeSheet[[#This Row],[Start Date and Time]])</f>
        <v>3.8333333334303461</v>
      </c>
      <c r="M6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5">
        <f>--(0&gt;(TblTimeSheet[[#This Row],[End Date and Time]]-TblTimeSheet[[#This Row],[Start Date and Time]]))</f>
        <v>0</v>
      </c>
    </row>
    <row r="606" spans="1:14" x14ac:dyDescent="0.25">
      <c r="A606" s="1"/>
      <c r="B606" s="2" t="s">
        <v>699</v>
      </c>
      <c r="C606" s="2" t="s">
        <v>116</v>
      </c>
      <c r="D606" s="2" t="s">
        <v>34</v>
      </c>
      <c r="E606" s="7" t="s">
        <v>1060</v>
      </c>
      <c r="F606" s="37">
        <v>42357.708333333336</v>
      </c>
      <c r="G606" s="37">
        <v>42357.715277777781</v>
      </c>
      <c r="H606" s="1" t="s">
        <v>6</v>
      </c>
      <c r="I606" s="1" t="s">
        <v>38</v>
      </c>
      <c r="J606" s="1">
        <v>42357.714247685188</v>
      </c>
      <c r="K606" s="1" t="s">
        <v>701</v>
      </c>
      <c r="L606" s="14">
        <f>24*(TblTimeSheet[[#This Row],[End Date and Time]]-TblTimeSheet[[#This Row],[Start Date and Time]])</f>
        <v>0.16666666668606922</v>
      </c>
      <c r="M6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6">
        <f>--(0&gt;(TblTimeSheet[[#This Row],[End Date and Time]]-TblTimeSheet[[#This Row],[Start Date and Time]]))</f>
        <v>0</v>
      </c>
    </row>
    <row r="607" spans="1:14" x14ac:dyDescent="0.25">
      <c r="A607" s="1"/>
      <c r="B607" s="2" t="s">
        <v>699</v>
      </c>
      <c r="C607" s="2" t="s">
        <v>1061</v>
      </c>
      <c r="D607" s="2" t="s">
        <v>34</v>
      </c>
      <c r="E607" s="7" t="s">
        <v>1062</v>
      </c>
      <c r="F607" s="37">
        <v>42356.583333333336</v>
      </c>
      <c r="G607" s="37">
        <v>42356.708333333336</v>
      </c>
      <c r="H607" s="1" t="s">
        <v>6</v>
      </c>
      <c r="I607" s="1" t="s">
        <v>38</v>
      </c>
      <c r="J607" s="1">
        <v>42357.73101851852</v>
      </c>
      <c r="K607" s="1" t="s">
        <v>1061</v>
      </c>
      <c r="L607" s="14">
        <f>24*(TblTimeSheet[[#This Row],[End Date and Time]]-TblTimeSheet[[#This Row],[Start Date and Time]])</f>
        <v>3</v>
      </c>
      <c r="M6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7">
        <f>--(0&gt;(TblTimeSheet[[#This Row],[End Date and Time]]-TblTimeSheet[[#This Row],[Start Date and Time]]))</f>
        <v>0</v>
      </c>
    </row>
    <row r="608" spans="1:14" x14ac:dyDescent="0.25">
      <c r="A608" s="1"/>
      <c r="B608" s="2" t="s">
        <v>699</v>
      </c>
      <c r="C608" s="2" t="s">
        <v>1061</v>
      </c>
      <c r="D608" s="2" t="s">
        <v>34</v>
      </c>
      <c r="E608" s="7" t="s">
        <v>1063</v>
      </c>
      <c r="F608" s="37">
        <v>42357.395833333336</v>
      </c>
      <c r="G608" s="37">
        <v>42357.541666666664</v>
      </c>
      <c r="H608" s="1" t="s">
        <v>6</v>
      </c>
      <c r="I608" s="1" t="s">
        <v>38</v>
      </c>
      <c r="J608" s="1">
        <v>42357.731909722221</v>
      </c>
      <c r="K608" s="1" t="s">
        <v>1061</v>
      </c>
      <c r="L608" s="14">
        <f>24*(TblTimeSheet[[#This Row],[End Date and Time]]-TblTimeSheet[[#This Row],[Start Date and Time]])</f>
        <v>3.4999999998835847</v>
      </c>
      <c r="M6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8">
        <f>--(0&gt;(TblTimeSheet[[#This Row],[End Date and Time]]-TblTimeSheet[[#This Row],[Start Date and Time]]))</f>
        <v>0</v>
      </c>
    </row>
    <row r="609" spans="1:14" x14ac:dyDescent="0.25">
      <c r="A609" s="1"/>
      <c r="B609" s="2" t="s">
        <v>699</v>
      </c>
      <c r="C609" s="2" t="s">
        <v>1061</v>
      </c>
      <c r="D609" s="2" t="s">
        <v>34</v>
      </c>
      <c r="E609" s="7" t="s">
        <v>1064</v>
      </c>
      <c r="F609" s="37">
        <v>42357.645833333336</v>
      </c>
      <c r="G609" s="37">
        <v>42357.6875</v>
      </c>
      <c r="H609" s="1" t="s">
        <v>6</v>
      </c>
      <c r="I609" s="1" t="s">
        <v>38</v>
      </c>
      <c r="J609" s="1">
        <v>42357.732708333337</v>
      </c>
      <c r="K609" s="1" t="s">
        <v>1061</v>
      </c>
      <c r="L609" s="14">
        <f>24*(TblTimeSheet[[#This Row],[End Date and Time]]-TblTimeSheet[[#This Row],[Start Date and Time]])</f>
        <v>0.99999999994179234</v>
      </c>
      <c r="M6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09">
        <f>--(0&gt;(TblTimeSheet[[#This Row],[End Date and Time]]-TblTimeSheet[[#This Row],[Start Date and Time]]))</f>
        <v>0</v>
      </c>
    </row>
    <row r="610" spans="1:14" x14ac:dyDescent="0.25">
      <c r="A610" s="1"/>
      <c r="B610" s="2" t="s">
        <v>699</v>
      </c>
      <c r="C610" s="2" t="s">
        <v>454</v>
      </c>
      <c r="D610" s="2" t="s">
        <v>34</v>
      </c>
      <c r="E610" s="7" t="s">
        <v>1065</v>
      </c>
      <c r="F610" s="37">
        <v>42356.583333333336</v>
      </c>
      <c r="G610" s="37">
        <v>42356.625</v>
      </c>
      <c r="H610" s="1" t="s">
        <v>6</v>
      </c>
      <c r="I610" s="1" t="s">
        <v>38</v>
      </c>
      <c r="J610" s="1">
        <v>42357.735439814816</v>
      </c>
      <c r="K610" s="1" t="s">
        <v>454</v>
      </c>
      <c r="L610" s="14">
        <f>24*(TblTimeSheet[[#This Row],[End Date and Time]]-TblTimeSheet[[#This Row],[Start Date and Time]])</f>
        <v>0.99999999994179234</v>
      </c>
      <c r="M6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0">
        <f>--(0&gt;(TblTimeSheet[[#This Row],[End Date and Time]]-TblTimeSheet[[#This Row],[Start Date and Time]]))</f>
        <v>0</v>
      </c>
    </row>
    <row r="611" spans="1:14" x14ac:dyDescent="0.25">
      <c r="A611" s="1"/>
      <c r="B611" s="2" t="s">
        <v>699</v>
      </c>
      <c r="C611" s="2" t="s">
        <v>454</v>
      </c>
      <c r="D611" s="2" t="s">
        <v>34</v>
      </c>
      <c r="E611" s="7" t="s">
        <v>1066</v>
      </c>
      <c r="F611" s="37">
        <v>42356.625</v>
      </c>
      <c r="G611" s="37">
        <v>42356.729166666664</v>
      </c>
      <c r="H611" s="1" t="s">
        <v>6</v>
      </c>
      <c r="I611" s="1" t="s">
        <v>38</v>
      </c>
      <c r="J611" s="1">
        <v>42357.73400462963</v>
      </c>
      <c r="K611" s="1" t="s">
        <v>454</v>
      </c>
      <c r="L611" s="14">
        <f>24*(TblTimeSheet[[#This Row],[End Date and Time]]-TblTimeSheet[[#This Row],[Start Date and Time]])</f>
        <v>2.4999999999417923</v>
      </c>
      <c r="M6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1">
        <f>--(0&gt;(TblTimeSheet[[#This Row],[End Date and Time]]-TblTimeSheet[[#This Row],[Start Date and Time]]))</f>
        <v>0</v>
      </c>
    </row>
    <row r="612" spans="1:14" ht="30" x14ac:dyDescent="0.25">
      <c r="A612" s="1"/>
      <c r="B612" s="2" t="s">
        <v>699</v>
      </c>
      <c r="C612" s="2" t="s">
        <v>454</v>
      </c>
      <c r="D612" s="2" t="s">
        <v>34</v>
      </c>
      <c r="E612" s="7" t="s">
        <v>1743</v>
      </c>
      <c r="F612" s="37">
        <v>42357.375</v>
      </c>
      <c r="G612" s="37">
        <v>42357.583333333336</v>
      </c>
      <c r="H612" s="1" t="s">
        <v>6</v>
      </c>
      <c r="I612" s="1" t="s">
        <v>38</v>
      </c>
      <c r="J612" s="1">
        <v>42357.73505787037</v>
      </c>
      <c r="K612" s="1" t="s">
        <v>454</v>
      </c>
      <c r="L612" s="14">
        <f>24*(TblTimeSheet[[#This Row],[End Date and Time]]-TblTimeSheet[[#This Row],[Start Date and Time]])</f>
        <v>5.0000000000582077</v>
      </c>
      <c r="M6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2">
        <f>--(0&gt;(TblTimeSheet[[#This Row],[End Date and Time]]-TblTimeSheet[[#This Row],[Start Date and Time]]))</f>
        <v>0</v>
      </c>
    </row>
    <row r="613" spans="1:14" x14ac:dyDescent="0.25">
      <c r="A613" s="1"/>
      <c r="B613" s="2" t="s">
        <v>699</v>
      </c>
      <c r="C613" s="2" t="s">
        <v>144</v>
      </c>
      <c r="D613" s="2" t="s">
        <v>34</v>
      </c>
      <c r="E613" s="7" t="s">
        <v>1067</v>
      </c>
      <c r="F613" s="37">
        <v>42356.583333333336</v>
      </c>
      <c r="G613" s="37">
        <v>42356.791666666664</v>
      </c>
      <c r="H613" s="1" t="s">
        <v>6</v>
      </c>
      <c r="I613" s="1" t="s">
        <v>38</v>
      </c>
      <c r="J613" s="1">
        <v>42444.525011574071</v>
      </c>
      <c r="K613" s="1" t="s">
        <v>144</v>
      </c>
      <c r="L613" s="14">
        <f>24*(TblTimeSheet[[#This Row],[End Date and Time]]-TblTimeSheet[[#This Row],[Start Date and Time]])</f>
        <v>4.9999999998835847</v>
      </c>
      <c r="M6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3">
        <f>--(0&gt;(TblTimeSheet[[#This Row],[End Date and Time]]-TblTimeSheet[[#This Row],[Start Date and Time]]))</f>
        <v>0</v>
      </c>
    </row>
    <row r="614" spans="1:14" ht="30" x14ac:dyDescent="0.25">
      <c r="A614" s="1"/>
      <c r="B614" s="2" t="s">
        <v>699</v>
      </c>
      <c r="C614" s="2" t="s">
        <v>144</v>
      </c>
      <c r="D614" s="2" t="s">
        <v>34</v>
      </c>
      <c r="E614" s="7" t="s">
        <v>1744</v>
      </c>
      <c r="F614" s="37">
        <v>42357.375</v>
      </c>
      <c r="G614" s="37">
        <v>42357.729166666664</v>
      </c>
      <c r="H614" s="1" t="s">
        <v>6</v>
      </c>
      <c r="I614" s="1" t="s">
        <v>38</v>
      </c>
      <c r="J614" s="1">
        <v>42357.73741898148</v>
      </c>
      <c r="K614" s="1" t="s">
        <v>144</v>
      </c>
      <c r="L614" s="14">
        <f>24*(TblTimeSheet[[#This Row],[End Date and Time]]-TblTimeSheet[[#This Row],[Start Date and Time]])</f>
        <v>8.4999999999417923</v>
      </c>
      <c r="M6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4">
        <f>--(0&gt;(TblTimeSheet[[#This Row],[End Date and Time]]-TblTimeSheet[[#This Row],[Start Date and Time]]))</f>
        <v>0</v>
      </c>
    </row>
    <row r="615" spans="1:14" x14ac:dyDescent="0.25">
      <c r="A615" s="1"/>
      <c r="B615" s="2" t="s">
        <v>697</v>
      </c>
      <c r="C615" s="2" t="s">
        <v>124</v>
      </c>
      <c r="D615" s="2" t="s">
        <v>32</v>
      </c>
      <c r="E615" s="7" t="s">
        <v>1068</v>
      </c>
      <c r="F615" s="37">
        <v>42357.645833333336</v>
      </c>
      <c r="G615" s="37">
        <v>42357.666666666664</v>
      </c>
      <c r="H615" s="1" t="s">
        <v>6</v>
      </c>
      <c r="I615" s="1" t="s">
        <v>38</v>
      </c>
      <c r="J615" s="1">
        <v>42357.739629629628</v>
      </c>
      <c r="K615" s="1" t="s">
        <v>2863</v>
      </c>
      <c r="L615" s="14">
        <f>24*(TblTimeSheet[[#This Row],[End Date and Time]]-TblTimeSheet[[#This Row],[Start Date and Time]])</f>
        <v>0.49999999988358468</v>
      </c>
      <c r="M6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5">
        <f>--(0&gt;(TblTimeSheet[[#This Row],[End Date and Time]]-TblTimeSheet[[#This Row],[Start Date and Time]]))</f>
        <v>0</v>
      </c>
    </row>
    <row r="616" spans="1:14" x14ac:dyDescent="0.25">
      <c r="A616" s="1"/>
      <c r="B616" s="2" t="s">
        <v>699</v>
      </c>
      <c r="C616" s="2" t="s">
        <v>116</v>
      </c>
      <c r="D616" s="2" t="s">
        <v>32</v>
      </c>
      <c r="E616" s="7" t="s">
        <v>819</v>
      </c>
      <c r="F616" s="37">
        <v>42352.583333333336</v>
      </c>
      <c r="G616" s="37">
        <v>42352.666666666664</v>
      </c>
      <c r="H616" s="1" t="s">
        <v>6</v>
      </c>
      <c r="I616" s="1" t="s">
        <v>38</v>
      </c>
      <c r="J616" s="1">
        <v>42358.395694444444</v>
      </c>
      <c r="K616" s="1" t="s">
        <v>81</v>
      </c>
      <c r="L616" s="14">
        <f>24*(TblTimeSheet[[#This Row],[End Date and Time]]-TblTimeSheet[[#This Row],[Start Date and Time]])</f>
        <v>1.9999999998835847</v>
      </c>
      <c r="M6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6">
        <f>--(0&gt;(TblTimeSheet[[#This Row],[End Date and Time]]-TblTimeSheet[[#This Row],[Start Date and Time]]))</f>
        <v>0</v>
      </c>
    </row>
    <row r="617" spans="1:14" x14ac:dyDescent="0.25">
      <c r="A617" s="1"/>
      <c r="B617" s="2" t="s">
        <v>699</v>
      </c>
      <c r="C617" s="2" t="s">
        <v>41</v>
      </c>
      <c r="D617" s="2" t="s">
        <v>32</v>
      </c>
      <c r="E617" s="7" t="s">
        <v>1745</v>
      </c>
      <c r="F617" s="37">
        <v>42352.583333333336</v>
      </c>
      <c r="G617" s="37">
        <v>42352.666666666664</v>
      </c>
      <c r="H617" s="1" t="s">
        <v>6</v>
      </c>
      <c r="I617" s="1" t="s">
        <v>38</v>
      </c>
      <c r="J617" s="1">
        <v>42358.449328703704</v>
      </c>
      <c r="K617" s="1" t="s">
        <v>41</v>
      </c>
      <c r="L617" s="14">
        <f>24*(TblTimeSheet[[#This Row],[End Date and Time]]-TblTimeSheet[[#This Row],[Start Date and Time]])</f>
        <v>1.9999999998835847</v>
      </c>
      <c r="M6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7">
        <f>--(0&gt;(TblTimeSheet[[#This Row],[End Date and Time]]-TblTimeSheet[[#This Row],[Start Date and Time]]))</f>
        <v>0</v>
      </c>
    </row>
    <row r="618" spans="1:14" x14ac:dyDescent="0.25">
      <c r="A618" s="1"/>
      <c r="B618" s="2" t="s">
        <v>697</v>
      </c>
      <c r="C618" s="2" t="s">
        <v>116</v>
      </c>
      <c r="D618" s="2" t="s">
        <v>32</v>
      </c>
      <c r="E618" s="7" t="s">
        <v>985</v>
      </c>
      <c r="F618" s="37">
        <v>42357.645833333336</v>
      </c>
      <c r="G618" s="37">
        <v>42357.666666666664</v>
      </c>
      <c r="H618" s="1" t="s">
        <v>6</v>
      </c>
      <c r="I618" s="1" t="s">
        <v>38</v>
      </c>
      <c r="J618" s="1">
        <v>42358.418993055559</v>
      </c>
      <c r="K618" s="1" t="s">
        <v>39</v>
      </c>
      <c r="L618" s="14">
        <f>24*(TblTimeSheet[[#This Row],[End Date and Time]]-TblTimeSheet[[#This Row],[Start Date and Time]])</f>
        <v>0.49999999988358468</v>
      </c>
      <c r="M6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18">
        <f>--(0&gt;(TblTimeSheet[[#This Row],[End Date and Time]]-TblTimeSheet[[#This Row],[Start Date and Time]]))</f>
        <v>0</v>
      </c>
    </row>
    <row r="619" spans="1:14" x14ac:dyDescent="0.25">
      <c r="A619" s="1"/>
      <c r="B619" s="2" t="s">
        <v>699</v>
      </c>
      <c r="C619" s="2" t="s">
        <v>36</v>
      </c>
      <c r="D619" s="2" t="s">
        <v>34</v>
      </c>
      <c r="E619" s="7" t="s">
        <v>1746</v>
      </c>
      <c r="F619" s="37">
        <v>42358.40625</v>
      </c>
      <c r="G619" s="37">
        <v>42358.416666666664</v>
      </c>
      <c r="H619" s="1" t="s">
        <v>6</v>
      </c>
      <c r="I619" s="1" t="s">
        <v>38</v>
      </c>
      <c r="J619" s="1">
        <v>42358.421944444446</v>
      </c>
      <c r="K619" s="1" t="s">
        <v>36</v>
      </c>
      <c r="L619" s="14">
        <f>24*(TblTimeSheet[[#This Row],[End Date and Time]]-TblTimeSheet[[#This Row],[Start Date and Time]])</f>
        <v>0.24999999994179234</v>
      </c>
      <c r="M6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19">
        <f>--(0&gt;(TblTimeSheet[[#This Row],[End Date and Time]]-TblTimeSheet[[#This Row],[Start Date and Time]]))</f>
        <v>0</v>
      </c>
    </row>
    <row r="620" spans="1:14" x14ac:dyDescent="0.25">
      <c r="A620" s="1"/>
      <c r="B620" s="2" t="s">
        <v>699</v>
      </c>
      <c r="C620" s="2" t="s">
        <v>116</v>
      </c>
      <c r="D620" s="2" t="s">
        <v>34</v>
      </c>
      <c r="E620" s="7" t="s">
        <v>1069</v>
      </c>
      <c r="F620" s="37">
        <v>42355.708333333336</v>
      </c>
      <c r="G620" s="37">
        <v>42355.729166666664</v>
      </c>
      <c r="H620" s="1" t="s">
        <v>6</v>
      </c>
      <c r="I620" s="1" t="s">
        <v>38</v>
      </c>
      <c r="J620" s="1">
        <v>42358.429270833331</v>
      </c>
      <c r="K620" s="1" t="s">
        <v>701</v>
      </c>
      <c r="L620" s="14">
        <f>24*(TblTimeSheet[[#This Row],[End Date and Time]]-TblTimeSheet[[#This Row],[Start Date and Time]])</f>
        <v>0.49999999988358468</v>
      </c>
      <c r="M6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20">
        <f>--(0&gt;(TblTimeSheet[[#This Row],[End Date and Time]]-TblTimeSheet[[#This Row],[Start Date and Time]]))</f>
        <v>0</v>
      </c>
    </row>
    <row r="621" spans="1:14" x14ac:dyDescent="0.25">
      <c r="A621" s="1"/>
      <c r="B621" s="2" t="s">
        <v>697</v>
      </c>
      <c r="C621" s="2" t="s">
        <v>116</v>
      </c>
      <c r="D621" s="2" t="s">
        <v>32</v>
      </c>
      <c r="E621" s="7" t="s">
        <v>456</v>
      </c>
      <c r="F621" s="37">
        <v>42357.645833333336</v>
      </c>
      <c r="G621" s="37">
        <v>42357.666666666664</v>
      </c>
      <c r="H621" s="1" t="s">
        <v>6</v>
      </c>
      <c r="I621" s="1" t="s">
        <v>38</v>
      </c>
      <c r="J621" s="1">
        <v>42358.428657407407</v>
      </c>
      <c r="K621" s="1" t="s">
        <v>701</v>
      </c>
      <c r="L621" s="14">
        <f>24*(TblTimeSheet[[#This Row],[End Date and Time]]-TblTimeSheet[[#This Row],[Start Date and Time]])</f>
        <v>0.49999999988358468</v>
      </c>
      <c r="M6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21">
        <f>--(0&gt;(TblTimeSheet[[#This Row],[End Date and Time]]-TblTimeSheet[[#This Row],[Start Date and Time]]))</f>
        <v>0</v>
      </c>
    </row>
    <row r="622" spans="1:14" x14ac:dyDescent="0.25">
      <c r="A622" s="1"/>
      <c r="B622" s="2" t="s">
        <v>699</v>
      </c>
      <c r="C622" s="2" t="s">
        <v>41</v>
      </c>
      <c r="D622" s="2" t="s">
        <v>34</v>
      </c>
      <c r="E622" s="7" t="s">
        <v>1070</v>
      </c>
      <c r="F622" s="37">
        <v>42355.708333333336</v>
      </c>
      <c r="G622" s="37">
        <v>42355.729166666664</v>
      </c>
      <c r="H622" s="1" t="s">
        <v>6</v>
      </c>
      <c r="I622" s="1" t="s">
        <v>38</v>
      </c>
      <c r="J622" s="1">
        <v>42358.4297337963</v>
      </c>
      <c r="K622" s="1" t="s">
        <v>41</v>
      </c>
      <c r="L622" s="14">
        <f>24*(TblTimeSheet[[#This Row],[End Date and Time]]-TblTimeSheet[[#This Row],[Start Date and Time]])</f>
        <v>0.49999999988358468</v>
      </c>
      <c r="M6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2">
        <f>--(0&gt;(TblTimeSheet[[#This Row],[End Date and Time]]-TblTimeSheet[[#This Row],[Start Date and Time]]))</f>
        <v>0</v>
      </c>
    </row>
    <row r="623" spans="1:14" x14ac:dyDescent="0.25">
      <c r="A623" s="1"/>
      <c r="B623" s="2" t="s">
        <v>699</v>
      </c>
      <c r="C623" s="2" t="s">
        <v>116</v>
      </c>
      <c r="D623" s="2" t="s">
        <v>34</v>
      </c>
      <c r="E623" s="7" t="s">
        <v>1071</v>
      </c>
      <c r="F623" s="37">
        <v>42355.708333333336</v>
      </c>
      <c r="G623" s="37">
        <v>42355.729166666664</v>
      </c>
      <c r="H623" s="1" t="s">
        <v>6</v>
      </c>
      <c r="I623" s="1" t="s">
        <v>38</v>
      </c>
      <c r="J623" s="1">
        <v>42358.430763888886</v>
      </c>
      <c r="K623" s="1" t="s">
        <v>81</v>
      </c>
      <c r="L623" s="14">
        <f>24*(TblTimeSheet[[#This Row],[End Date and Time]]-TblTimeSheet[[#This Row],[Start Date and Time]])</f>
        <v>0.49999999988358468</v>
      </c>
      <c r="M6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23">
        <f>--(0&gt;(TblTimeSheet[[#This Row],[End Date and Time]]-TblTimeSheet[[#This Row],[Start Date and Time]]))</f>
        <v>0</v>
      </c>
    </row>
    <row r="624" spans="1:14" x14ac:dyDescent="0.25">
      <c r="A624" s="1"/>
      <c r="B624" s="2" t="s">
        <v>699</v>
      </c>
      <c r="C624" s="2" t="s">
        <v>116</v>
      </c>
      <c r="D624" s="2" t="s">
        <v>32</v>
      </c>
      <c r="E624" s="7" t="s">
        <v>1072</v>
      </c>
      <c r="F624" s="37">
        <v>42351.625</v>
      </c>
      <c r="G624" s="37">
        <v>42351.666666666664</v>
      </c>
      <c r="H624" s="1" t="s">
        <v>6</v>
      </c>
      <c r="I624" s="1" t="s">
        <v>38</v>
      </c>
      <c r="J624" s="1">
        <v>42358.431215277778</v>
      </c>
      <c r="K624" s="1" t="s">
        <v>39</v>
      </c>
      <c r="L624" s="14">
        <f>24*(TblTimeSheet[[#This Row],[End Date and Time]]-TblTimeSheet[[#This Row],[Start Date and Time]])</f>
        <v>0.99999999994179234</v>
      </c>
      <c r="M6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24">
        <f>--(0&gt;(TblTimeSheet[[#This Row],[End Date and Time]]-TblTimeSheet[[#This Row],[Start Date and Time]]))</f>
        <v>0</v>
      </c>
    </row>
    <row r="625" spans="1:14" x14ac:dyDescent="0.25">
      <c r="A625" s="1"/>
      <c r="B625" s="2" t="s">
        <v>699</v>
      </c>
      <c r="C625" s="2" t="s">
        <v>41</v>
      </c>
      <c r="D625" s="2" t="s">
        <v>32</v>
      </c>
      <c r="E625" s="7" t="s">
        <v>1073</v>
      </c>
      <c r="F625" s="37">
        <v>42351.729166666664</v>
      </c>
      <c r="G625" s="37">
        <v>42351.833333333336</v>
      </c>
      <c r="H625" s="1" t="s">
        <v>6</v>
      </c>
      <c r="I625" s="1" t="s">
        <v>38</v>
      </c>
      <c r="J625" s="1">
        <v>42358.456863425927</v>
      </c>
      <c r="K625" s="1" t="s">
        <v>41</v>
      </c>
      <c r="L625" s="14">
        <f>24*(TblTimeSheet[[#This Row],[End Date and Time]]-TblTimeSheet[[#This Row],[Start Date and Time]])</f>
        <v>2.5000000001164153</v>
      </c>
      <c r="M6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5">
        <f>--(0&gt;(TblTimeSheet[[#This Row],[End Date and Time]]-TblTimeSheet[[#This Row],[Start Date and Time]]))</f>
        <v>0</v>
      </c>
    </row>
    <row r="626" spans="1:14" x14ac:dyDescent="0.25">
      <c r="A626" s="1"/>
      <c r="B626" s="2" t="s">
        <v>699</v>
      </c>
      <c r="C626" s="2" t="s">
        <v>41</v>
      </c>
      <c r="D626" s="2" t="s">
        <v>32</v>
      </c>
      <c r="E626" s="7" t="s">
        <v>1747</v>
      </c>
      <c r="F626" s="37">
        <v>42338.385416666664</v>
      </c>
      <c r="G626" s="37">
        <v>42338.583333333336</v>
      </c>
      <c r="H626" s="1" t="s">
        <v>6</v>
      </c>
      <c r="I626" s="1" t="s">
        <v>38</v>
      </c>
      <c r="J626" s="1">
        <v>42358.461712962962</v>
      </c>
      <c r="K626" s="1" t="s">
        <v>41</v>
      </c>
      <c r="L626" s="14">
        <f>24*(TblTimeSheet[[#This Row],[End Date and Time]]-TblTimeSheet[[#This Row],[Start Date and Time]])</f>
        <v>4.7500000001164153</v>
      </c>
      <c r="M6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6">
        <f>--(0&gt;(TblTimeSheet[[#This Row],[End Date and Time]]-TblTimeSheet[[#This Row],[Start Date and Time]]))</f>
        <v>0</v>
      </c>
    </row>
    <row r="627" spans="1:14" x14ac:dyDescent="0.25">
      <c r="A627" s="1"/>
      <c r="B627" s="2" t="s">
        <v>699</v>
      </c>
      <c r="C627" s="2" t="s">
        <v>41</v>
      </c>
      <c r="D627" s="2" t="s">
        <v>32</v>
      </c>
      <c r="E627" s="7" t="s">
        <v>1074</v>
      </c>
      <c r="F627" s="37">
        <v>42346.583333333336</v>
      </c>
      <c r="G627" s="37">
        <v>42346.75</v>
      </c>
      <c r="H627" s="1" t="s">
        <v>6</v>
      </c>
      <c r="I627" s="1" t="s">
        <v>38</v>
      </c>
      <c r="J627" s="1">
        <v>42358.463078703702</v>
      </c>
      <c r="K627" s="1" t="s">
        <v>41</v>
      </c>
      <c r="L627" s="14">
        <f>24*(TblTimeSheet[[#This Row],[End Date and Time]]-TblTimeSheet[[#This Row],[Start Date and Time]])</f>
        <v>3.9999999999417923</v>
      </c>
      <c r="M6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7">
        <f>--(0&gt;(TblTimeSheet[[#This Row],[End Date and Time]]-TblTimeSheet[[#This Row],[Start Date and Time]]))</f>
        <v>0</v>
      </c>
    </row>
    <row r="628" spans="1:14" x14ac:dyDescent="0.25">
      <c r="A628" s="1"/>
      <c r="B628" s="2" t="s">
        <v>699</v>
      </c>
      <c r="C628" s="2" t="s">
        <v>41</v>
      </c>
      <c r="D628" s="2" t="s">
        <v>32</v>
      </c>
      <c r="E628" s="7" t="s">
        <v>1025</v>
      </c>
      <c r="F628" s="37">
        <v>42348.708333333336</v>
      </c>
      <c r="G628" s="37">
        <v>42348.770833333336</v>
      </c>
      <c r="H628" s="1" t="s">
        <v>6</v>
      </c>
      <c r="I628" s="1" t="s">
        <v>38</v>
      </c>
      <c r="J628" s="1">
        <v>42358.478043981479</v>
      </c>
      <c r="K628" s="1" t="s">
        <v>41</v>
      </c>
      <c r="L628" s="14">
        <f>24*(TblTimeSheet[[#This Row],[End Date and Time]]-TblTimeSheet[[#This Row],[Start Date and Time]])</f>
        <v>1.5</v>
      </c>
      <c r="M6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8">
        <f>--(0&gt;(TblTimeSheet[[#This Row],[End Date and Time]]-TblTimeSheet[[#This Row],[Start Date and Time]]))</f>
        <v>0</v>
      </c>
    </row>
    <row r="629" spans="1:14" x14ac:dyDescent="0.25">
      <c r="A629" s="1"/>
      <c r="B629" s="2" t="s">
        <v>699</v>
      </c>
      <c r="C629" s="2" t="s">
        <v>36</v>
      </c>
      <c r="D629" s="2" t="s">
        <v>34</v>
      </c>
      <c r="E629" s="7" t="s">
        <v>1748</v>
      </c>
      <c r="F629" s="37">
        <v>42356.541666666664</v>
      </c>
      <c r="G629" s="37">
        <v>42356.548611111109</v>
      </c>
      <c r="H629" s="1" t="s">
        <v>6</v>
      </c>
      <c r="I629" s="1" t="s">
        <v>38</v>
      </c>
      <c r="J629" s="1">
        <v>42358.481770833336</v>
      </c>
      <c r="K629" s="1" t="s">
        <v>36</v>
      </c>
      <c r="L629" s="14">
        <f>24*(TblTimeSheet[[#This Row],[End Date and Time]]-TblTimeSheet[[#This Row],[Start Date and Time]])</f>
        <v>0.16666666668606922</v>
      </c>
      <c r="M6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29">
        <f>--(0&gt;(TblTimeSheet[[#This Row],[End Date and Time]]-TblTimeSheet[[#This Row],[Start Date and Time]]))</f>
        <v>0</v>
      </c>
    </row>
    <row r="630" spans="1:14" x14ac:dyDescent="0.25">
      <c r="A630" s="1"/>
      <c r="B630" s="2" t="s">
        <v>699</v>
      </c>
      <c r="C630" s="2" t="s">
        <v>176</v>
      </c>
      <c r="D630" s="2" t="s">
        <v>32</v>
      </c>
      <c r="E630" s="7" t="s">
        <v>1749</v>
      </c>
      <c r="F630" s="37">
        <v>42350.708333333336</v>
      </c>
      <c r="G630" s="37">
        <v>42350.75</v>
      </c>
      <c r="H630" s="1" t="s">
        <v>6</v>
      </c>
      <c r="I630" s="1" t="s">
        <v>38</v>
      </c>
      <c r="J630" s="1">
        <v>42358.497662037036</v>
      </c>
      <c r="K630" s="1" t="s">
        <v>176</v>
      </c>
      <c r="L630" s="14">
        <f>24*(TblTimeSheet[[#This Row],[End Date and Time]]-TblTimeSheet[[#This Row],[Start Date and Time]])</f>
        <v>0.99999999994179234</v>
      </c>
      <c r="M6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0">
        <f>--(0&gt;(TblTimeSheet[[#This Row],[End Date and Time]]-TblTimeSheet[[#This Row],[Start Date and Time]]))</f>
        <v>0</v>
      </c>
    </row>
    <row r="631" spans="1:14" x14ac:dyDescent="0.25">
      <c r="A631" s="1"/>
      <c r="B631" s="2" t="s">
        <v>699</v>
      </c>
      <c r="C631" s="2" t="s">
        <v>78</v>
      </c>
      <c r="D631" s="2" t="s">
        <v>32</v>
      </c>
      <c r="E631" s="7" t="s">
        <v>1750</v>
      </c>
      <c r="F631" s="37">
        <v>42338.385416666664</v>
      </c>
      <c r="G631" s="37">
        <v>42338.583333333336</v>
      </c>
      <c r="H631" s="1" t="s">
        <v>6</v>
      </c>
      <c r="I631" s="1" t="s">
        <v>38</v>
      </c>
      <c r="J631" s="1">
        <v>42358.519606481481</v>
      </c>
      <c r="K631" s="1" t="s">
        <v>78</v>
      </c>
      <c r="L631" s="14">
        <f>24*(TblTimeSheet[[#This Row],[End Date and Time]]-TblTimeSheet[[#This Row],[Start Date and Time]])</f>
        <v>4.7500000001164153</v>
      </c>
      <c r="M6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1">
        <f>--(0&gt;(TblTimeSheet[[#This Row],[End Date and Time]]-TblTimeSheet[[#This Row],[Start Date and Time]]))</f>
        <v>0</v>
      </c>
    </row>
    <row r="632" spans="1:14" x14ac:dyDescent="0.25">
      <c r="A632" s="1"/>
      <c r="B632" s="2" t="s">
        <v>699</v>
      </c>
      <c r="C632" s="2" t="s">
        <v>41</v>
      </c>
      <c r="D632" s="2" t="s">
        <v>33</v>
      </c>
      <c r="E632" s="7" t="s">
        <v>1075</v>
      </c>
      <c r="F632" s="37">
        <v>42352.6875</v>
      </c>
      <c r="G632" s="37">
        <v>42352.854166666664</v>
      </c>
      <c r="H632" s="1" t="s">
        <v>6</v>
      </c>
      <c r="I632" s="1" t="s">
        <v>38</v>
      </c>
      <c r="J632" s="1">
        <v>42358.621516203704</v>
      </c>
      <c r="K632" s="1" t="s">
        <v>41</v>
      </c>
      <c r="L632" s="14">
        <f>24*(TblTimeSheet[[#This Row],[End Date and Time]]-TblTimeSheet[[#This Row],[Start Date and Time]])</f>
        <v>3.9999999999417923</v>
      </c>
      <c r="M6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2">
        <f>--(0&gt;(TblTimeSheet[[#This Row],[End Date and Time]]-TblTimeSheet[[#This Row],[Start Date and Time]]))</f>
        <v>0</v>
      </c>
    </row>
    <row r="633" spans="1:14" x14ac:dyDescent="0.25">
      <c r="A633" s="1"/>
      <c r="B633" s="2" t="s">
        <v>699</v>
      </c>
      <c r="C633" s="2" t="s">
        <v>171</v>
      </c>
      <c r="D633" s="2" t="s">
        <v>33</v>
      </c>
      <c r="E633" s="7" t="s">
        <v>1751</v>
      </c>
      <c r="F633" s="37">
        <v>42353.375</v>
      </c>
      <c r="G633" s="37">
        <v>42353.5625</v>
      </c>
      <c r="H633" s="1" t="s">
        <v>6</v>
      </c>
      <c r="I633" s="1" t="s">
        <v>38</v>
      </c>
      <c r="J633" s="1">
        <v>42358.622604166667</v>
      </c>
      <c r="K633" s="1" t="s">
        <v>171</v>
      </c>
      <c r="L633" s="14">
        <f>24*(TblTimeSheet[[#This Row],[End Date and Time]]-TblTimeSheet[[#This Row],[Start Date and Time]])</f>
        <v>4.5</v>
      </c>
      <c r="M6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3">
        <f>--(0&gt;(TblTimeSheet[[#This Row],[End Date and Time]]-TblTimeSheet[[#This Row],[Start Date and Time]]))</f>
        <v>0</v>
      </c>
    </row>
    <row r="634" spans="1:14" x14ac:dyDescent="0.25">
      <c r="A634" s="1"/>
      <c r="B634" s="2" t="s">
        <v>699</v>
      </c>
      <c r="C634" s="2" t="s">
        <v>171</v>
      </c>
      <c r="D634" s="2" t="s">
        <v>33</v>
      </c>
      <c r="E634" s="7" t="s">
        <v>1752</v>
      </c>
      <c r="F634" s="37">
        <v>42353.583333333336</v>
      </c>
      <c r="G634" s="37">
        <v>42353.666666666664</v>
      </c>
      <c r="H634" s="1" t="s">
        <v>6</v>
      </c>
      <c r="I634" s="1" t="s">
        <v>38</v>
      </c>
      <c r="J634" s="1">
        <v>42358.623449074075</v>
      </c>
      <c r="K634" s="1" t="s">
        <v>171</v>
      </c>
      <c r="L634" s="14">
        <f>24*(TblTimeSheet[[#This Row],[End Date and Time]]-TblTimeSheet[[#This Row],[Start Date and Time]])</f>
        <v>1.9999999998835847</v>
      </c>
      <c r="M6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4">
        <f>--(0&gt;(TblTimeSheet[[#This Row],[End Date and Time]]-TblTimeSheet[[#This Row],[Start Date and Time]]))</f>
        <v>0</v>
      </c>
    </row>
    <row r="635" spans="1:14" x14ac:dyDescent="0.25">
      <c r="A635" s="1"/>
      <c r="B635" s="2" t="s">
        <v>699</v>
      </c>
      <c r="C635" s="2" t="s">
        <v>171</v>
      </c>
      <c r="D635" s="2" t="s">
        <v>33</v>
      </c>
      <c r="E635" s="7" t="s">
        <v>1753</v>
      </c>
      <c r="F635" s="37">
        <v>42352.75</v>
      </c>
      <c r="G635" s="37">
        <v>42352.791666666664</v>
      </c>
      <c r="H635" s="1" t="s">
        <v>6</v>
      </c>
      <c r="I635" s="1" t="s">
        <v>38</v>
      </c>
      <c r="J635" s="1">
        <v>42358.634016203701</v>
      </c>
      <c r="K635" s="1" t="s">
        <v>171</v>
      </c>
      <c r="L635" s="14">
        <f>24*(TblTimeSheet[[#This Row],[End Date and Time]]-TblTimeSheet[[#This Row],[Start Date and Time]])</f>
        <v>0.99999999994179234</v>
      </c>
      <c r="M6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5">
        <f>--(0&gt;(TblTimeSheet[[#This Row],[End Date and Time]]-TblTimeSheet[[#This Row],[Start Date and Time]]))</f>
        <v>0</v>
      </c>
    </row>
    <row r="636" spans="1:14" x14ac:dyDescent="0.25">
      <c r="A636" s="1"/>
      <c r="B636" s="2" t="s">
        <v>699</v>
      </c>
      <c r="C636" s="2" t="s">
        <v>1076</v>
      </c>
      <c r="D636" s="2" t="s">
        <v>33</v>
      </c>
      <c r="E636" s="7" t="s">
        <v>1077</v>
      </c>
      <c r="F636" s="37">
        <v>42351.375</v>
      </c>
      <c r="G636" s="37">
        <v>42351.5625</v>
      </c>
      <c r="H636" s="1" t="s">
        <v>6</v>
      </c>
      <c r="I636" s="1" t="s">
        <v>38</v>
      </c>
      <c r="J636" s="1">
        <v>42358.641932870371</v>
      </c>
      <c r="K636" s="1" t="s">
        <v>41</v>
      </c>
      <c r="L636" s="14">
        <f>24*(TblTimeSheet[[#This Row],[End Date and Time]]-TblTimeSheet[[#This Row],[Start Date and Time]])</f>
        <v>4.5</v>
      </c>
      <c r="M6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36">
        <f>--(0&gt;(TblTimeSheet[[#This Row],[End Date and Time]]-TblTimeSheet[[#This Row],[Start Date and Time]]))</f>
        <v>0</v>
      </c>
    </row>
    <row r="637" spans="1:14" x14ac:dyDescent="0.25">
      <c r="A637" s="1"/>
      <c r="B637" s="2" t="s">
        <v>699</v>
      </c>
      <c r="C637" s="2" t="s">
        <v>1076</v>
      </c>
      <c r="D637" s="2" t="s">
        <v>33</v>
      </c>
      <c r="E637" s="7" t="s">
        <v>1077</v>
      </c>
      <c r="F637" s="37">
        <v>42351.583333333336</v>
      </c>
      <c r="G637" s="37">
        <v>42351.729166666664</v>
      </c>
      <c r="H637" s="1" t="s">
        <v>6</v>
      </c>
      <c r="I637" s="1" t="s">
        <v>38</v>
      </c>
      <c r="J637" s="1">
        <v>42358.642222222225</v>
      </c>
      <c r="K637" s="1" t="s">
        <v>41</v>
      </c>
      <c r="L637" s="14">
        <f>24*(TblTimeSheet[[#This Row],[End Date and Time]]-TblTimeSheet[[#This Row],[Start Date and Time]])</f>
        <v>3.4999999998835847</v>
      </c>
      <c r="M6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7">
        <f>--(0&gt;(TblTimeSheet[[#This Row],[End Date and Time]]-TblTimeSheet[[#This Row],[Start Date and Time]]))</f>
        <v>0</v>
      </c>
    </row>
    <row r="638" spans="1:14" x14ac:dyDescent="0.25">
      <c r="A638" s="1"/>
      <c r="B638" s="2" t="s">
        <v>699</v>
      </c>
      <c r="C638" s="2" t="s">
        <v>1076</v>
      </c>
      <c r="D638" s="2" t="s">
        <v>33</v>
      </c>
      <c r="E638" s="7" t="s">
        <v>1078</v>
      </c>
      <c r="F638" s="37">
        <v>42351.375</v>
      </c>
      <c r="G638" s="37">
        <v>42351.5625</v>
      </c>
      <c r="H638" s="1" t="s">
        <v>6</v>
      </c>
      <c r="I638" s="1" t="s">
        <v>38</v>
      </c>
      <c r="J638" s="1">
        <v>42358.63689814815</v>
      </c>
      <c r="K638" s="1" t="s">
        <v>41</v>
      </c>
      <c r="L638" s="14">
        <f>24*(TblTimeSheet[[#This Row],[End Date and Time]]-TblTimeSheet[[#This Row],[Start Date and Time]])</f>
        <v>4.5</v>
      </c>
      <c r="M6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38">
        <f>--(0&gt;(TblTimeSheet[[#This Row],[End Date and Time]]-TblTimeSheet[[#This Row],[Start Date and Time]]))</f>
        <v>0</v>
      </c>
    </row>
    <row r="639" spans="1:14" x14ac:dyDescent="0.25">
      <c r="A639" s="1"/>
      <c r="B639" s="2" t="s">
        <v>699</v>
      </c>
      <c r="C639" s="2" t="s">
        <v>41</v>
      </c>
      <c r="D639" s="2" t="s">
        <v>32</v>
      </c>
      <c r="E639" s="7" t="s">
        <v>1079</v>
      </c>
      <c r="F639" s="37">
        <v>42352.673611111109</v>
      </c>
      <c r="G639" s="37">
        <v>42352.652777777781</v>
      </c>
      <c r="H639" s="1" t="s">
        <v>6</v>
      </c>
      <c r="I639" s="1" t="s">
        <v>38</v>
      </c>
      <c r="J639" s="1">
        <v>42358.718148148146</v>
      </c>
      <c r="K639" s="1" t="s">
        <v>41</v>
      </c>
      <c r="L639" s="14">
        <f>24*(TblTimeSheet[[#This Row],[End Date and Time]]-TblTimeSheet[[#This Row],[Start Date and Time]])</f>
        <v>-0.49999999988358468</v>
      </c>
      <c r="M6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39">
        <f>--(0&gt;(TblTimeSheet[[#This Row],[End Date and Time]]-TblTimeSheet[[#This Row],[Start Date and Time]]))</f>
        <v>1</v>
      </c>
    </row>
    <row r="640" spans="1:14" x14ac:dyDescent="0.25">
      <c r="A640" s="1"/>
      <c r="B640" s="2" t="s">
        <v>699</v>
      </c>
      <c r="C640" s="2" t="s">
        <v>116</v>
      </c>
      <c r="D640" s="2" t="s">
        <v>33</v>
      </c>
      <c r="E640" s="7" t="s">
        <v>1080</v>
      </c>
      <c r="F640" s="37">
        <v>42353.6875</v>
      </c>
      <c r="G640" s="37">
        <v>42353.75</v>
      </c>
      <c r="H640" s="1" t="s">
        <v>6</v>
      </c>
      <c r="I640" s="1" t="s">
        <v>38</v>
      </c>
      <c r="J640" s="1">
        <v>42358.723703703705</v>
      </c>
      <c r="K640" s="1" t="s">
        <v>81</v>
      </c>
      <c r="L640" s="14">
        <f>24*(TblTimeSheet[[#This Row],[End Date and Time]]-TblTimeSheet[[#This Row],[Start Date and Time]])</f>
        <v>1.5</v>
      </c>
      <c r="M6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40">
        <f>--(0&gt;(TblTimeSheet[[#This Row],[End Date and Time]]-TblTimeSheet[[#This Row],[Start Date and Time]]))</f>
        <v>0</v>
      </c>
    </row>
    <row r="641" spans="1:14" x14ac:dyDescent="0.25">
      <c r="A641" s="1"/>
      <c r="B641" s="2" t="s">
        <v>699</v>
      </c>
      <c r="C641" s="2" t="s">
        <v>41</v>
      </c>
      <c r="D641" s="2" t="s">
        <v>33</v>
      </c>
      <c r="E641" s="7" t="s">
        <v>1081</v>
      </c>
      <c r="F641" s="37">
        <v>42353.6875</v>
      </c>
      <c r="G641" s="37">
        <v>42353.75</v>
      </c>
      <c r="H641" s="1" t="s">
        <v>6</v>
      </c>
      <c r="I641" s="1" t="s">
        <v>38</v>
      </c>
      <c r="J641" s="1">
        <v>42358.724432870367</v>
      </c>
      <c r="K641" s="1" t="s">
        <v>41</v>
      </c>
      <c r="L641" s="14">
        <f>24*(TblTimeSheet[[#This Row],[End Date and Time]]-TblTimeSheet[[#This Row],[Start Date and Time]])</f>
        <v>1.5</v>
      </c>
      <c r="M6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1">
        <f>--(0&gt;(TblTimeSheet[[#This Row],[End Date and Time]]-TblTimeSheet[[#This Row],[Start Date and Time]]))</f>
        <v>0</v>
      </c>
    </row>
    <row r="642" spans="1:14" x14ac:dyDescent="0.25">
      <c r="A642" s="1"/>
      <c r="B642" s="2" t="s">
        <v>697</v>
      </c>
      <c r="C642" s="2" t="s">
        <v>118</v>
      </c>
      <c r="D642" s="2" t="s">
        <v>32</v>
      </c>
      <c r="E642" s="7" t="s">
        <v>1082</v>
      </c>
      <c r="F642" s="37">
        <v>42355.375</v>
      </c>
      <c r="G642" s="37">
        <v>42355.541666666664</v>
      </c>
      <c r="H642" s="1" t="s">
        <v>6</v>
      </c>
      <c r="I642" s="1" t="s">
        <v>38</v>
      </c>
      <c r="J642" s="1">
        <v>42359.468252314815</v>
      </c>
      <c r="K642" s="1" t="s">
        <v>118</v>
      </c>
      <c r="L642" s="14">
        <f>24*(TblTimeSheet[[#This Row],[End Date and Time]]-TblTimeSheet[[#This Row],[Start Date and Time]])</f>
        <v>3.9999999999417923</v>
      </c>
      <c r="M6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2">
        <f>--(0&gt;(TblTimeSheet[[#This Row],[End Date and Time]]-TblTimeSheet[[#This Row],[Start Date and Time]]))</f>
        <v>0</v>
      </c>
    </row>
    <row r="643" spans="1:14" x14ac:dyDescent="0.25">
      <c r="A643" s="1"/>
      <c r="B643" s="2" t="s">
        <v>697</v>
      </c>
      <c r="C643" s="2" t="s">
        <v>118</v>
      </c>
      <c r="D643" s="2" t="s">
        <v>32</v>
      </c>
      <c r="E643" s="7" t="s">
        <v>1082</v>
      </c>
      <c r="F643" s="37">
        <v>42355.583333333336</v>
      </c>
      <c r="G643" s="37">
        <v>42355.666666666664</v>
      </c>
      <c r="H643" s="1" t="s">
        <v>6</v>
      </c>
      <c r="I643" s="1" t="s">
        <v>38</v>
      </c>
      <c r="J643" s="1">
        <v>42359.469074074077</v>
      </c>
      <c r="K643" s="1" t="s">
        <v>118</v>
      </c>
      <c r="L643" s="14">
        <f>24*(TblTimeSheet[[#This Row],[End Date and Time]]-TblTimeSheet[[#This Row],[Start Date and Time]])</f>
        <v>1.9999999998835847</v>
      </c>
      <c r="M6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3">
        <f>--(0&gt;(TblTimeSheet[[#This Row],[End Date and Time]]-TblTimeSheet[[#This Row],[Start Date and Time]]))</f>
        <v>0</v>
      </c>
    </row>
    <row r="644" spans="1:14" x14ac:dyDescent="0.25">
      <c r="A644" s="1"/>
      <c r="B644" s="2" t="s">
        <v>699</v>
      </c>
      <c r="C644" s="2" t="s">
        <v>41</v>
      </c>
      <c r="D644" s="2" t="s">
        <v>35</v>
      </c>
      <c r="E644" s="7" t="s">
        <v>1083</v>
      </c>
      <c r="F644" s="37">
        <v>42359.479166666664</v>
      </c>
      <c r="G644" s="37">
        <v>42359.5</v>
      </c>
      <c r="H644" s="1" t="s">
        <v>6</v>
      </c>
      <c r="I644" s="1" t="s">
        <v>38</v>
      </c>
      <c r="J644" s="1">
        <v>42359.501631944448</v>
      </c>
      <c r="K644" s="1" t="s">
        <v>41</v>
      </c>
      <c r="L644" s="14">
        <f>24*(TblTimeSheet[[#This Row],[End Date and Time]]-TblTimeSheet[[#This Row],[Start Date and Time]])</f>
        <v>0.50000000005820766</v>
      </c>
      <c r="M6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44">
        <f>--(0&gt;(TblTimeSheet[[#This Row],[End Date and Time]]-TblTimeSheet[[#This Row],[Start Date and Time]]))</f>
        <v>0</v>
      </c>
    </row>
    <row r="645" spans="1:14" x14ac:dyDescent="0.25">
      <c r="A645" s="1"/>
      <c r="B645" s="2" t="s">
        <v>699</v>
      </c>
      <c r="C645" s="2" t="s">
        <v>116</v>
      </c>
      <c r="D645" s="2" t="s">
        <v>35</v>
      </c>
      <c r="E645" s="7" t="s">
        <v>1084</v>
      </c>
      <c r="F645" s="37">
        <v>42359.479166666664</v>
      </c>
      <c r="G645" s="37">
        <v>42359.5</v>
      </c>
      <c r="H645" s="1" t="s">
        <v>6</v>
      </c>
      <c r="I645" s="1" t="s">
        <v>38</v>
      </c>
      <c r="J645" s="1">
        <v>42359.532997685186</v>
      </c>
      <c r="K645" s="1" t="s">
        <v>39</v>
      </c>
      <c r="L645" s="14">
        <f>24*(TblTimeSheet[[#This Row],[End Date and Time]]-TblTimeSheet[[#This Row],[Start Date and Time]])</f>
        <v>0.50000000005820766</v>
      </c>
      <c r="M6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5">
        <f>--(0&gt;(TblTimeSheet[[#This Row],[End Date and Time]]-TblTimeSheet[[#This Row],[Start Date and Time]]))</f>
        <v>0</v>
      </c>
    </row>
    <row r="646" spans="1:14" x14ac:dyDescent="0.25">
      <c r="A646" s="1"/>
      <c r="B646" s="2" t="s">
        <v>697</v>
      </c>
      <c r="C646" s="2" t="s">
        <v>116</v>
      </c>
      <c r="D646" s="2" t="s">
        <v>32</v>
      </c>
      <c r="E646" s="7" t="s">
        <v>449</v>
      </c>
      <c r="F646" s="37">
        <v>42357.645833333336</v>
      </c>
      <c r="G646" s="37">
        <v>42357.666666666664</v>
      </c>
      <c r="H646" s="1" t="s">
        <v>6</v>
      </c>
      <c r="I646" s="1" t="s">
        <v>38</v>
      </c>
      <c r="J646" s="1">
        <v>42359.597997685189</v>
      </c>
      <c r="K646" s="1" t="s">
        <v>1026</v>
      </c>
      <c r="L646" s="14">
        <f>24*(TblTimeSheet[[#This Row],[End Date and Time]]-TblTimeSheet[[#This Row],[Start Date and Time]])</f>
        <v>0.49999999988358468</v>
      </c>
      <c r="M6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46">
        <f>--(0&gt;(TblTimeSheet[[#This Row],[End Date and Time]]-TblTimeSheet[[#This Row],[Start Date and Time]]))</f>
        <v>0</v>
      </c>
    </row>
    <row r="647" spans="1:14" x14ac:dyDescent="0.25">
      <c r="A647" s="1"/>
      <c r="B647" s="2" t="s">
        <v>697</v>
      </c>
      <c r="C647" s="2" t="s">
        <v>176</v>
      </c>
      <c r="D647" s="2" t="s">
        <v>32</v>
      </c>
      <c r="E647" s="7" t="s">
        <v>449</v>
      </c>
      <c r="F647" s="37">
        <v>42357.645833333336</v>
      </c>
      <c r="G647" s="37">
        <v>42357.666666666664</v>
      </c>
      <c r="H647" s="1" t="s">
        <v>6</v>
      </c>
      <c r="I647" s="1" t="s">
        <v>38</v>
      </c>
      <c r="J647" s="1">
        <v>42359.59884259259</v>
      </c>
      <c r="K647" s="1" t="s">
        <v>176</v>
      </c>
      <c r="L647" s="14">
        <f>24*(TblTimeSheet[[#This Row],[End Date and Time]]-TblTimeSheet[[#This Row],[Start Date and Time]])</f>
        <v>0.49999999988358468</v>
      </c>
      <c r="M6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7">
        <f>--(0&gt;(TblTimeSheet[[#This Row],[End Date and Time]]-TblTimeSheet[[#This Row],[Start Date and Time]]))</f>
        <v>0</v>
      </c>
    </row>
    <row r="648" spans="1:14" x14ac:dyDescent="0.25">
      <c r="A648" s="1"/>
      <c r="B648" s="2" t="s">
        <v>699</v>
      </c>
      <c r="C648" s="2" t="s">
        <v>144</v>
      </c>
      <c r="D648" s="2" t="s">
        <v>35</v>
      </c>
      <c r="E648" s="7" t="s">
        <v>1085</v>
      </c>
      <c r="F648" s="37">
        <v>42359.666666666664</v>
      </c>
      <c r="G648" s="37">
        <v>42359.708333333336</v>
      </c>
      <c r="H648" s="1" t="s">
        <v>6</v>
      </c>
      <c r="I648" s="1" t="s">
        <v>38</v>
      </c>
      <c r="J648" s="1">
        <v>42359.737939814811</v>
      </c>
      <c r="K648" s="1" t="s">
        <v>144</v>
      </c>
      <c r="L648" s="14">
        <f>24*(TblTimeSheet[[#This Row],[End Date and Time]]-TblTimeSheet[[#This Row],[Start Date and Time]])</f>
        <v>1.0000000001164153</v>
      </c>
      <c r="M6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8">
        <f>--(0&gt;(TblTimeSheet[[#This Row],[End Date and Time]]-TblTimeSheet[[#This Row],[Start Date and Time]]))</f>
        <v>0</v>
      </c>
    </row>
    <row r="649" spans="1:14" x14ac:dyDescent="0.25">
      <c r="A649" s="1"/>
      <c r="B649" s="2" t="s">
        <v>699</v>
      </c>
      <c r="C649" s="2" t="s">
        <v>116</v>
      </c>
      <c r="D649" s="2" t="s">
        <v>35</v>
      </c>
      <c r="E649" s="7" t="s">
        <v>1754</v>
      </c>
      <c r="F649" s="37">
        <v>42359.666666666664</v>
      </c>
      <c r="G649" s="37">
        <v>42359.708333333336</v>
      </c>
      <c r="H649" s="1" t="s">
        <v>6</v>
      </c>
      <c r="I649" s="1" t="s">
        <v>38</v>
      </c>
      <c r="J649" s="1">
        <v>42359.763807870368</v>
      </c>
      <c r="K649" s="1" t="s">
        <v>39</v>
      </c>
      <c r="L649" s="14">
        <f>24*(TblTimeSheet[[#This Row],[End Date and Time]]-TblTimeSheet[[#This Row],[Start Date and Time]])</f>
        <v>1.0000000001164153</v>
      </c>
      <c r="M6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49">
        <f>--(0&gt;(TblTimeSheet[[#This Row],[End Date and Time]]-TblTimeSheet[[#This Row],[Start Date and Time]]))</f>
        <v>0</v>
      </c>
    </row>
    <row r="650" spans="1:14" x14ac:dyDescent="0.25">
      <c r="A650" s="1"/>
      <c r="B650" s="2" t="s">
        <v>699</v>
      </c>
      <c r="C650" s="2" t="s">
        <v>41</v>
      </c>
      <c r="D650" s="2" t="s">
        <v>35</v>
      </c>
      <c r="E650" s="7" t="s">
        <v>1086</v>
      </c>
      <c r="F650" s="37">
        <v>42359.770833333336</v>
      </c>
      <c r="G650" s="37">
        <v>42359.791666666664</v>
      </c>
      <c r="H650" s="1" t="s">
        <v>6</v>
      </c>
      <c r="I650" s="1" t="s">
        <v>38</v>
      </c>
      <c r="J650" s="1">
        <v>42359.794166666667</v>
      </c>
      <c r="K650" s="1" t="s">
        <v>41</v>
      </c>
      <c r="L650" s="14">
        <f>24*(TblTimeSheet[[#This Row],[End Date and Time]]-TblTimeSheet[[#This Row],[Start Date and Time]])</f>
        <v>0.49999999988358468</v>
      </c>
      <c r="M6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0">
        <f>--(0&gt;(TblTimeSheet[[#This Row],[End Date and Time]]-TblTimeSheet[[#This Row],[Start Date and Time]]))</f>
        <v>0</v>
      </c>
    </row>
    <row r="651" spans="1:14" x14ac:dyDescent="0.25">
      <c r="A651" s="1"/>
      <c r="B651" s="2" t="s">
        <v>697</v>
      </c>
      <c r="C651" s="2" t="s">
        <v>116</v>
      </c>
      <c r="D651" s="2" t="s">
        <v>32</v>
      </c>
      <c r="E651" s="7" t="s">
        <v>1087</v>
      </c>
      <c r="F651" s="37">
        <v>42353.395833333336</v>
      </c>
      <c r="G651" s="37">
        <v>42353.5</v>
      </c>
      <c r="H651" s="1" t="s">
        <v>6</v>
      </c>
      <c r="I651" s="1" t="s">
        <v>38</v>
      </c>
      <c r="J651" s="1">
        <v>42360.438738425924</v>
      </c>
      <c r="K651" s="1" t="s">
        <v>701</v>
      </c>
      <c r="L651" s="14">
        <f>24*(TblTimeSheet[[#This Row],[End Date and Time]]-TblTimeSheet[[#This Row],[Start Date and Time]])</f>
        <v>2.4999999999417923</v>
      </c>
      <c r="M6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1">
        <f>--(0&gt;(TblTimeSheet[[#This Row],[End Date and Time]]-TblTimeSheet[[#This Row],[Start Date and Time]]))</f>
        <v>0</v>
      </c>
    </row>
    <row r="652" spans="1:14" x14ac:dyDescent="0.25">
      <c r="A652" s="1"/>
      <c r="B652" s="2" t="s">
        <v>697</v>
      </c>
      <c r="C652" s="2" t="s">
        <v>116</v>
      </c>
      <c r="D652" s="2" t="s">
        <v>32</v>
      </c>
      <c r="E652" s="7" t="s">
        <v>1088</v>
      </c>
      <c r="F652" s="37">
        <v>42353.583333333336</v>
      </c>
      <c r="G652" s="37">
        <v>42353.75</v>
      </c>
      <c r="H652" s="1" t="s">
        <v>6</v>
      </c>
      <c r="I652" s="1" t="s">
        <v>38</v>
      </c>
      <c r="J652" s="1">
        <v>42360.439525462964</v>
      </c>
      <c r="K652" s="1" t="s">
        <v>701</v>
      </c>
      <c r="L652" s="14">
        <f>24*(TblTimeSheet[[#This Row],[End Date and Time]]-TblTimeSheet[[#This Row],[Start Date and Time]])</f>
        <v>3.9999999999417923</v>
      </c>
      <c r="M6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52">
        <f>--(0&gt;(TblTimeSheet[[#This Row],[End Date and Time]]-TblTimeSheet[[#This Row],[Start Date and Time]]))</f>
        <v>0</v>
      </c>
    </row>
    <row r="653" spans="1:14" x14ac:dyDescent="0.25">
      <c r="A653" s="1"/>
      <c r="B653" s="2" t="s">
        <v>697</v>
      </c>
      <c r="C653" s="2" t="s">
        <v>116</v>
      </c>
      <c r="D653" s="2" t="s">
        <v>32</v>
      </c>
      <c r="E653" s="7" t="s">
        <v>1087</v>
      </c>
      <c r="F653" s="37">
        <v>42354.583333333336</v>
      </c>
      <c r="G653" s="37">
        <v>42354.75</v>
      </c>
      <c r="H653" s="1" t="s">
        <v>6</v>
      </c>
      <c r="I653" s="1" t="s">
        <v>38</v>
      </c>
      <c r="J653" s="1">
        <v>42360.440289351849</v>
      </c>
      <c r="K653" s="1" t="s">
        <v>701</v>
      </c>
      <c r="L653" s="14">
        <f>24*(TblTimeSheet[[#This Row],[End Date and Time]]-TblTimeSheet[[#This Row],[Start Date and Time]])</f>
        <v>3.9999999999417923</v>
      </c>
      <c r="M6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3">
        <f>--(0&gt;(TblTimeSheet[[#This Row],[End Date and Time]]-TblTimeSheet[[#This Row],[Start Date and Time]]))</f>
        <v>0</v>
      </c>
    </row>
    <row r="654" spans="1:14" x14ac:dyDescent="0.25">
      <c r="A654" s="1"/>
      <c r="B654" s="2" t="s">
        <v>697</v>
      </c>
      <c r="C654" s="2" t="s">
        <v>124</v>
      </c>
      <c r="D654" s="2" t="s">
        <v>32</v>
      </c>
      <c r="E654" s="7" t="s">
        <v>1089</v>
      </c>
      <c r="F654" s="37">
        <v>42356.375</v>
      </c>
      <c r="G654" s="37">
        <v>42356.541666666664</v>
      </c>
      <c r="H654" s="1" t="s">
        <v>6</v>
      </c>
      <c r="I654" s="1" t="s">
        <v>38</v>
      </c>
      <c r="J654" s="1">
        <v>42360.454895833333</v>
      </c>
      <c r="K654" s="1" t="s">
        <v>2863</v>
      </c>
      <c r="L654" s="14">
        <f>24*(TblTimeSheet[[#This Row],[End Date and Time]]-TblTimeSheet[[#This Row],[Start Date and Time]])</f>
        <v>3.9999999999417923</v>
      </c>
      <c r="M6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4">
        <f>--(0&gt;(TblTimeSheet[[#This Row],[End Date and Time]]-TblTimeSheet[[#This Row],[Start Date and Time]]))</f>
        <v>0</v>
      </c>
    </row>
    <row r="655" spans="1:14" x14ac:dyDescent="0.25">
      <c r="A655" s="1"/>
      <c r="B655" s="2" t="s">
        <v>697</v>
      </c>
      <c r="C655" s="2" t="s">
        <v>124</v>
      </c>
      <c r="D655" s="2" t="s">
        <v>32</v>
      </c>
      <c r="E655" s="7" t="s">
        <v>1090</v>
      </c>
      <c r="F655" s="37">
        <v>42357.375</v>
      </c>
      <c r="G655" s="37">
        <v>42357.541666666664</v>
      </c>
      <c r="H655" s="1" t="s">
        <v>6</v>
      </c>
      <c r="I655" s="1" t="s">
        <v>38</v>
      </c>
      <c r="J655" s="1">
        <v>42360.456087962964</v>
      </c>
      <c r="K655" s="1" t="s">
        <v>2863</v>
      </c>
      <c r="L655" s="14">
        <f>24*(TblTimeSheet[[#This Row],[End Date and Time]]-TblTimeSheet[[#This Row],[Start Date and Time]])</f>
        <v>3.9999999999417923</v>
      </c>
      <c r="M6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5">
        <f>--(0&gt;(TblTimeSheet[[#This Row],[End Date and Time]]-TblTimeSheet[[#This Row],[Start Date and Time]]))</f>
        <v>0</v>
      </c>
    </row>
    <row r="656" spans="1:14" x14ac:dyDescent="0.25">
      <c r="A656" s="1"/>
      <c r="B656" s="2" t="s">
        <v>699</v>
      </c>
      <c r="C656" s="2" t="s">
        <v>41</v>
      </c>
      <c r="D656" s="2" t="s">
        <v>35</v>
      </c>
      <c r="E656" s="7" t="s">
        <v>1091</v>
      </c>
      <c r="F656" s="37">
        <v>42359.479166666664</v>
      </c>
      <c r="G656" s="37">
        <v>42359.5</v>
      </c>
      <c r="H656" s="1" t="s">
        <v>6</v>
      </c>
      <c r="I656" s="1" t="s">
        <v>38</v>
      </c>
      <c r="J656" s="1">
        <v>42366.631041666667</v>
      </c>
      <c r="K656" s="1" t="s">
        <v>41</v>
      </c>
      <c r="L656" s="14">
        <f>24*(TblTimeSheet[[#This Row],[End Date and Time]]-TblTimeSheet[[#This Row],[Start Date and Time]])</f>
        <v>0.50000000005820766</v>
      </c>
      <c r="M6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56">
        <f>--(0&gt;(TblTimeSheet[[#This Row],[End Date and Time]]-TblTimeSheet[[#This Row],[Start Date and Time]]))</f>
        <v>0</v>
      </c>
    </row>
    <row r="657" spans="1:14" x14ac:dyDescent="0.25">
      <c r="A657" s="1"/>
      <c r="B657" s="2" t="s">
        <v>699</v>
      </c>
      <c r="C657" s="2" t="s">
        <v>171</v>
      </c>
      <c r="D657" s="2" t="s">
        <v>35</v>
      </c>
      <c r="E657" s="7" t="s">
        <v>1755</v>
      </c>
      <c r="F657" s="37">
        <v>42359.416666666664</v>
      </c>
      <c r="G657" s="37">
        <v>42359.4375</v>
      </c>
      <c r="H657" s="1" t="s">
        <v>6</v>
      </c>
      <c r="I657" s="1" t="s">
        <v>38</v>
      </c>
      <c r="J657" s="1">
        <v>42366.639722222222</v>
      </c>
      <c r="K657" s="1" t="s">
        <v>171</v>
      </c>
      <c r="L657" s="14">
        <f>24*(TblTimeSheet[[#This Row],[End Date and Time]]-TblTimeSheet[[#This Row],[Start Date and Time]])</f>
        <v>0.50000000005820766</v>
      </c>
      <c r="M6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7">
        <f>--(0&gt;(TblTimeSheet[[#This Row],[End Date and Time]]-TblTimeSheet[[#This Row],[Start Date and Time]]))</f>
        <v>0</v>
      </c>
    </row>
    <row r="658" spans="1:14" x14ac:dyDescent="0.25">
      <c r="A658" s="1"/>
      <c r="B658" s="2" t="s">
        <v>699</v>
      </c>
      <c r="C658" s="2" t="s">
        <v>41</v>
      </c>
      <c r="D658" s="2" t="s">
        <v>35</v>
      </c>
      <c r="E658" s="7" t="s">
        <v>1092</v>
      </c>
      <c r="F658" s="37">
        <v>42359.416666666664</v>
      </c>
      <c r="G658" s="37">
        <v>42359.4375</v>
      </c>
      <c r="H658" s="1" t="s">
        <v>6</v>
      </c>
      <c r="I658" s="1" t="s">
        <v>38</v>
      </c>
      <c r="J658" s="1">
        <v>42366.640636574077</v>
      </c>
      <c r="K658" s="1" t="s">
        <v>41</v>
      </c>
      <c r="L658" s="14">
        <f>24*(TblTimeSheet[[#This Row],[End Date and Time]]-TblTimeSheet[[#This Row],[Start Date and Time]])</f>
        <v>0.50000000005820766</v>
      </c>
      <c r="M6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8">
        <f>--(0&gt;(TblTimeSheet[[#This Row],[End Date and Time]]-TblTimeSheet[[#This Row],[Start Date and Time]]))</f>
        <v>0</v>
      </c>
    </row>
    <row r="659" spans="1:14" x14ac:dyDescent="0.25">
      <c r="A659" s="1"/>
      <c r="B659" s="2" t="s">
        <v>699</v>
      </c>
      <c r="C659" s="2" t="s">
        <v>176</v>
      </c>
      <c r="D659" s="2" t="s">
        <v>35</v>
      </c>
      <c r="E659" s="7" t="s">
        <v>1756</v>
      </c>
      <c r="F659" s="37">
        <v>42359.416666666664</v>
      </c>
      <c r="G659" s="37">
        <v>42359.4375</v>
      </c>
      <c r="H659" s="1" t="s">
        <v>6</v>
      </c>
      <c r="I659" s="1" t="s">
        <v>38</v>
      </c>
      <c r="J659" s="1">
        <v>42366.64130787037</v>
      </c>
      <c r="K659" s="1" t="s">
        <v>176</v>
      </c>
      <c r="L659" s="14">
        <f>24*(TblTimeSheet[[#This Row],[End Date and Time]]-TblTimeSheet[[#This Row],[Start Date and Time]])</f>
        <v>0.50000000005820766</v>
      </c>
      <c r="M6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59">
        <f>--(0&gt;(TblTimeSheet[[#This Row],[End Date and Time]]-TblTimeSheet[[#This Row],[Start Date and Time]]))</f>
        <v>0</v>
      </c>
    </row>
    <row r="660" spans="1:14" x14ac:dyDescent="0.25">
      <c r="A660" s="1"/>
      <c r="B660" s="2" t="s">
        <v>699</v>
      </c>
      <c r="C660" s="2" t="s">
        <v>116</v>
      </c>
      <c r="D660" s="2" t="s">
        <v>35</v>
      </c>
      <c r="E660" s="7" t="s">
        <v>1092</v>
      </c>
      <c r="F660" s="37">
        <v>42359.416666666664</v>
      </c>
      <c r="G660" s="37">
        <v>42359.4375</v>
      </c>
      <c r="H660" s="1" t="s">
        <v>6</v>
      </c>
      <c r="I660" s="1" t="s">
        <v>38</v>
      </c>
      <c r="J660" s="1">
        <v>42366.649212962962</v>
      </c>
      <c r="K660" s="1" t="s">
        <v>701</v>
      </c>
      <c r="L660" s="14">
        <f>24*(TblTimeSheet[[#This Row],[End Date and Time]]-TblTimeSheet[[#This Row],[Start Date and Time]])</f>
        <v>0.50000000005820766</v>
      </c>
      <c r="M6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0">
        <f>--(0&gt;(TblTimeSheet[[#This Row],[End Date and Time]]-TblTimeSheet[[#This Row],[Start Date and Time]]))</f>
        <v>0</v>
      </c>
    </row>
    <row r="661" spans="1:14" x14ac:dyDescent="0.25">
      <c r="A661" s="1"/>
      <c r="B661" s="2" t="s">
        <v>699</v>
      </c>
      <c r="C661" s="2" t="s">
        <v>116</v>
      </c>
      <c r="D661" s="2" t="s">
        <v>35</v>
      </c>
      <c r="E661" s="7" t="s">
        <v>1757</v>
      </c>
      <c r="F661" s="37">
        <v>42359.791666666664</v>
      </c>
      <c r="G661" s="37">
        <v>42359.833333333336</v>
      </c>
      <c r="H661" s="1" t="s">
        <v>6</v>
      </c>
      <c r="I661" s="1" t="s">
        <v>38</v>
      </c>
      <c r="J661" s="1">
        <v>42366.675219907411</v>
      </c>
      <c r="K661" s="1" t="s">
        <v>81</v>
      </c>
      <c r="L661" s="14">
        <f>24*(TblTimeSheet[[#This Row],[End Date and Time]]-TblTimeSheet[[#This Row],[Start Date and Time]])</f>
        <v>1.0000000001164153</v>
      </c>
      <c r="M6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1">
        <f>--(0&gt;(TblTimeSheet[[#This Row],[End Date and Time]]-TblTimeSheet[[#This Row],[Start Date and Time]]))</f>
        <v>0</v>
      </c>
    </row>
    <row r="662" spans="1:14" ht="30" x14ac:dyDescent="0.25">
      <c r="A662" s="1"/>
      <c r="B662" s="2" t="s">
        <v>909</v>
      </c>
      <c r="C662" s="2" t="s">
        <v>41</v>
      </c>
      <c r="D662" s="2" t="s">
        <v>19</v>
      </c>
      <c r="E662" s="7" t="s">
        <v>1758</v>
      </c>
      <c r="F662" s="37">
        <v>42370.625</v>
      </c>
      <c r="G662" s="37">
        <v>42370.65625</v>
      </c>
      <c r="H662" s="1" t="s">
        <v>6</v>
      </c>
      <c r="I662" s="1" t="s">
        <v>38</v>
      </c>
      <c r="J662" s="1">
        <v>42371.540613425925</v>
      </c>
      <c r="K662" s="1" t="s">
        <v>41</v>
      </c>
      <c r="L662" s="14">
        <f>24*(TblTimeSheet[[#This Row],[End Date and Time]]-TblTimeSheet[[#This Row],[Start Date and Time]])</f>
        <v>0.75</v>
      </c>
      <c r="M6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2">
        <f>--(0&gt;(TblTimeSheet[[#This Row],[End Date and Time]]-TblTimeSheet[[#This Row],[Start Date and Time]]))</f>
        <v>0</v>
      </c>
    </row>
    <row r="663" spans="1:14" ht="30" x14ac:dyDescent="0.25">
      <c r="A663" s="1"/>
      <c r="B663" s="2" t="s">
        <v>909</v>
      </c>
      <c r="C663" s="2" t="s">
        <v>116</v>
      </c>
      <c r="D663" s="2" t="s">
        <v>19</v>
      </c>
      <c r="E663" s="7" t="s">
        <v>1759</v>
      </c>
      <c r="F663" s="37">
        <v>42370.625</v>
      </c>
      <c r="G663" s="37">
        <v>42370.65625</v>
      </c>
      <c r="H663" s="1" t="s">
        <v>6</v>
      </c>
      <c r="I663" s="1" t="s">
        <v>38</v>
      </c>
      <c r="J663" s="1">
        <v>42371.547268518516</v>
      </c>
      <c r="K663" s="1" t="s">
        <v>39</v>
      </c>
      <c r="L663" s="14">
        <f>24*(TblTimeSheet[[#This Row],[End Date and Time]]-TblTimeSheet[[#This Row],[Start Date and Time]])</f>
        <v>0.75</v>
      </c>
      <c r="M6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63">
        <f>--(0&gt;(TblTimeSheet[[#This Row],[End Date and Time]]-TblTimeSheet[[#This Row],[Start Date and Time]]))</f>
        <v>0</v>
      </c>
    </row>
    <row r="664" spans="1:14" ht="30" x14ac:dyDescent="0.25">
      <c r="A664" s="1"/>
      <c r="B664" s="2" t="s">
        <v>909</v>
      </c>
      <c r="C664" s="2" t="s">
        <v>116</v>
      </c>
      <c r="D664" s="2" t="s">
        <v>19</v>
      </c>
      <c r="E664" s="7" t="s">
        <v>1760</v>
      </c>
      <c r="F664" s="37">
        <v>42370.625</v>
      </c>
      <c r="G664" s="37">
        <v>42370.65625</v>
      </c>
      <c r="H664" s="1" t="s">
        <v>6</v>
      </c>
      <c r="I664" s="1" t="s">
        <v>38</v>
      </c>
      <c r="J664" s="1">
        <v>42371.55228009259</v>
      </c>
      <c r="K664" s="1" t="s">
        <v>701</v>
      </c>
      <c r="L664" s="14">
        <f>24*(TblTimeSheet[[#This Row],[End Date and Time]]-TblTimeSheet[[#This Row],[Start Date and Time]])</f>
        <v>0.75</v>
      </c>
      <c r="M6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64">
        <f>--(0&gt;(TblTimeSheet[[#This Row],[End Date and Time]]-TblTimeSheet[[#This Row],[Start Date and Time]]))</f>
        <v>0</v>
      </c>
    </row>
    <row r="665" spans="1:14" ht="30" x14ac:dyDescent="0.25">
      <c r="A665" s="1"/>
      <c r="B665" s="2" t="s">
        <v>909</v>
      </c>
      <c r="C665" s="2" t="s">
        <v>961</v>
      </c>
      <c r="D665" s="2" t="s">
        <v>19</v>
      </c>
      <c r="E665" s="7" t="s">
        <v>1761</v>
      </c>
      <c r="F665" s="37">
        <v>42370.625</v>
      </c>
      <c r="G665" s="37">
        <v>42370.65625</v>
      </c>
      <c r="H665" s="1" t="s">
        <v>6</v>
      </c>
      <c r="I665" s="1" t="s">
        <v>38</v>
      </c>
      <c r="J665" s="1">
        <v>42371.602939814817</v>
      </c>
      <c r="K665" s="1" t="s">
        <v>961</v>
      </c>
      <c r="L665" s="14">
        <f>24*(TblTimeSheet[[#This Row],[End Date and Time]]-TblTimeSheet[[#This Row],[Start Date and Time]])</f>
        <v>0.75</v>
      </c>
      <c r="M6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5">
        <f>--(0&gt;(TblTimeSheet[[#This Row],[End Date and Time]]-TblTimeSheet[[#This Row],[Start Date and Time]]))</f>
        <v>0</v>
      </c>
    </row>
    <row r="666" spans="1:14" x14ac:dyDescent="0.25">
      <c r="A666" s="1"/>
      <c r="B666" s="2" t="s">
        <v>909</v>
      </c>
      <c r="C666" s="2" t="s">
        <v>116</v>
      </c>
      <c r="D666" s="2" t="s">
        <v>19</v>
      </c>
      <c r="E666" s="7" t="s">
        <v>1093</v>
      </c>
      <c r="F666" s="37">
        <v>42370.625</v>
      </c>
      <c r="G666" s="37">
        <v>42370.645833333336</v>
      </c>
      <c r="H666" s="1" t="s">
        <v>6</v>
      </c>
      <c r="I666" s="1" t="s">
        <v>38</v>
      </c>
      <c r="J666" s="1">
        <v>42371.677870370368</v>
      </c>
      <c r="K666" s="1" t="s">
        <v>81</v>
      </c>
      <c r="L666" s="14">
        <f>24*(TblTimeSheet[[#This Row],[End Date and Time]]-TblTimeSheet[[#This Row],[Start Date and Time]])</f>
        <v>0.50000000005820766</v>
      </c>
      <c r="M6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66">
        <f>--(0&gt;(TblTimeSheet[[#This Row],[End Date and Time]]-TblTimeSheet[[#This Row],[Start Date and Time]]))</f>
        <v>0</v>
      </c>
    </row>
    <row r="667" spans="1:14" x14ac:dyDescent="0.25">
      <c r="A667" s="1"/>
      <c r="B667" s="2" t="s">
        <v>909</v>
      </c>
      <c r="C667" s="2" t="s">
        <v>43</v>
      </c>
      <c r="D667" s="2" t="s">
        <v>19</v>
      </c>
      <c r="E667" s="7" t="s">
        <v>1094</v>
      </c>
      <c r="F667" s="37">
        <v>42370.625</v>
      </c>
      <c r="G667" s="37">
        <v>42370.65625</v>
      </c>
      <c r="H667" s="1" t="s">
        <v>6</v>
      </c>
      <c r="I667" s="1" t="s">
        <v>38</v>
      </c>
      <c r="J667" s="1">
        <v>42371.680069444446</v>
      </c>
      <c r="K667" s="1" t="s">
        <v>43</v>
      </c>
      <c r="L667" s="14">
        <f>24*(TblTimeSheet[[#This Row],[End Date and Time]]-TblTimeSheet[[#This Row],[Start Date and Time]])</f>
        <v>0.75</v>
      </c>
      <c r="M6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7">
        <f>--(0&gt;(TblTimeSheet[[#This Row],[End Date and Time]]-TblTimeSheet[[#This Row],[Start Date and Time]]))</f>
        <v>0</v>
      </c>
    </row>
    <row r="668" spans="1:14" x14ac:dyDescent="0.25">
      <c r="A668" s="1"/>
      <c r="B668" s="2" t="s">
        <v>909</v>
      </c>
      <c r="C668" s="2" t="s">
        <v>36</v>
      </c>
      <c r="D668" s="2" t="s">
        <v>19</v>
      </c>
      <c r="E668" s="7" t="s">
        <v>1762</v>
      </c>
      <c r="F668" s="37">
        <v>42370.625</v>
      </c>
      <c r="G668" s="37">
        <v>42370.65625</v>
      </c>
      <c r="H668" s="1" t="s">
        <v>6</v>
      </c>
      <c r="I668" s="1" t="s">
        <v>38</v>
      </c>
      <c r="J668" s="1">
        <v>42371.775173611109</v>
      </c>
      <c r="K668" s="1" t="s">
        <v>36</v>
      </c>
      <c r="L668" s="14">
        <f>24*(TblTimeSheet[[#This Row],[End Date and Time]]-TblTimeSheet[[#This Row],[Start Date and Time]])</f>
        <v>0.75</v>
      </c>
      <c r="M6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8">
        <f>--(0&gt;(TblTimeSheet[[#This Row],[End Date and Time]]-TblTimeSheet[[#This Row],[Start Date and Time]]))</f>
        <v>0</v>
      </c>
    </row>
    <row r="669" spans="1:14" x14ac:dyDescent="0.25">
      <c r="A669" s="1"/>
      <c r="B669" s="2" t="s">
        <v>909</v>
      </c>
      <c r="C669" s="2" t="s">
        <v>961</v>
      </c>
      <c r="D669" s="2" t="s">
        <v>19</v>
      </c>
      <c r="E669" s="7" t="s">
        <v>1763</v>
      </c>
      <c r="F669" s="37">
        <v>42371.479166666664</v>
      </c>
      <c r="G669" s="37">
        <v>42371.541666666664</v>
      </c>
      <c r="H669" s="1" t="s">
        <v>6</v>
      </c>
      <c r="I669" s="1" t="s">
        <v>38</v>
      </c>
      <c r="J669" s="1">
        <v>42374.620358796295</v>
      </c>
      <c r="K669" s="1" t="s">
        <v>961</v>
      </c>
      <c r="L669" s="14">
        <f>24*(TblTimeSheet[[#This Row],[End Date and Time]]-TblTimeSheet[[#This Row],[Start Date and Time]])</f>
        <v>1.5</v>
      </c>
      <c r="M6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69">
        <f>--(0&gt;(TblTimeSheet[[#This Row],[End Date and Time]]-TblTimeSheet[[#This Row],[Start Date and Time]]))</f>
        <v>0</v>
      </c>
    </row>
    <row r="670" spans="1:14" ht="30" x14ac:dyDescent="0.25">
      <c r="A670" s="1"/>
      <c r="B670" s="2" t="s">
        <v>909</v>
      </c>
      <c r="C670" s="2" t="s">
        <v>961</v>
      </c>
      <c r="D670" s="2" t="s">
        <v>19</v>
      </c>
      <c r="E670" s="7" t="s">
        <v>1095</v>
      </c>
      <c r="F670" s="37">
        <v>42373.416666666664</v>
      </c>
      <c r="G670" s="37">
        <v>42373.5625</v>
      </c>
      <c r="H670" s="1" t="s">
        <v>6</v>
      </c>
      <c r="I670" s="1" t="s">
        <v>38</v>
      </c>
      <c r="J670" s="1">
        <v>42374.380995370368</v>
      </c>
      <c r="K670" s="1" t="s">
        <v>961</v>
      </c>
      <c r="L670" s="14">
        <f>24*(TblTimeSheet[[#This Row],[End Date and Time]]-TblTimeSheet[[#This Row],[Start Date and Time]])</f>
        <v>3.5000000000582077</v>
      </c>
      <c r="M6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0">
        <f>--(0&gt;(TblTimeSheet[[#This Row],[End Date and Time]]-TblTimeSheet[[#This Row],[Start Date and Time]]))</f>
        <v>0</v>
      </c>
    </row>
    <row r="671" spans="1:14" ht="30" x14ac:dyDescent="0.25">
      <c r="A671" s="1"/>
      <c r="B671" s="2" t="s">
        <v>909</v>
      </c>
      <c r="C671" s="2" t="s">
        <v>116</v>
      </c>
      <c r="D671" s="2" t="s">
        <v>19</v>
      </c>
      <c r="E671" s="7" t="s">
        <v>1764</v>
      </c>
      <c r="F671" s="37">
        <v>42373.416666666664</v>
      </c>
      <c r="G671" s="37">
        <v>42373.5625</v>
      </c>
      <c r="H671" s="1" t="s">
        <v>6</v>
      </c>
      <c r="I671" s="1" t="s">
        <v>38</v>
      </c>
      <c r="J671" s="1">
        <v>42374.612523148149</v>
      </c>
      <c r="K671" s="1" t="s">
        <v>701</v>
      </c>
      <c r="L671" s="14">
        <f>24*(TblTimeSheet[[#This Row],[End Date and Time]]-TblTimeSheet[[#This Row],[Start Date and Time]])</f>
        <v>3.5000000000582077</v>
      </c>
      <c r="M6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1">
        <f>--(0&gt;(TblTimeSheet[[#This Row],[End Date and Time]]-TblTimeSheet[[#This Row],[Start Date and Time]]))</f>
        <v>0</v>
      </c>
    </row>
    <row r="672" spans="1:14" x14ac:dyDescent="0.25">
      <c r="A672" s="1"/>
      <c r="B672" s="2" t="s">
        <v>909</v>
      </c>
      <c r="C672" s="2" t="s">
        <v>118</v>
      </c>
      <c r="D672" s="2" t="s">
        <v>19</v>
      </c>
      <c r="E672" s="7" t="s">
        <v>1096</v>
      </c>
      <c r="F672" s="37">
        <v>42374.583333333336</v>
      </c>
      <c r="G672" s="37">
        <v>42374.684027777781</v>
      </c>
      <c r="H672" s="1" t="s">
        <v>6</v>
      </c>
      <c r="I672" s="1" t="s">
        <v>38</v>
      </c>
      <c r="J672" s="1">
        <v>42374.683113425926</v>
      </c>
      <c r="K672" s="1" t="s">
        <v>118</v>
      </c>
      <c r="L672" s="14">
        <f>24*(TblTimeSheet[[#This Row],[End Date and Time]]-TblTimeSheet[[#This Row],[Start Date and Time]])</f>
        <v>2.4166666666860692</v>
      </c>
      <c r="M6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2">
        <f>--(0&gt;(TblTimeSheet[[#This Row],[End Date and Time]]-TblTimeSheet[[#This Row],[Start Date and Time]]))</f>
        <v>0</v>
      </c>
    </row>
    <row r="673" spans="1:14" x14ac:dyDescent="0.25">
      <c r="A673" s="1"/>
      <c r="B673" s="2" t="s">
        <v>909</v>
      </c>
      <c r="C673" s="2" t="s">
        <v>961</v>
      </c>
      <c r="D673" s="2" t="s">
        <v>19</v>
      </c>
      <c r="E673" s="7" t="s">
        <v>1097</v>
      </c>
      <c r="F673" s="37">
        <v>42374.583333333336</v>
      </c>
      <c r="G673" s="37">
        <v>42374.684027777781</v>
      </c>
      <c r="H673" s="1" t="s">
        <v>6</v>
      </c>
      <c r="I673" s="1" t="s">
        <v>38</v>
      </c>
      <c r="J673" s="1">
        <v>42374.683865740742</v>
      </c>
      <c r="K673" s="1" t="s">
        <v>961</v>
      </c>
      <c r="L673" s="14">
        <f>24*(TblTimeSheet[[#This Row],[End Date and Time]]-TblTimeSheet[[#This Row],[Start Date and Time]])</f>
        <v>2.4166666666860692</v>
      </c>
      <c r="M6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3">
        <f>--(0&gt;(TblTimeSheet[[#This Row],[End Date and Time]]-TblTimeSheet[[#This Row],[Start Date and Time]]))</f>
        <v>0</v>
      </c>
    </row>
    <row r="674" spans="1:14" x14ac:dyDescent="0.25">
      <c r="A674" s="1"/>
      <c r="B674" s="2" t="s">
        <v>909</v>
      </c>
      <c r="C674" s="2" t="s">
        <v>116</v>
      </c>
      <c r="D674" s="2" t="s">
        <v>19</v>
      </c>
      <c r="E674" s="7" t="s">
        <v>1098</v>
      </c>
      <c r="F674" s="37">
        <v>42374.583333333336</v>
      </c>
      <c r="G674" s="37">
        <v>42374.684027777781</v>
      </c>
      <c r="H674" s="1" t="s">
        <v>6</v>
      </c>
      <c r="I674" s="1" t="s">
        <v>38</v>
      </c>
      <c r="J674" s="1">
        <v>42374.68472222222</v>
      </c>
      <c r="K674" s="1" t="s">
        <v>701</v>
      </c>
      <c r="L674" s="14">
        <f>24*(TblTimeSheet[[#This Row],[End Date and Time]]-TblTimeSheet[[#This Row],[Start Date and Time]])</f>
        <v>2.4166666666860692</v>
      </c>
      <c r="M6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4">
        <f>--(0&gt;(TblTimeSheet[[#This Row],[End Date and Time]]-TblTimeSheet[[#This Row],[Start Date and Time]]))</f>
        <v>0</v>
      </c>
    </row>
    <row r="675" spans="1:14" x14ac:dyDescent="0.25">
      <c r="A675" s="1"/>
      <c r="B675" s="2" t="s">
        <v>909</v>
      </c>
      <c r="C675" s="2" t="s">
        <v>41</v>
      </c>
      <c r="D675" s="2" t="s">
        <v>19</v>
      </c>
      <c r="E675" s="7" t="s">
        <v>1099</v>
      </c>
      <c r="F675" s="37">
        <v>42375.416666666664</v>
      </c>
      <c r="G675" s="37">
        <v>42375.458333333336</v>
      </c>
      <c r="H675" s="1" t="s">
        <v>6</v>
      </c>
      <c r="I675" s="1" t="s">
        <v>38</v>
      </c>
      <c r="J675" s="1">
        <v>42375.480914351851</v>
      </c>
      <c r="K675" s="1" t="s">
        <v>41</v>
      </c>
      <c r="L675" s="14">
        <f>24*(TblTimeSheet[[#This Row],[End Date and Time]]-TblTimeSheet[[#This Row],[Start Date and Time]])</f>
        <v>1.0000000001164153</v>
      </c>
      <c r="M6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5">
        <f>--(0&gt;(TblTimeSheet[[#This Row],[End Date and Time]]-TblTimeSheet[[#This Row],[Start Date and Time]]))</f>
        <v>0</v>
      </c>
    </row>
    <row r="676" spans="1:14" x14ac:dyDescent="0.25">
      <c r="A676" s="1"/>
      <c r="B676" s="2" t="s">
        <v>909</v>
      </c>
      <c r="C676" s="2" t="s">
        <v>116</v>
      </c>
      <c r="D676" s="2" t="s">
        <v>19</v>
      </c>
      <c r="E676" s="7" t="s">
        <v>1100</v>
      </c>
      <c r="F676" s="37">
        <v>42375.416666666664</v>
      </c>
      <c r="G676" s="37">
        <v>42375.458333333336</v>
      </c>
      <c r="H676" s="1" t="s">
        <v>6</v>
      </c>
      <c r="I676" s="1" t="s">
        <v>38</v>
      </c>
      <c r="J676" s="1">
        <v>42375.491423611114</v>
      </c>
      <c r="K676" s="1" t="s">
        <v>701</v>
      </c>
      <c r="L676" s="14">
        <f>24*(TblTimeSheet[[#This Row],[End Date and Time]]-TblTimeSheet[[#This Row],[Start Date and Time]])</f>
        <v>1.0000000001164153</v>
      </c>
      <c r="M6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6">
        <f>--(0&gt;(TblTimeSheet[[#This Row],[End Date and Time]]-TblTimeSheet[[#This Row],[Start Date and Time]]))</f>
        <v>0</v>
      </c>
    </row>
    <row r="677" spans="1:14" x14ac:dyDescent="0.25">
      <c r="A677" s="1"/>
      <c r="B677" s="2" t="s">
        <v>909</v>
      </c>
      <c r="C677" s="2" t="s">
        <v>41</v>
      </c>
      <c r="D677" s="2" t="s">
        <v>19</v>
      </c>
      <c r="E677" s="7" t="s">
        <v>1101</v>
      </c>
      <c r="F677" s="37">
        <v>42375.479166666664</v>
      </c>
      <c r="G677" s="37">
        <v>42375.486111111109</v>
      </c>
      <c r="H677" s="1" t="s">
        <v>6</v>
      </c>
      <c r="I677" s="1" t="s">
        <v>38</v>
      </c>
      <c r="J677" s="1">
        <v>42375.504861111112</v>
      </c>
      <c r="K677" s="1" t="s">
        <v>41</v>
      </c>
      <c r="L677" s="14">
        <f>24*(TblTimeSheet[[#This Row],[End Date and Time]]-TblTimeSheet[[#This Row],[Start Date and Time]])</f>
        <v>0.16666666668606922</v>
      </c>
      <c r="M6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7">
        <f>--(0&gt;(TblTimeSheet[[#This Row],[End Date and Time]]-TblTimeSheet[[#This Row],[Start Date and Time]]))</f>
        <v>0</v>
      </c>
    </row>
    <row r="678" spans="1:14" x14ac:dyDescent="0.25">
      <c r="A678" s="1"/>
      <c r="B678" s="2" t="s">
        <v>909</v>
      </c>
      <c r="C678" s="2" t="s">
        <v>41</v>
      </c>
      <c r="D678" s="2" t="s">
        <v>19</v>
      </c>
      <c r="E678" s="7" t="s">
        <v>1102</v>
      </c>
      <c r="F678" s="37">
        <v>42375.583333333336</v>
      </c>
      <c r="G678" s="37">
        <v>42375.600694444445</v>
      </c>
      <c r="H678" s="1" t="s">
        <v>6</v>
      </c>
      <c r="I678" s="1" t="s">
        <v>38</v>
      </c>
      <c r="J678" s="1">
        <v>42375.680381944447</v>
      </c>
      <c r="K678" s="1" t="s">
        <v>41</v>
      </c>
      <c r="L678" s="14">
        <f>24*(TblTimeSheet[[#This Row],[End Date and Time]]-TblTimeSheet[[#This Row],[Start Date and Time]])</f>
        <v>0.41666666662786156</v>
      </c>
      <c r="M6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8">
        <f>--(0&gt;(TblTimeSheet[[#This Row],[End Date and Time]]-TblTimeSheet[[#This Row],[Start Date and Time]]))</f>
        <v>0</v>
      </c>
    </row>
    <row r="679" spans="1:14" ht="30" x14ac:dyDescent="0.25">
      <c r="A679" s="1"/>
      <c r="B679" s="2" t="s">
        <v>909</v>
      </c>
      <c r="C679" s="2" t="s">
        <v>116</v>
      </c>
      <c r="D679" s="2" t="s">
        <v>19</v>
      </c>
      <c r="E679" s="7" t="s">
        <v>1765</v>
      </c>
      <c r="F679" s="37">
        <v>42375.46875</v>
      </c>
      <c r="G679" s="37">
        <v>42375.479166666664</v>
      </c>
      <c r="H679" s="1" t="s">
        <v>6</v>
      </c>
      <c r="I679" s="1" t="s">
        <v>38</v>
      </c>
      <c r="J679" s="1">
        <v>42375.619398148148</v>
      </c>
      <c r="K679" s="1" t="s">
        <v>701</v>
      </c>
      <c r="L679" s="14">
        <f>24*(TblTimeSheet[[#This Row],[End Date and Time]]-TblTimeSheet[[#This Row],[Start Date and Time]])</f>
        <v>0.24999999994179234</v>
      </c>
      <c r="M6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79">
        <f>--(0&gt;(TblTimeSheet[[#This Row],[End Date and Time]]-TblTimeSheet[[#This Row],[Start Date and Time]]))</f>
        <v>0</v>
      </c>
    </row>
    <row r="680" spans="1:14" ht="30" x14ac:dyDescent="0.25">
      <c r="A680" s="1"/>
      <c r="B680" s="2" t="s">
        <v>909</v>
      </c>
      <c r="C680" s="2" t="s">
        <v>116</v>
      </c>
      <c r="D680" s="2" t="s">
        <v>19</v>
      </c>
      <c r="E680" s="7" t="s">
        <v>1766</v>
      </c>
      <c r="F680" s="37">
        <v>42375.604166666664</v>
      </c>
      <c r="G680" s="37">
        <v>42375.611111111109</v>
      </c>
      <c r="H680" s="1" t="s">
        <v>6</v>
      </c>
      <c r="I680" s="1" t="s">
        <v>38</v>
      </c>
      <c r="J680" s="1">
        <v>42375.621689814812</v>
      </c>
      <c r="K680" s="1" t="s">
        <v>701</v>
      </c>
      <c r="L680" s="14">
        <f>24*(TblTimeSheet[[#This Row],[End Date and Time]]-TblTimeSheet[[#This Row],[Start Date and Time]])</f>
        <v>0.16666666668606922</v>
      </c>
      <c r="M6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0">
        <f>--(0&gt;(TblTimeSheet[[#This Row],[End Date and Time]]-TblTimeSheet[[#This Row],[Start Date and Time]]))</f>
        <v>0</v>
      </c>
    </row>
    <row r="681" spans="1:14" ht="30" x14ac:dyDescent="0.25">
      <c r="A681" s="1"/>
      <c r="B681" s="2" t="s">
        <v>909</v>
      </c>
      <c r="C681" s="2" t="s">
        <v>961</v>
      </c>
      <c r="D681" s="2" t="s">
        <v>19</v>
      </c>
      <c r="E681" s="7" t="s">
        <v>1767</v>
      </c>
      <c r="F681" s="37">
        <v>42375.604166666664</v>
      </c>
      <c r="G681" s="37">
        <v>42375.611111111109</v>
      </c>
      <c r="H681" s="1" t="s">
        <v>6</v>
      </c>
      <c r="I681" s="1" t="s">
        <v>38</v>
      </c>
      <c r="J681" s="1">
        <v>42375.623078703706</v>
      </c>
      <c r="K681" s="1" t="s">
        <v>961</v>
      </c>
      <c r="L681" s="14">
        <f>24*(TblTimeSheet[[#This Row],[End Date and Time]]-TblTimeSheet[[#This Row],[Start Date and Time]])</f>
        <v>0.16666666668606922</v>
      </c>
      <c r="M6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1">
        <f>--(0&gt;(TblTimeSheet[[#This Row],[End Date and Time]]-TblTimeSheet[[#This Row],[Start Date and Time]]))</f>
        <v>0</v>
      </c>
    </row>
    <row r="682" spans="1:14" x14ac:dyDescent="0.25">
      <c r="A682" s="1"/>
      <c r="B682" s="2" t="s">
        <v>909</v>
      </c>
      <c r="C682" s="2" t="s">
        <v>116</v>
      </c>
      <c r="D682" s="2" t="s">
        <v>19</v>
      </c>
      <c r="E682" s="7" t="s">
        <v>1103</v>
      </c>
      <c r="F682" s="37">
        <v>42375.625</v>
      </c>
      <c r="G682" s="37">
        <v>42375.673611111109</v>
      </c>
      <c r="H682" s="1" t="s">
        <v>6</v>
      </c>
      <c r="I682" s="1" t="s">
        <v>38</v>
      </c>
      <c r="J682" s="1">
        <v>42375.677291666667</v>
      </c>
      <c r="K682" s="1" t="s">
        <v>701</v>
      </c>
      <c r="L682" s="14">
        <f>24*(TblTimeSheet[[#This Row],[End Date and Time]]-TblTimeSheet[[#This Row],[Start Date and Time]])</f>
        <v>1.1666666666278616</v>
      </c>
      <c r="M6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2">
        <f>--(0&gt;(TblTimeSheet[[#This Row],[End Date and Time]]-TblTimeSheet[[#This Row],[Start Date and Time]]))</f>
        <v>0</v>
      </c>
    </row>
    <row r="683" spans="1:14" x14ac:dyDescent="0.25">
      <c r="A683" s="1"/>
      <c r="B683" s="2" t="s">
        <v>909</v>
      </c>
      <c r="C683" s="2" t="s">
        <v>961</v>
      </c>
      <c r="D683" s="2" t="s">
        <v>19</v>
      </c>
      <c r="E683" s="7" t="s">
        <v>1768</v>
      </c>
      <c r="F683" s="37">
        <v>42375.625</v>
      </c>
      <c r="G683" s="37">
        <v>42375.673611111109</v>
      </c>
      <c r="H683" s="1" t="s">
        <v>6</v>
      </c>
      <c r="I683" s="1" t="s">
        <v>38</v>
      </c>
      <c r="J683" s="1">
        <v>42375.680937500001</v>
      </c>
      <c r="K683" s="1" t="s">
        <v>961</v>
      </c>
      <c r="L683" s="14">
        <f>24*(TblTimeSheet[[#This Row],[End Date and Time]]-TblTimeSheet[[#This Row],[Start Date and Time]])</f>
        <v>1.1666666666278616</v>
      </c>
      <c r="M6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3">
        <f>--(0&gt;(TblTimeSheet[[#This Row],[End Date and Time]]-TblTimeSheet[[#This Row],[Start Date and Time]]))</f>
        <v>0</v>
      </c>
    </row>
    <row r="684" spans="1:14" x14ac:dyDescent="0.25">
      <c r="A684" s="1"/>
      <c r="B684" s="2" t="s">
        <v>909</v>
      </c>
      <c r="C684" s="2" t="s">
        <v>41</v>
      </c>
      <c r="D684" s="2" t="s">
        <v>19</v>
      </c>
      <c r="E684" s="7" t="s">
        <v>1769</v>
      </c>
      <c r="F684" s="37">
        <v>42375.6875</v>
      </c>
      <c r="G684" s="37">
        <v>42375.708333333336</v>
      </c>
      <c r="H684" s="1" t="s">
        <v>6</v>
      </c>
      <c r="I684" s="1" t="s">
        <v>38</v>
      </c>
      <c r="J684" s="1">
        <v>42376.410324074073</v>
      </c>
      <c r="K684" s="1" t="s">
        <v>41</v>
      </c>
      <c r="L684" s="14">
        <f>24*(TblTimeSheet[[#This Row],[End Date and Time]]-TblTimeSheet[[#This Row],[Start Date and Time]])</f>
        <v>0.50000000005820766</v>
      </c>
      <c r="M6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4">
        <f>--(0&gt;(TblTimeSheet[[#This Row],[End Date and Time]]-TblTimeSheet[[#This Row],[Start Date and Time]]))</f>
        <v>0</v>
      </c>
    </row>
    <row r="685" spans="1:14" x14ac:dyDescent="0.25">
      <c r="A685" s="1"/>
      <c r="B685" s="2" t="s">
        <v>909</v>
      </c>
      <c r="C685" s="2" t="s">
        <v>118</v>
      </c>
      <c r="D685" s="2" t="s">
        <v>19</v>
      </c>
      <c r="E685" s="7" t="s">
        <v>1104</v>
      </c>
      <c r="F685" s="37">
        <v>42375.625</v>
      </c>
      <c r="G685" s="37">
        <v>42375.673611111109</v>
      </c>
      <c r="H685" s="1" t="s">
        <v>6</v>
      </c>
      <c r="I685" s="1" t="s">
        <v>38</v>
      </c>
      <c r="J685" s="1">
        <v>42376.412881944445</v>
      </c>
      <c r="K685" s="1" t="s">
        <v>118</v>
      </c>
      <c r="L685" s="14">
        <f>24*(TblTimeSheet[[#This Row],[End Date and Time]]-TblTimeSheet[[#This Row],[Start Date and Time]])</f>
        <v>1.1666666666278616</v>
      </c>
      <c r="M6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5">
        <f>--(0&gt;(TblTimeSheet[[#This Row],[End Date and Time]]-TblTimeSheet[[#This Row],[Start Date and Time]]))</f>
        <v>0</v>
      </c>
    </row>
    <row r="686" spans="1:14" x14ac:dyDescent="0.25">
      <c r="A686" s="1"/>
      <c r="B686" s="2" t="s">
        <v>909</v>
      </c>
      <c r="C686" s="2" t="s">
        <v>1105</v>
      </c>
      <c r="D686" s="2" t="s">
        <v>19</v>
      </c>
      <c r="E686" s="7" t="s">
        <v>1106</v>
      </c>
      <c r="F686" s="37">
        <v>42376.46875</v>
      </c>
      <c r="G686" s="37">
        <v>42376.5625</v>
      </c>
      <c r="H686" s="1" t="s">
        <v>6</v>
      </c>
      <c r="I686" s="1" t="s">
        <v>38</v>
      </c>
      <c r="J686" s="1">
        <v>42376.660370370373</v>
      </c>
      <c r="K686" s="1" t="s">
        <v>2864</v>
      </c>
      <c r="L686" s="14">
        <f>24*(TblTimeSheet[[#This Row],[End Date and Time]]-TblTimeSheet[[#This Row],[Start Date and Time]])</f>
        <v>2.25</v>
      </c>
      <c r="M6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6">
        <f>--(0&gt;(TblTimeSheet[[#This Row],[End Date and Time]]-TblTimeSheet[[#This Row],[Start Date and Time]]))</f>
        <v>0</v>
      </c>
    </row>
    <row r="687" spans="1:14" x14ac:dyDescent="0.25">
      <c r="A687" s="1"/>
      <c r="B687" s="2" t="s">
        <v>909</v>
      </c>
      <c r="C687" s="2" t="s">
        <v>41</v>
      </c>
      <c r="D687" s="2" t="s">
        <v>19</v>
      </c>
      <c r="E687" s="7" t="s">
        <v>1107</v>
      </c>
      <c r="F687" s="37">
        <v>42376.46875</v>
      </c>
      <c r="G687" s="37">
        <v>42376.5625</v>
      </c>
      <c r="H687" s="1" t="s">
        <v>6</v>
      </c>
      <c r="I687" s="1" t="s">
        <v>38</v>
      </c>
      <c r="J687" s="1">
        <v>42376.689791666664</v>
      </c>
      <c r="K687" s="1" t="s">
        <v>41</v>
      </c>
      <c r="L687" s="14">
        <f>24*(TblTimeSheet[[#This Row],[End Date and Time]]-TblTimeSheet[[#This Row],[Start Date and Time]])</f>
        <v>2.25</v>
      </c>
      <c r="M6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7">
        <f>--(0&gt;(TblTimeSheet[[#This Row],[End Date and Time]]-TblTimeSheet[[#This Row],[Start Date and Time]]))</f>
        <v>0</v>
      </c>
    </row>
    <row r="688" spans="1:14" x14ac:dyDescent="0.25">
      <c r="A688" s="1"/>
      <c r="B688" s="2" t="s">
        <v>909</v>
      </c>
      <c r="C688" s="2" t="s">
        <v>41</v>
      </c>
      <c r="D688" s="2" t="s">
        <v>19</v>
      </c>
      <c r="E688" s="7" t="s">
        <v>1108</v>
      </c>
      <c r="F688" s="37">
        <v>42376.666666666664</v>
      </c>
      <c r="G688" s="37">
        <v>42376.6875</v>
      </c>
      <c r="H688" s="1" t="s">
        <v>6</v>
      </c>
      <c r="I688" s="1" t="s">
        <v>38</v>
      </c>
      <c r="J688" s="1">
        <v>42376.694432870368</v>
      </c>
      <c r="K688" s="1" t="s">
        <v>41</v>
      </c>
      <c r="L688" s="14">
        <f>24*(TblTimeSheet[[#This Row],[End Date and Time]]-TblTimeSheet[[#This Row],[Start Date and Time]])</f>
        <v>0.50000000005820766</v>
      </c>
      <c r="M6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8">
        <f>--(0&gt;(TblTimeSheet[[#This Row],[End Date and Time]]-TblTimeSheet[[#This Row],[Start Date and Time]]))</f>
        <v>0</v>
      </c>
    </row>
    <row r="689" spans="1:14" x14ac:dyDescent="0.25">
      <c r="A689" s="1"/>
      <c r="B689" s="2" t="s">
        <v>909</v>
      </c>
      <c r="C689" s="2" t="s">
        <v>1105</v>
      </c>
      <c r="D689" s="2" t="s">
        <v>19</v>
      </c>
      <c r="E689" s="7" t="s">
        <v>1109</v>
      </c>
      <c r="F689" s="37">
        <v>42376.694444444445</v>
      </c>
      <c r="G689" s="37">
        <v>42376.697916666664</v>
      </c>
      <c r="H689" s="1" t="s">
        <v>6</v>
      </c>
      <c r="I689" s="1" t="s">
        <v>38</v>
      </c>
      <c r="J689" s="1">
        <v>42376.699212962965</v>
      </c>
      <c r="K689" s="1" t="s">
        <v>41</v>
      </c>
      <c r="L689" s="14">
        <f>24*(TblTimeSheet[[#This Row],[End Date and Time]]-TblTimeSheet[[#This Row],[Start Date and Time]])</f>
        <v>8.3333333255723119E-2</v>
      </c>
      <c r="M6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89">
        <f>--(0&gt;(TblTimeSheet[[#This Row],[End Date and Time]]-TblTimeSheet[[#This Row],[Start Date and Time]]))</f>
        <v>0</v>
      </c>
    </row>
    <row r="690" spans="1:14" x14ac:dyDescent="0.25">
      <c r="A690" s="1"/>
      <c r="B690" s="2" t="s">
        <v>909</v>
      </c>
      <c r="C690" s="2" t="s">
        <v>41</v>
      </c>
      <c r="D690" s="2" t="s">
        <v>19</v>
      </c>
      <c r="E690" s="7" t="s">
        <v>1110</v>
      </c>
      <c r="F690" s="37">
        <v>42376.708333333336</v>
      </c>
      <c r="G690" s="37">
        <v>42376.71875</v>
      </c>
      <c r="H690" s="1" t="s">
        <v>6</v>
      </c>
      <c r="I690" s="1" t="s">
        <v>38</v>
      </c>
      <c r="J690" s="1">
        <v>42376.73704861111</v>
      </c>
      <c r="K690" s="1" t="s">
        <v>41</v>
      </c>
      <c r="L690" s="14">
        <f>24*(TblTimeSheet[[#This Row],[End Date and Time]]-TblTimeSheet[[#This Row],[Start Date and Time]])</f>
        <v>0.24999999994179234</v>
      </c>
      <c r="M6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0">
        <f>--(0&gt;(TblTimeSheet[[#This Row],[End Date and Time]]-TblTimeSheet[[#This Row],[Start Date and Time]]))</f>
        <v>0</v>
      </c>
    </row>
    <row r="691" spans="1:14" x14ac:dyDescent="0.25">
      <c r="A691" s="1"/>
      <c r="B691" s="2" t="s">
        <v>110</v>
      </c>
      <c r="C691" s="2" t="s">
        <v>1105</v>
      </c>
      <c r="D691" s="2" t="s">
        <v>35</v>
      </c>
      <c r="E691" s="7" t="s">
        <v>1111</v>
      </c>
      <c r="F691" s="37">
        <v>42377.416666666664</v>
      </c>
      <c r="G691" s="37">
        <v>42377.430555555555</v>
      </c>
      <c r="H691" s="1" t="s">
        <v>6</v>
      </c>
      <c r="I691" s="1" t="s">
        <v>38</v>
      </c>
      <c r="J691" s="1">
        <v>42377.429386574076</v>
      </c>
      <c r="K691" s="1" t="s">
        <v>41</v>
      </c>
      <c r="L691" s="14">
        <f>24*(TblTimeSheet[[#This Row],[End Date and Time]]-TblTimeSheet[[#This Row],[Start Date and Time]])</f>
        <v>0.33333333337213844</v>
      </c>
      <c r="M6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1">
        <f>--(0&gt;(TblTimeSheet[[#This Row],[End Date and Time]]-TblTimeSheet[[#This Row],[Start Date and Time]]))</f>
        <v>0</v>
      </c>
    </row>
    <row r="692" spans="1:14" x14ac:dyDescent="0.25">
      <c r="A692" s="1"/>
      <c r="B692" s="2" t="s">
        <v>114</v>
      </c>
      <c r="C692" s="2" t="s">
        <v>1105</v>
      </c>
      <c r="D692" s="2" t="s">
        <v>35</v>
      </c>
      <c r="E692" s="7" t="s">
        <v>1112</v>
      </c>
      <c r="F692" s="37">
        <v>42378.381944444445</v>
      </c>
      <c r="G692" s="37">
        <v>42378.392361111109</v>
      </c>
      <c r="H692" s="1" t="s">
        <v>6</v>
      </c>
      <c r="I692" s="1" t="s">
        <v>38</v>
      </c>
      <c r="J692" s="1">
        <v>42378.406134259261</v>
      </c>
      <c r="K692" s="1" t="s">
        <v>2864</v>
      </c>
      <c r="L692" s="14">
        <f>24*(TblTimeSheet[[#This Row],[End Date and Time]]-TblTimeSheet[[#This Row],[Start Date and Time]])</f>
        <v>0.24999999994179234</v>
      </c>
      <c r="M6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2">
        <f>--(0&gt;(TblTimeSheet[[#This Row],[End Date and Time]]-TblTimeSheet[[#This Row],[Start Date and Time]]))</f>
        <v>0</v>
      </c>
    </row>
    <row r="693" spans="1:14" x14ac:dyDescent="0.25">
      <c r="A693" s="1"/>
      <c r="B693" s="2" t="s">
        <v>108</v>
      </c>
      <c r="C693" s="2" t="s">
        <v>1105</v>
      </c>
      <c r="D693" s="2" t="s">
        <v>35</v>
      </c>
      <c r="E693" s="7" t="s">
        <v>1113</v>
      </c>
      <c r="F693" s="37">
        <v>42378.392361111109</v>
      </c>
      <c r="G693" s="37">
        <v>42378.402777777781</v>
      </c>
      <c r="H693" s="1" t="s">
        <v>6</v>
      </c>
      <c r="I693" s="1" t="s">
        <v>38</v>
      </c>
      <c r="J693" s="1">
        <v>42378.406678240739</v>
      </c>
      <c r="K693" s="1" t="s">
        <v>2864</v>
      </c>
      <c r="L693" s="14">
        <f>24*(TblTimeSheet[[#This Row],[End Date and Time]]-TblTimeSheet[[#This Row],[Start Date and Time]])</f>
        <v>0.25000000011641532</v>
      </c>
      <c r="M6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3">
        <f>--(0&gt;(TblTimeSheet[[#This Row],[End Date and Time]]-TblTimeSheet[[#This Row],[Start Date and Time]]))</f>
        <v>0</v>
      </c>
    </row>
    <row r="694" spans="1:14" ht="30" x14ac:dyDescent="0.25">
      <c r="A694" s="1"/>
      <c r="B694" s="2" t="s">
        <v>114</v>
      </c>
      <c r="C694" s="2" t="s">
        <v>116</v>
      </c>
      <c r="D694" s="2" t="s">
        <v>35</v>
      </c>
      <c r="E694" s="7" t="s">
        <v>1770</v>
      </c>
      <c r="F694" s="37">
        <v>42377.583333333336</v>
      </c>
      <c r="G694" s="37">
        <v>42377.59375</v>
      </c>
      <c r="H694" s="1" t="s">
        <v>6</v>
      </c>
      <c r="I694" s="1" t="s">
        <v>38</v>
      </c>
      <c r="J694" s="1">
        <v>42378.484826388885</v>
      </c>
      <c r="K694" s="1" t="s">
        <v>701</v>
      </c>
      <c r="L694" s="14">
        <f>24*(TblTimeSheet[[#This Row],[End Date and Time]]-TblTimeSheet[[#This Row],[Start Date and Time]])</f>
        <v>0.24999999994179234</v>
      </c>
      <c r="M6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4">
        <f>--(0&gt;(TblTimeSheet[[#This Row],[End Date and Time]]-TblTimeSheet[[#This Row],[Start Date and Time]]))</f>
        <v>0</v>
      </c>
    </row>
    <row r="695" spans="1:14" ht="30" x14ac:dyDescent="0.25">
      <c r="A695" s="1"/>
      <c r="B695" s="2" t="s">
        <v>108</v>
      </c>
      <c r="C695" s="2" t="s">
        <v>116</v>
      </c>
      <c r="D695" s="2" t="s">
        <v>35</v>
      </c>
      <c r="E695" s="7" t="s">
        <v>1770</v>
      </c>
      <c r="F695" s="37">
        <v>42377.59375</v>
      </c>
      <c r="G695" s="37">
        <v>42377.604166666664</v>
      </c>
      <c r="H695" s="1" t="s">
        <v>6</v>
      </c>
      <c r="I695" s="1" t="s">
        <v>38</v>
      </c>
      <c r="J695" s="1">
        <v>42378.485092592593</v>
      </c>
      <c r="K695" s="1" t="s">
        <v>701</v>
      </c>
      <c r="L695" s="14">
        <f>24*(TblTimeSheet[[#This Row],[End Date and Time]]-TblTimeSheet[[#This Row],[Start Date and Time]])</f>
        <v>0.24999999994179234</v>
      </c>
      <c r="M6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5">
        <f>--(0&gt;(TblTimeSheet[[#This Row],[End Date and Time]]-TblTimeSheet[[#This Row],[Start Date and Time]]))</f>
        <v>0</v>
      </c>
    </row>
    <row r="696" spans="1:14" ht="45" x14ac:dyDescent="0.25">
      <c r="A696" s="1"/>
      <c r="B696" s="2" t="s">
        <v>909</v>
      </c>
      <c r="C696" s="2" t="s">
        <v>116</v>
      </c>
      <c r="D696" s="2" t="s">
        <v>20</v>
      </c>
      <c r="E696" s="7" t="s">
        <v>1771</v>
      </c>
      <c r="F696" s="37">
        <v>42378.489583333336</v>
      </c>
      <c r="G696" s="37">
        <v>42378.510416666664</v>
      </c>
      <c r="H696" s="1" t="s">
        <v>6</v>
      </c>
      <c r="I696" s="1" t="s">
        <v>38</v>
      </c>
      <c r="J696" s="1">
        <v>42378.515601851854</v>
      </c>
      <c r="K696" s="1" t="s">
        <v>701</v>
      </c>
      <c r="L696" s="14">
        <f>24*(TblTimeSheet[[#This Row],[End Date and Time]]-TblTimeSheet[[#This Row],[Start Date and Time]])</f>
        <v>0.49999999988358468</v>
      </c>
      <c r="M6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696">
        <f>--(0&gt;(TblTimeSheet[[#This Row],[End Date and Time]]-TblTimeSheet[[#This Row],[Start Date and Time]]))</f>
        <v>0</v>
      </c>
    </row>
    <row r="697" spans="1:14" ht="30" x14ac:dyDescent="0.25">
      <c r="A697" s="1"/>
      <c r="B697" s="2" t="s">
        <v>909</v>
      </c>
      <c r="C697" s="2" t="s">
        <v>118</v>
      </c>
      <c r="D697" s="2" t="s">
        <v>20</v>
      </c>
      <c r="E697" s="7" t="s">
        <v>1772</v>
      </c>
      <c r="F697" s="37">
        <v>42378.489583333336</v>
      </c>
      <c r="G697" s="37">
        <v>42378.510416666664</v>
      </c>
      <c r="H697" s="1" t="s">
        <v>6</v>
      </c>
      <c r="I697" s="1" t="s">
        <v>38</v>
      </c>
      <c r="J697" s="1">
        <v>42378.539652777778</v>
      </c>
      <c r="K697" s="1" t="s">
        <v>118</v>
      </c>
      <c r="L697" s="14">
        <f>24*(TblTimeSheet[[#This Row],[End Date and Time]]-TblTimeSheet[[#This Row],[Start Date and Time]])</f>
        <v>0.49999999988358468</v>
      </c>
      <c r="M6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7">
        <f>--(0&gt;(TblTimeSheet[[#This Row],[End Date and Time]]-TblTimeSheet[[#This Row],[Start Date and Time]]))</f>
        <v>0</v>
      </c>
    </row>
    <row r="698" spans="1:14" ht="30" x14ac:dyDescent="0.25">
      <c r="A698" s="1"/>
      <c r="B698" s="2" t="s">
        <v>909</v>
      </c>
      <c r="C698" s="2" t="s">
        <v>1105</v>
      </c>
      <c r="D698" s="2" t="s">
        <v>20</v>
      </c>
      <c r="E698" s="7" t="s">
        <v>1773</v>
      </c>
      <c r="F698" s="37">
        <v>42378.489583333336</v>
      </c>
      <c r="G698" s="37">
        <v>42378.510416666664</v>
      </c>
      <c r="H698" s="1" t="s">
        <v>6</v>
      </c>
      <c r="I698" s="1" t="s">
        <v>38</v>
      </c>
      <c r="J698" s="1">
        <v>42378.734467592592</v>
      </c>
      <c r="K698" s="1" t="s">
        <v>2864</v>
      </c>
      <c r="L698" s="14">
        <f>24*(TblTimeSheet[[#This Row],[End Date and Time]]-TblTimeSheet[[#This Row],[Start Date and Time]])</f>
        <v>0.49999999988358468</v>
      </c>
      <c r="M6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8">
        <f>--(0&gt;(TblTimeSheet[[#This Row],[End Date and Time]]-TblTimeSheet[[#This Row],[Start Date and Time]]))</f>
        <v>0</v>
      </c>
    </row>
    <row r="699" spans="1:14" ht="75" x14ac:dyDescent="0.25">
      <c r="A699" s="1"/>
      <c r="B699" s="2" t="s">
        <v>909</v>
      </c>
      <c r="C699" s="2" t="s">
        <v>961</v>
      </c>
      <c r="D699" s="2" t="s">
        <v>20</v>
      </c>
      <c r="E699" s="7" t="s">
        <v>1774</v>
      </c>
      <c r="F699" s="37">
        <v>42378.489583333336</v>
      </c>
      <c r="G699" s="37">
        <v>42378.510416666664</v>
      </c>
      <c r="H699" s="1" t="s">
        <v>6</v>
      </c>
      <c r="I699" s="1" t="s">
        <v>38</v>
      </c>
      <c r="J699" s="1">
        <v>42380.438506944447</v>
      </c>
      <c r="K699" s="1" t="s">
        <v>961</v>
      </c>
      <c r="L699" s="14">
        <f>24*(TblTimeSheet[[#This Row],[End Date and Time]]-TblTimeSheet[[#This Row],[Start Date and Time]])</f>
        <v>0.49999999988358468</v>
      </c>
      <c r="M6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699">
        <f>--(0&gt;(TblTimeSheet[[#This Row],[End Date and Time]]-TblTimeSheet[[#This Row],[Start Date and Time]]))</f>
        <v>0</v>
      </c>
    </row>
    <row r="700" spans="1:14" x14ac:dyDescent="0.25">
      <c r="A700" s="1"/>
      <c r="B700" s="2" t="s">
        <v>909</v>
      </c>
      <c r="C700" s="2" t="s">
        <v>961</v>
      </c>
      <c r="D700" s="2" t="s">
        <v>20</v>
      </c>
      <c r="E700" s="7" t="s">
        <v>1114</v>
      </c>
      <c r="F700" s="37">
        <v>42380.604166666664</v>
      </c>
      <c r="G700" s="37">
        <v>42380.6875</v>
      </c>
      <c r="H700" s="1" t="s">
        <v>6</v>
      </c>
      <c r="I700" s="1" t="s">
        <v>38</v>
      </c>
      <c r="J700" s="1">
        <v>42380.72078703704</v>
      </c>
      <c r="K700" s="1" t="s">
        <v>961</v>
      </c>
      <c r="L700" s="14">
        <f>24*(TblTimeSheet[[#This Row],[End Date and Time]]-TblTimeSheet[[#This Row],[Start Date and Time]])</f>
        <v>2.0000000000582077</v>
      </c>
      <c r="M7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0">
        <f>--(0&gt;(TblTimeSheet[[#This Row],[End Date and Time]]-TblTimeSheet[[#This Row],[Start Date and Time]]))</f>
        <v>0</v>
      </c>
    </row>
    <row r="701" spans="1:14" x14ac:dyDescent="0.25">
      <c r="A701" s="1"/>
      <c r="B701" s="2" t="s">
        <v>909</v>
      </c>
      <c r="C701" s="2" t="s">
        <v>116</v>
      </c>
      <c r="D701" s="2" t="s">
        <v>20</v>
      </c>
      <c r="E701" s="7" t="s">
        <v>1775</v>
      </c>
      <c r="F701" s="37">
        <v>42380.708333333336</v>
      </c>
      <c r="G701" s="37">
        <v>42380.770833333336</v>
      </c>
      <c r="H701" s="1" t="s">
        <v>6</v>
      </c>
      <c r="I701" s="1" t="s">
        <v>38</v>
      </c>
      <c r="J701" s="1">
        <v>42380.782847222225</v>
      </c>
      <c r="K701" s="1" t="s">
        <v>701</v>
      </c>
      <c r="L701" s="14">
        <f>24*(TblTimeSheet[[#This Row],[End Date and Time]]-TblTimeSheet[[#This Row],[Start Date and Time]])</f>
        <v>1.5</v>
      </c>
      <c r="M7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1">
        <f>--(0&gt;(TblTimeSheet[[#This Row],[End Date and Time]]-TblTimeSheet[[#This Row],[Start Date and Time]]))</f>
        <v>0</v>
      </c>
    </row>
    <row r="702" spans="1:14" x14ac:dyDescent="0.25">
      <c r="A702" s="1"/>
      <c r="B702" s="2" t="s">
        <v>909</v>
      </c>
      <c r="C702" s="2" t="s">
        <v>116</v>
      </c>
      <c r="D702" s="2" t="s">
        <v>20</v>
      </c>
      <c r="E702" s="7" t="s">
        <v>1115</v>
      </c>
      <c r="F702" s="37">
        <v>42380.774305555555</v>
      </c>
      <c r="G702" s="37">
        <v>42380.788194444445</v>
      </c>
      <c r="H702" s="1" t="s">
        <v>6</v>
      </c>
      <c r="I702" s="1" t="s">
        <v>38</v>
      </c>
      <c r="J702" s="1">
        <v>42380.783645833333</v>
      </c>
      <c r="K702" s="1" t="s">
        <v>701</v>
      </c>
      <c r="L702" s="14">
        <f>24*(TblTimeSheet[[#This Row],[End Date and Time]]-TblTimeSheet[[#This Row],[Start Date and Time]])</f>
        <v>0.33333333337213844</v>
      </c>
      <c r="M7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02">
        <f>--(0&gt;(TblTimeSheet[[#This Row],[End Date and Time]]-TblTimeSheet[[#This Row],[Start Date and Time]]))</f>
        <v>0</v>
      </c>
    </row>
    <row r="703" spans="1:14" x14ac:dyDescent="0.25">
      <c r="A703" s="1"/>
      <c r="B703" s="2" t="s">
        <v>909</v>
      </c>
      <c r="C703" s="2" t="s">
        <v>171</v>
      </c>
      <c r="D703" s="2" t="s">
        <v>20</v>
      </c>
      <c r="E703" s="7" t="s">
        <v>1116</v>
      </c>
      <c r="F703" s="37">
        <v>42381.4375</v>
      </c>
      <c r="G703" s="37">
        <v>42381.46875</v>
      </c>
      <c r="H703" s="1" t="s">
        <v>6</v>
      </c>
      <c r="I703" s="1" t="s">
        <v>38</v>
      </c>
      <c r="J703" s="1">
        <v>42413.483252314814</v>
      </c>
      <c r="K703" s="1" t="s">
        <v>171</v>
      </c>
      <c r="L703" s="14">
        <f>24*(TblTimeSheet[[#This Row],[End Date and Time]]-TblTimeSheet[[#This Row],[Start Date and Time]])</f>
        <v>0.75</v>
      </c>
      <c r="M7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3">
        <f>--(0&gt;(TblTimeSheet[[#This Row],[End Date and Time]]-TblTimeSheet[[#This Row],[Start Date and Time]]))</f>
        <v>0</v>
      </c>
    </row>
    <row r="704" spans="1:14" x14ac:dyDescent="0.25">
      <c r="A704" s="1"/>
      <c r="B704" s="2" t="s">
        <v>909</v>
      </c>
      <c r="C704" s="2" t="s">
        <v>1117</v>
      </c>
      <c r="D704" s="2" t="s">
        <v>20</v>
      </c>
      <c r="E704" s="7" t="s">
        <v>1118</v>
      </c>
      <c r="F704" s="37">
        <v>42381.4375</v>
      </c>
      <c r="G704" s="37">
        <v>42381.46875</v>
      </c>
      <c r="H704" s="1" t="s">
        <v>6</v>
      </c>
      <c r="I704" s="1" t="s">
        <v>38</v>
      </c>
      <c r="J704" s="1">
        <v>42381.470231481479</v>
      </c>
      <c r="K704" s="1" t="s">
        <v>2865</v>
      </c>
      <c r="L704" s="14">
        <f>24*(TblTimeSheet[[#This Row],[End Date and Time]]-TblTimeSheet[[#This Row],[Start Date and Time]])</f>
        <v>0.75</v>
      </c>
      <c r="M7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4">
        <f>--(0&gt;(TblTimeSheet[[#This Row],[End Date and Time]]-TblTimeSheet[[#This Row],[Start Date and Time]]))</f>
        <v>0</v>
      </c>
    </row>
    <row r="705" spans="1:14" x14ac:dyDescent="0.25">
      <c r="A705" s="1"/>
      <c r="B705" s="2" t="s">
        <v>909</v>
      </c>
      <c r="C705" s="2" t="s">
        <v>961</v>
      </c>
      <c r="D705" s="2" t="s">
        <v>20</v>
      </c>
      <c r="E705" s="7" t="s">
        <v>1776</v>
      </c>
      <c r="F705" s="37">
        <v>42381.4375</v>
      </c>
      <c r="G705" s="37">
        <v>42381.46875</v>
      </c>
      <c r="H705" s="1" t="s">
        <v>6</v>
      </c>
      <c r="I705" s="1" t="s">
        <v>38</v>
      </c>
      <c r="J705" s="1">
        <v>42381.473923611113</v>
      </c>
      <c r="K705" s="1" t="s">
        <v>961</v>
      </c>
      <c r="L705" s="14">
        <f>24*(TblTimeSheet[[#This Row],[End Date and Time]]-TblTimeSheet[[#This Row],[Start Date and Time]])</f>
        <v>0.75</v>
      </c>
      <c r="M7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5">
        <f>--(0&gt;(TblTimeSheet[[#This Row],[End Date and Time]]-TblTimeSheet[[#This Row],[Start Date and Time]]))</f>
        <v>0</v>
      </c>
    </row>
    <row r="706" spans="1:14" x14ac:dyDescent="0.25">
      <c r="A706" s="1"/>
      <c r="B706" s="2" t="s">
        <v>909</v>
      </c>
      <c r="C706" s="2" t="s">
        <v>118</v>
      </c>
      <c r="D706" s="2" t="s">
        <v>20</v>
      </c>
      <c r="E706" s="7" t="s">
        <v>1119</v>
      </c>
      <c r="F706" s="37">
        <v>42381.583333333336</v>
      </c>
      <c r="G706" s="37">
        <v>42381.614583333336</v>
      </c>
      <c r="H706" s="1" t="s">
        <v>6</v>
      </c>
      <c r="I706" s="1" t="s">
        <v>38</v>
      </c>
      <c r="J706" s="1">
        <v>42381.638182870367</v>
      </c>
      <c r="K706" s="1" t="s">
        <v>118</v>
      </c>
      <c r="L706" s="14">
        <f>24*(TblTimeSheet[[#This Row],[End Date and Time]]-TblTimeSheet[[#This Row],[Start Date and Time]])</f>
        <v>0.75</v>
      </c>
      <c r="M7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6">
        <f>--(0&gt;(TblTimeSheet[[#This Row],[End Date and Time]]-TblTimeSheet[[#This Row],[Start Date and Time]]))</f>
        <v>0</v>
      </c>
    </row>
    <row r="707" spans="1:14" x14ac:dyDescent="0.25">
      <c r="A707" s="1"/>
      <c r="B707" s="2" t="s">
        <v>909</v>
      </c>
      <c r="C707" s="2" t="s">
        <v>118</v>
      </c>
      <c r="D707" s="2" t="s">
        <v>20</v>
      </c>
      <c r="E707" s="7" t="s">
        <v>1120</v>
      </c>
      <c r="F707" s="37">
        <v>42381.614583333336</v>
      </c>
      <c r="G707" s="37">
        <v>42381.638888888891</v>
      </c>
      <c r="H707" s="1" t="s">
        <v>6</v>
      </c>
      <c r="I707" s="1" t="s">
        <v>38</v>
      </c>
      <c r="J707" s="1">
        <v>42381.639143518521</v>
      </c>
      <c r="K707" s="1" t="s">
        <v>118</v>
      </c>
      <c r="L707" s="14">
        <f>24*(TblTimeSheet[[#This Row],[End Date and Time]]-TblTimeSheet[[#This Row],[Start Date and Time]])</f>
        <v>0.58333333331393078</v>
      </c>
      <c r="M7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7">
        <f>--(0&gt;(TblTimeSheet[[#This Row],[End Date and Time]]-TblTimeSheet[[#This Row],[Start Date and Time]]))</f>
        <v>0</v>
      </c>
    </row>
    <row r="708" spans="1:14" x14ac:dyDescent="0.25">
      <c r="A708" s="1"/>
      <c r="B708" s="2" t="s">
        <v>909</v>
      </c>
      <c r="C708" s="2" t="s">
        <v>43</v>
      </c>
      <c r="D708" s="2" t="s">
        <v>20</v>
      </c>
      <c r="E708" s="7" t="s">
        <v>1121</v>
      </c>
      <c r="F708" s="37">
        <v>42381.614583333336</v>
      </c>
      <c r="G708" s="37">
        <v>42381.638888888891</v>
      </c>
      <c r="H708" s="1" t="s">
        <v>6</v>
      </c>
      <c r="I708" s="1" t="s">
        <v>38</v>
      </c>
      <c r="J708" s="1">
        <v>42381.639918981484</v>
      </c>
      <c r="K708" s="1" t="s">
        <v>43</v>
      </c>
      <c r="L708" s="14">
        <f>24*(TblTimeSheet[[#This Row],[End Date and Time]]-TblTimeSheet[[#This Row],[Start Date and Time]])</f>
        <v>0.58333333331393078</v>
      </c>
      <c r="M7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08">
        <f>--(0&gt;(TblTimeSheet[[#This Row],[End Date and Time]]-TblTimeSheet[[#This Row],[Start Date and Time]]))</f>
        <v>0</v>
      </c>
    </row>
    <row r="709" spans="1:14" x14ac:dyDescent="0.25">
      <c r="A709" s="1"/>
      <c r="B709" s="2" t="s">
        <v>909</v>
      </c>
      <c r="C709" s="2" t="s">
        <v>116</v>
      </c>
      <c r="D709" s="2" t="s">
        <v>20</v>
      </c>
      <c r="E709" s="7" t="s">
        <v>1777</v>
      </c>
      <c r="F709" s="37">
        <v>42378.489583333336</v>
      </c>
      <c r="G709" s="37">
        <v>42378.510416666664</v>
      </c>
      <c r="H709" s="1" t="s">
        <v>6</v>
      </c>
      <c r="I709" s="1" t="s">
        <v>38</v>
      </c>
      <c r="J709" s="1">
        <v>42382.677337962959</v>
      </c>
      <c r="K709" s="1" t="s">
        <v>39</v>
      </c>
      <c r="L709" s="14">
        <f>24*(TblTimeSheet[[#This Row],[End Date and Time]]-TblTimeSheet[[#This Row],[Start Date and Time]])</f>
        <v>0.49999999988358468</v>
      </c>
      <c r="M7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09">
        <f>--(0&gt;(TblTimeSheet[[#This Row],[End Date and Time]]-TblTimeSheet[[#This Row],[Start Date and Time]]))</f>
        <v>0</v>
      </c>
    </row>
    <row r="710" spans="1:14" x14ac:dyDescent="0.25">
      <c r="A710" s="1"/>
      <c r="B710" s="2" t="s">
        <v>909</v>
      </c>
      <c r="C710" s="2" t="s">
        <v>116</v>
      </c>
      <c r="D710" s="2" t="s">
        <v>20</v>
      </c>
      <c r="E710" s="7" t="s">
        <v>1122</v>
      </c>
      <c r="F710" s="37">
        <v>42380.774305555555</v>
      </c>
      <c r="G710" s="37">
        <v>42380.788194444445</v>
      </c>
      <c r="H710" s="1" t="s">
        <v>6</v>
      </c>
      <c r="I710" s="1" t="s">
        <v>38</v>
      </c>
      <c r="J710" s="1">
        <v>42382.678564814814</v>
      </c>
      <c r="K710" s="1" t="s">
        <v>39</v>
      </c>
      <c r="L710" s="14">
        <f>24*(TblTimeSheet[[#This Row],[End Date and Time]]-TblTimeSheet[[#This Row],[Start Date and Time]])</f>
        <v>0.33333333337213844</v>
      </c>
      <c r="M7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10">
        <f>--(0&gt;(TblTimeSheet[[#This Row],[End Date and Time]]-TblTimeSheet[[#This Row],[Start Date and Time]]))</f>
        <v>0</v>
      </c>
    </row>
    <row r="711" spans="1:14" x14ac:dyDescent="0.25">
      <c r="A711" s="1"/>
      <c r="B711" s="2" t="s">
        <v>909</v>
      </c>
      <c r="C711" s="2" t="s">
        <v>41</v>
      </c>
      <c r="D711" s="2" t="s">
        <v>20</v>
      </c>
      <c r="E711" s="7" t="s">
        <v>1123</v>
      </c>
      <c r="F711" s="37">
        <v>42382.583333333336</v>
      </c>
      <c r="G711" s="37">
        <v>42382.625</v>
      </c>
      <c r="H711" s="1" t="s">
        <v>6</v>
      </c>
      <c r="I711" s="1" t="s">
        <v>38</v>
      </c>
      <c r="J711" s="1">
        <v>42382.774687500001</v>
      </c>
      <c r="K711" s="1" t="s">
        <v>41</v>
      </c>
      <c r="L711" s="14">
        <f>24*(TblTimeSheet[[#This Row],[End Date and Time]]-TblTimeSheet[[#This Row],[Start Date and Time]])</f>
        <v>0.99999999994179234</v>
      </c>
      <c r="M7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1">
        <f>--(0&gt;(TblTimeSheet[[#This Row],[End Date and Time]]-TblTimeSheet[[#This Row],[Start Date and Time]]))</f>
        <v>0</v>
      </c>
    </row>
    <row r="712" spans="1:14" x14ac:dyDescent="0.25">
      <c r="A712" s="1"/>
      <c r="B712" s="2" t="s">
        <v>697</v>
      </c>
      <c r="C712" s="2" t="s">
        <v>124</v>
      </c>
      <c r="D712" s="2" t="s">
        <v>32</v>
      </c>
      <c r="E712" s="7" t="s">
        <v>1124</v>
      </c>
      <c r="F712" s="37">
        <v>42373.416666666664</v>
      </c>
      <c r="G712" s="37">
        <v>42373.5</v>
      </c>
      <c r="H712" s="1" t="s">
        <v>6</v>
      </c>
      <c r="I712" s="1" t="s">
        <v>38</v>
      </c>
      <c r="J712" s="1">
        <v>42383.394571759258</v>
      </c>
      <c r="K712" s="1" t="s">
        <v>2863</v>
      </c>
      <c r="L712" s="14">
        <f>24*(TblTimeSheet[[#This Row],[End Date and Time]]-TblTimeSheet[[#This Row],[Start Date and Time]])</f>
        <v>2.0000000000582077</v>
      </c>
      <c r="M7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2">
        <f>--(0&gt;(TblTimeSheet[[#This Row],[End Date and Time]]-TblTimeSheet[[#This Row],[Start Date and Time]]))</f>
        <v>0</v>
      </c>
    </row>
    <row r="713" spans="1:14" x14ac:dyDescent="0.25">
      <c r="A713" s="1"/>
      <c r="B713" s="2" t="s">
        <v>909</v>
      </c>
      <c r="C713" s="2" t="s">
        <v>961</v>
      </c>
      <c r="D713" s="2" t="s">
        <v>32</v>
      </c>
      <c r="E713" s="7" t="s">
        <v>1778</v>
      </c>
      <c r="F713" s="37">
        <v>42383.479166666664</v>
      </c>
      <c r="G713" s="37">
        <v>42383.552083333336</v>
      </c>
      <c r="H713" s="1" t="s">
        <v>6</v>
      </c>
      <c r="I713" s="1" t="s">
        <v>38</v>
      </c>
      <c r="J713" s="1">
        <v>42383.754976851851</v>
      </c>
      <c r="K713" s="1" t="s">
        <v>961</v>
      </c>
      <c r="L713" s="14">
        <f>24*(TblTimeSheet[[#This Row],[End Date and Time]]-TblTimeSheet[[#This Row],[Start Date and Time]])</f>
        <v>1.7500000001164153</v>
      </c>
      <c r="M7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3">
        <f>--(0&gt;(TblTimeSheet[[#This Row],[End Date and Time]]-TblTimeSheet[[#This Row],[Start Date and Time]]))</f>
        <v>0</v>
      </c>
    </row>
    <row r="714" spans="1:14" x14ac:dyDescent="0.25">
      <c r="A714" s="1"/>
      <c r="B714" s="2" t="s">
        <v>909</v>
      </c>
      <c r="C714" s="2" t="s">
        <v>1105</v>
      </c>
      <c r="D714" s="2" t="s">
        <v>20</v>
      </c>
      <c r="E714" s="7" t="s">
        <v>1779</v>
      </c>
      <c r="F714" s="37">
        <v>42385.6875</v>
      </c>
      <c r="G714" s="37">
        <v>42385.729166666664</v>
      </c>
      <c r="H714" s="1" t="s">
        <v>6</v>
      </c>
      <c r="I714" s="1" t="s">
        <v>38</v>
      </c>
      <c r="J714" s="1">
        <v>42385.741944444446</v>
      </c>
      <c r="K714" s="1" t="s">
        <v>2864</v>
      </c>
      <c r="L714" s="14">
        <f>24*(TblTimeSheet[[#This Row],[End Date and Time]]-TblTimeSheet[[#This Row],[Start Date and Time]])</f>
        <v>0.99999999994179234</v>
      </c>
      <c r="M7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4">
        <f>--(0&gt;(TblTimeSheet[[#This Row],[End Date and Time]]-TblTimeSheet[[#This Row],[Start Date and Time]]))</f>
        <v>0</v>
      </c>
    </row>
    <row r="715" spans="1:14" ht="30" x14ac:dyDescent="0.25">
      <c r="A715" s="1"/>
      <c r="B715" s="2" t="s">
        <v>909</v>
      </c>
      <c r="C715" s="2" t="s">
        <v>41</v>
      </c>
      <c r="D715" s="2" t="s">
        <v>20</v>
      </c>
      <c r="E715" s="7" t="s">
        <v>1780</v>
      </c>
      <c r="F715" s="37">
        <v>42385.6875</v>
      </c>
      <c r="G715" s="37">
        <v>42385.729166666664</v>
      </c>
      <c r="H715" s="1" t="s">
        <v>6</v>
      </c>
      <c r="I715" s="1" t="s">
        <v>38</v>
      </c>
      <c r="J715" s="1">
        <v>42385.748124999998</v>
      </c>
      <c r="K715" s="1" t="s">
        <v>41</v>
      </c>
      <c r="L715" s="14">
        <f>24*(TblTimeSheet[[#This Row],[End Date and Time]]-TblTimeSheet[[#This Row],[Start Date and Time]])</f>
        <v>0.99999999994179234</v>
      </c>
      <c r="M7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5">
        <f>--(0&gt;(TblTimeSheet[[#This Row],[End Date and Time]]-TblTimeSheet[[#This Row],[Start Date and Time]]))</f>
        <v>0</v>
      </c>
    </row>
    <row r="716" spans="1:14" x14ac:dyDescent="0.25">
      <c r="A716" s="1"/>
      <c r="B716" s="2" t="s">
        <v>909</v>
      </c>
      <c r="C716" s="2" t="s">
        <v>41</v>
      </c>
      <c r="D716" s="2" t="s">
        <v>20</v>
      </c>
      <c r="E716" s="7" t="s">
        <v>1125</v>
      </c>
      <c r="F716" s="37">
        <v>42385.375</v>
      </c>
      <c r="G716" s="37">
        <v>42385.395833333336</v>
      </c>
      <c r="H716" s="1" t="s">
        <v>6</v>
      </c>
      <c r="I716" s="1" t="s">
        <v>38</v>
      </c>
      <c r="J716" s="1">
        <v>42385.748611111114</v>
      </c>
      <c r="K716" s="1" t="s">
        <v>41</v>
      </c>
      <c r="L716" s="14">
        <f>24*(TblTimeSheet[[#This Row],[End Date and Time]]-TblTimeSheet[[#This Row],[Start Date and Time]])</f>
        <v>0.50000000005820766</v>
      </c>
      <c r="M7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6">
        <f>--(0&gt;(TblTimeSheet[[#This Row],[End Date and Time]]-TblTimeSheet[[#This Row],[Start Date and Time]]))</f>
        <v>0</v>
      </c>
    </row>
    <row r="717" spans="1:14" ht="30" x14ac:dyDescent="0.25">
      <c r="A717" s="1"/>
      <c r="B717" s="2" t="s">
        <v>909</v>
      </c>
      <c r="C717" s="2" t="s">
        <v>1061</v>
      </c>
      <c r="D717" s="2" t="s">
        <v>20</v>
      </c>
      <c r="E717" s="7" t="s">
        <v>1781</v>
      </c>
      <c r="F717" s="37">
        <v>42385.6875</v>
      </c>
      <c r="G717" s="37">
        <v>42385.729166666664</v>
      </c>
      <c r="H717" s="1" t="s">
        <v>6</v>
      </c>
      <c r="I717" s="1" t="s">
        <v>38</v>
      </c>
      <c r="J717" s="1">
        <v>42385.749074074076</v>
      </c>
      <c r="K717" s="1" t="s">
        <v>1061</v>
      </c>
      <c r="L717" s="14">
        <f>24*(TblTimeSheet[[#This Row],[End Date and Time]]-TblTimeSheet[[#This Row],[Start Date and Time]])</f>
        <v>0.99999999994179234</v>
      </c>
      <c r="M7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7">
        <f>--(0&gt;(TblTimeSheet[[#This Row],[End Date and Time]]-TblTimeSheet[[#This Row],[Start Date and Time]]))</f>
        <v>0</v>
      </c>
    </row>
    <row r="718" spans="1:14" ht="60" x14ac:dyDescent="0.25">
      <c r="A718" s="1"/>
      <c r="B718" s="2" t="s">
        <v>909</v>
      </c>
      <c r="C718" s="2" t="s">
        <v>961</v>
      </c>
      <c r="D718" s="2" t="s">
        <v>20</v>
      </c>
      <c r="E718" s="7" t="s">
        <v>1782</v>
      </c>
      <c r="F718" s="37">
        <v>42385.6875</v>
      </c>
      <c r="G718" s="37">
        <v>42385.729166666664</v>
      </c>
      <c r="H718" s="1" t="s">
        <v>6</v>
      </c>
      <c r="I718" s="1" t="s">
        <v>38</v>
      </c>
      <c r="J718" s="1">
        <v>42387.405104166668</v>
      </c>
      <c r="K718" s="1" t="s">
        <v>961</v>
      </c>
      <c r="L718" s="14">
        <f>24*(TblTimeSheet[[#This Row],[End Date and Time]]-TblTimeSheet[[#This Row],[Start Date and Time]])</f>
        <v>0.99999999994179234</v>
      </c>
      <c r="M7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8">
        <f>--(0&gt;(TblTimeSheet[[#This Row],[End Date and Time]]-TblTimeSheet[[#This Row],[Start Date and Time]]))</f>
        <v>0</v>
      </c>
    </row>
    <row r="719" spans="1:14" x14ac:dyDescent="0.25">
      <c r="A719" s="1"/>
      <c r="B719" s="2" t="s">
        <v>909</v>
      </c>
      <c r="C719" s="2" t="s">
        <v>78</v>
      </c>
      <c r="D719" s="2" t="s">
        <v>32</v>
      </c>
      <c r="E719" s="7" t="s">
        <v>1126</v>
      </c>
      <c r="F719" s="37">
        <v>42388.520833333336</v>
      </c>
      <c r="G719" s="37">
        <v>42388.541666666664</v>
      </c>
      <c r="H719" s="1" t="s">
        <v>6</v>
      </c>
      <c r="I719" s="1" t="s">
        <v>38</v>
      </c>
      <c r="J719" s="1">
        <v>42388.550717592596</v>
      </c>
      <c r="K719" s="1" t="s">
        <v>78</v>
      </c>
      <c r="L719" s="14">
        <f>24*(TblTimeSheet[[#This Row],[End Date and Time]]-TblTimeSheet[[#This Row],[Start Date and Time]])</f>
        <v>0.49999999988358468</v>
      </c>
      <c r="M7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19">
        <f>--(0&gt;(TblTimeSheet[[#This Row],[End Date and Time]]-TblTimeSheet[[#This Row],[Start Date and Time]]))</f>
        <v>0</v>
      </c>
    </row>
    <row r="720" spans="1:14" x14ac:dyDescent="0.25">
      <c r="A720" s="1"/>
      <c r="B720" s="2" t="s">
        <v>909</v>
      </c>
      <c r="C720" s="2" t="s">
        <v>961</v>
      </c>
      <c r="D720" s="2" t="s">
        <v>32</v>
      </c>
      <c r="E720" s="7" t="s">
        <v>1783</v>
      </c>
      <c r="F720" s="37">
        <v>42388.520833333336</v>
      </c>
      <c r="G720" s="37">
        <v>42388.541666666664</v>
      </c>
      <c r="H720" s="1" t="s">
        <v>6</v>
      </c>
      <c r="I720" s="1" t="s">
        <v>38</v>
      </c>
      <c r="J720" s="1">
        <v>42388.690462962964</v>
      </c>
      <c r="K720" s="1" t="s">
        <v>961</v>
      </c>
      <c r="L720" s="14">
        <f>24*(TblTimeSheet[[#This Row],[End Date and Time]]-TblTimeSheet[[#This Row],[Start Date and Time]])</f>
        <v>0.49999999988358468</v>
      </c>
      <c r="M7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0">
        <f>--(0&gt;(TblTimeSheet[[#This Row],[End Date and Time]]-TblTimeSheet[[#This Row],[Start Date and Time]]))</f>
        <v>0</v>
      </c>
    </row>
    <row r="721" spans="1:14" ht="30" x14ac:dyDescent="0.25">
      <c r="A721" s="1"/>
      <c r="B721" s="2" t="s">
        <v>909</v>
      </c>
      <c r="C721" s="2" t="s">
        <v>961</v>
      </c>
      <c r="D721" s="2" t="s">
        <v>32</v>
      </c>
      <c r="E721" s="7" t="s">
        <v>1784</v>
      </c>
      <c r="F721" s="37">
        <v>42388.625</v>
      </c>
      <c r="G721" s="37">
        <v>42388.645833333336</v>
      </c>
      <c r="H721" s="1" t="s">
        <v>6</v>
      </c>
      <c r="I721" s="1" t="s">
        <v>38</v>
      </c>
      <c r="J721" s="1">
        <v>42388.690138888887</v>
      </c>
      <c r="K721" s="1" t="s">
        <v>961</v>
      </c>
      <c r="L721" s="14">
        <f>24*(TblTimeSheet[[#This Row],[End Date and Time]]-TblTimeSheet[[#This Row],[Start Date and Time]])</f>
        <v>0.50000000005820766</v>
      </c>
      <c r="M7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1">
        <f>--(0&gt;(TblTimeSheet[[#This Row],[End Date and Time]]-TblTimeSheet[[#This Row],[Start Date and Time]]))</f>
        <v>0</v>
      </c>
    </row>
    <row r="722" spans="1:14" x14ac:dyDescent="0.25">
      <c r="A722" s="1"/>
      <c r="B722" s="2" t="s">
        <v>909</v>
      </c>
      <c r="C722" s="2" t="s">
        <v>78</v>
      </c>
      <c r="D722" s="2" t="s">
        <v>32</v>
      </c>
      <c r="E722" s="7" t="s">
        <v>1127</v>
      </c>
      <c r="F722" s="37">
        <v>42388.697916666664</v>
      </c>
      <c r="G722" s="37">
        <v>42388.708333333336</v>
      </c>
      <c r="H722" s="1" t="s">
        <v>6</v>
      </c>
      <c r="I722" s="1" t="s">
        <v>38</v>
      </c>
      <c r="J722" s="1">
        <v>42388.706516203703</v>
      </c>
      <c r="K722" s="1" t="s">
        <v>78</v>
      </c>
      <c r="L722" s="14">
        <f>24*(TblTimeSheet[[#This Row],[End Date and Time]]-TblTimeSheet[[#This Row],[Start Date and Time]])</f>
        <v>0.25000000011641532</v>
      </c>
      <c r="M7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2">
        <f>--(0&gt;(TblTimeSheet[[#This Row],[End Date and Time]]-TblTimeSheet[[#This Row],[Start Date and Time]]))</f>
        <v>0</v>
      </c>
    </row>
    <row r="723" spans="1:14" x14ac:dyDescent="0.25">
      <c r="A723" s="1"/>
      <c r="B723" s="2" t="s">
        <v>909</v>
      </c>
      <c r="C723" s="2" t="s">
        <v>116</v>
      </c>
      <c r="D723" s="2" t="s">
        <v>20</v>
      </c>
      <c r="E723" s="7" t="s">
        <v>1128</v>
      </c>
      <c r="F723" s="37">
        <v>42388.583333333336</v>
      </c>
      <c r="G723" s="37">
        <v>42388.625</v>
      </c>
      <c r="H723" s="1" t="s">
        <v>6</v>
      </c>
      <c r="I723" s="1" t="s">
        <v>38</v>
      </c>
      <c r="J723" s="1">
        <v>42388.741493055553</v>
      </c>
      <c r="K723" s="1" t="s">
        <v>701</v>
      </c>
      <c r="L723" s="14">
        <f>24*(TblTimeSheet[[#This Row],[End Date and Time]]-TblTimeSheet[[#This Row],[Start Date and Time]])</f>
        <v>0.99999999994179234</v>
      </c>
      <c r="M7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3">
        <f>--(0&gt;(TblTimeSheet[[#This Row],[End Date and Time]]-TblTimeSheet[[#This Row],[Start Date and Time]]))</f>
        <v>0</v>
      </c>
    </row>
    <row r="724" spans="1:14" x14ac:dyDescent="0.25">
      <c r="A724" s="1"/>
      <c r="B724" s="2" t="s">
        <v>909</v>
      </c>
      <c r="C724" s="2" t="s">
        <v>961</v>
      </c>
      <c r="D724" s="2" t="s">
        <v>20</v>
      </c>
      <c r="E724" s="7" t="s">
        <v>1129</v>
      </c>
      <c r="F724" s="37">
        <v>42388.583333333336</v>
      </c>
      <c r="G724" s="37">
        <v>42388.625</v>
      </c>
      <c r="H724" s="1" t="s">
        <v>6</v>
      </c>
      <c r="I724" s="1" t="s">
        <v>38</v>
      </c>
      <c r="J724" s="1">
        <v>42388.74291666667</v>
      </c>
      <c r="K724" s="1" t="s">
        <v>961</v>
      </c>
      <c r="L724" s="14">
        <f>24*(TblTimeSheet[[#This Row],[End Date and Time]]-TblTimeSheet[[#This Row],[Start Date and Time]])</f>
        <v>0.99999999994179234</v>
      </c>
      <c r="M7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4">
        <f>--(0&gt;(TblTimeSheet[[#This Row],[End Date and Time]]-TblTimeSheet[[#This Row],[Start Date and Time]]))</f>
        <v>0</v>
      </c>
    </row>
    <row r="725" spans="1:14" x14ac:dyDescent="0.25">
      <c r="A725" s="1"/>
      <c r="B725" s="2" t="s">
        <v>909</v>
      </c>
      <c r="C725" s="2" t="s">
        <v>118</v>
      </c>
      <c r="D725" s="2" t="s">
        <v>20</v>
      </c>
      <c r="E725" s="7" t="s">
        <v>1129</v>
      </c>
      <c r="F725" s="37">
        <v>42388.583333333336</v>
      </c>
      <c r="G725" s="37">
        <v>42388.625</v>
      </c>
      <c r="H725" s="1" t="s">
        <v>6</v>
      </c>
      <c r="I725" s="1" t="s">
        <v>38</v>
      </c>
      <c r="J725" s="1">
        <v>42388.743483796294</v>
      </c>
      <c r="K725" s="1" t="s">
        <v>118</v>
      </c>
      <c r="L725" s="14">
        <f>24*(TblTimeSheet[[#This Row],[End Date and Time]]-TblTimeSheet[[#This Row],[Start Date and Time]])</f>
        <v>0.99999999994179234</v>
      </c>
      <c r="M7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5">
        <f>--(0&gt;(TblTimeSheet[[#This Row],[End Date and Time]]-TblTimeSheet[[#This Row],[Start Date and Time]]))</f>
        <v>0</v>
      </c>
    </row>
    <row r="726" spans="1:14" x14ac:dyDescent="0.25">
      <c r="A726" s="1"/>
      <c r="B726" s="2" t="s">
        <v>909</v>
      </c>
      <c r="C726" s="2" t="s">
        <v>961</v>
      </c>
      <c r="D726" s="2" t="s">
        <v>32</v>
      </c>
      <c r="E726" s="7" t="s">
        <v>1785</v>
      </c>
      <c r="F726" s="37">
        <v>42388.697916666664</v>
      </c>
      <c r="G726" s="37">
        <v>42388.708333333336</v>
      </c>
      <c r="H726" s="1" t="s">
        <v>6</v>
      </c>
      <c r="I726" s="1" t="s">
        <v>38</v>
      </c>
      <c r="J726" s="1">
        <v>42389.388611111113</v>
      </c>
      <c r="K726" s="1" t="s">
        <v>961</v>
      </c>
      <c r="L726" s="14">
        <f>24*(TblTimeSheet[[#This Row],[End Date and Time]]-TblTimeSheet[[#This Row],[Start Date and Time]])</f>
        <v>0.25000000011641532</v>
      </c>
      <c r="M7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6">
        <f>--(0&gt;(TblTimeSheet[[#This Row],[End Date and Time]]-TblTimeSheet[[#This Row],[Start Date and Time]]))</f>
        <v>0</v>
      </c>
    </row>
    <row r="727" spans="1:14" x14ac:dyDescent="0.25">
      <c r="A727" s="1"/>
      <c r="B727" s="2" t="s">
        <v>697</v>
      </c>
      <c r="C727" s="2" t="s">
        <v>116</v>
      </c>
      <c r="D727" s="2" t="s">
        <v>32</v>
      </c>
      <c r="E727" s="7" t="s">
        <v>985</v>
      </c>
      <c r="F727" s="37">
        <v>42391.520833333336</v>
      </c>
      <c r="G727" s="37">
        <v>42391.541666666664</v>
      </c>
      <c r="H727" s="1" t="s">
        <v>6</v>
      </c>
      <c r="I727" s="1" t="s">
        <v>38</v>
      </c>
      <c r="J727" s="1">
        <v>42391.731446759259</v>
      </c>
      <c r="K727" s="1" t="s">
        <v>39</v>
      </c>
      <c r="L727" s="14">
        <f>24*(TblTimeSheet[[#This Row],[End Date and Time]]-TblTimeSheet[[#This Row],[Start Date and Time]])</f>
        <v>0.49999999988358468</v>
      </c>
      <c r="M7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27">
        <f>--(0&gt;(TblTimeSheet[[#This Row],[End Date and Time]]-TblTimeSheet[[#This Row],[Start Date and Time]]))</f>
        <v>0</v>
      </c>
    </row>
    <row r="728" spans="1:14" x14ac:dyDescent="0.25">
      <c r="A728" s="1"/>
      <c r="B728" s="2" t="s">
        <v>697</v>
      </c>
      <c r="C728" s="2" t="s">
        <v>124</v>
      </c>
      <c r="D728" s="2" t="s">
        <v>32</v>
      </c>
      <c r="E728" s="7" t="s">
        <v>1130</v>
      </c>
      <c r="F728" s="37">
        <v>42391.520833333336</v>
      </c>
      <c r="G728" s="37">
        <v>42391.541666666664</v>
      </c>
      <c r="H728" s="1" t="s">
        <v>6</v>
      </c>
      <c r="I728" s="1" t="s">
        <v>38</v>
      </c>
      <c r="J728" s="1">
        <v>42391.741296296299</v>
      </c>
      <c r="K728" s="1" t="s">
        <v>2863</v>
      </c>
      <c r="L728" s="14">
        <f>24*(TblTimeSheet[[#This Row],[End Date and Time]]-TblTimeSheet[[#This Row],[Start Date and Time]])</f>
        <v>0.49999999988358468</v>
      </c>
      <c r="M7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8">
        <f>--(0&gt;(TblTimeSheet[[#This Row],[End Date and Time]]-TblTimeSheet[[#This Row],[Start Date and Time]]))</f>
        <v>0</v>
      </c>
    </row>
    <row r="729" spans="1:14" x14ac:dyDescent="0.25">
      <c r="A729" s="1"/>
      <c r="B729" s="2" t="s">
        <v>697</v>
      </c>
      <c r="C729" s="2" t="s">
        <v>124</v>
      </c>
      <c r="D729" s="2" t="s">
        <v>32</v>
      </c>
      <c r="E729" s="7" t="s">
        <v>1130</v>
      </c>
      <c r="F729" s="37">
        <v>42391.5625</v>
      </c>
      <c r="G729" s="37">
        <v>42391.625</v>
      </c>
      <c r="H729" s="1" t="s">
        <v>6</v>
      </c>
      <c r="I729" s="1" t="s">
        <v>38</v>
      </c>
      <c r="J729" s="1">
        <v>42391.741863425923</v>
      </c>
      <c r="K729" s="1" t="s">
        <v>2863</v>
      </c>
      <c r="L729" s="14">
        <f>24*(TblTimeSheet[[#This Row],[End Date and Time]]-TblTimeSheet[[#This Row],[Start Date and Time]])</f>
        <v>1.5</v>
      </c>
      <c r="M7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29">
        <f>--(0&gt;(TblTimeSheet[[#This Row],[End Date and Time]]-TblTimeSheet[[#This Row],[Start Date and Time]]))</f>
        <v>0</v>
      </c>
    </row>
    <row r="730" spans="1:14" x14ac:dyDescent="0.25">
      <c r="A730" s="1"/>
      <c r="B730" s="2" t="s">
        <v>697</v>
      </c>
      <c r="C730" s="2" t="s">
        <v>143</v>
      </c>
      <c r="D730" s="2" t="s">
        <v>32</v>
      </c>
      <c r="E730" s="7" t="s">
        <v>1131</v>
      </c>
      <c r="F730" s="37">
        <v>42391.520833333336</v>
      </c>
      <c r="G730" s="37">
        <v>42391.541666666664</v>
      </c>
      <c r="H730" s="1" t="s">
        <v>6</v>
      </c>
      <c r="I730" s="1" t="s">
        <v>38</v>
      </c>
      <c r="J730" s="1">
        <v>42448.485868055555</v>
      </c>
      <c r="K730" s="1" t="s">
        <v>143</v>
      </c>
      <c r="L730" s="14">
        <f>24*(TblTimeSheet[[#This Row],[End Date and Time]]-TblTimeSheet[[#This Row],[Start Date and Time]])</f>
        <v>0.49999999988358468</v>
      </c>
      <c r="M7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0">
        <f>--(0&gt;(TblTimeSheet[[#This Row],[End Date and Time]]-TblTimeSheet[[#This Row],[Start Date and Time]]))</f>
        <v>0</v>
      </c>
    </row>
    <row r="731" spans="1:14" x14ac:dyDescent="0.25">
      <c r="A731" s="1"/>
      <c r="B731" s="2" t="s">
        <v>697</v>
      </c>
      <c r="C731" s="2" t="s">
        <v>36</v>
      </c>
      <c r="D731" s="2" t="s">
        <v>32</v>
      </c>
      <c r="E731" s="7" t="s">
        <v>1786</v>
      </c>
      <c r="F731" s="37">
        <v>42391.520833333336</v>
      </c>
      <c r="G731" s="37">
        <v>42391.541666666664</v>
      </c>
      <c r="H731" s="1" t="s">
        <v>6</v>
      </c>
      <c r="I731" s="1" t="s">
        <v>38</v>
      </c>
      <c r="J731" s="1">
        <v>42392.387615740743</v>
      </c>
      <c r="K731" s="1" t="s">
        <v>36</v>
      </c>
      <c r="L731" s="14">
        <f>24*(TblTimeSheet[[#This Row],[End Date and Time]]-TblTimeSheet[[#This Row],[Start Date and Time]])</f>
        <v>0.49999999988358468</v>
      </c>
      <c r="M7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1">
        <f>--(0&gt;(TblTimeSheet[[#This Row],[End Date and Time]]-TblTimeSheet[[#This Row],[Start Date and Time]]))</f>
        <v>0</v>
      </c>
    </row>
    <row r="732" spans="1:14" x14ac:dyDescent="0.25">
      <c r="A732" s="1"/>
      <c r="B732" s="2" t="s">
        <v>697</v>
      </c>
      <c r="C732" s="2" t="s">
        <v>36</v>
      </c>
      <c r="D732" s="2" t="s">
        <v>32</v>
      </c>
      <c r="E732" s="7" t="s">
        <v>1786</v>
      </c>
      <c r="F732" s="37">
        <v>42391.5625</v>
      </c>
      <c r="G732" s="37">
        <v>42391.625</v>
      </c>
      <c r="H732" s="1" t="s">
        <v>6</v>
      </c>
      <c r="I732" s="1" t="s">
        <v>38</v>
      </c>
      <c r="J732" s="1">
        <v>42392.388460648152</v>
      </c>
      <c r="K732" s="1" t="s">
        <v>36</v>
      </c>
      <c r="L732" s="14">
        <f>24*(TblTimeSheet[[#This Row],[End Date and Time]]-TblTimeSheet[[#This Row],[Start Date and Time]])</f>
        <v>1.5</v>
      </c>
      <c r="M7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2">
        <f>--(0&gt;(TblTimeSheet[[#This Row],[End Date and Time]]-TblTimeSheet[[#This Row],[Start Date and Time]]))</f>
        <v>0</v>
      </c>
    </row>
    <row r="733" spans="1:14" x14ac:dyDescent="0.25">
      <c r="A733" s="1"/>
      <c r="B733" s="2" t="s">
        <v>697</v>
      </c>
      <c r="C733" s="2" t="s">
        <v>78</v>
      </c>
      <c r="D733" s="2" t="s">
        <v>32</v>
      </c>
      <c r="E733" s="7" t="s">
        <v>1132</v>
      </c>
      <c r="F733" s="37">
        <v>42392.416666666664</v>
      </c>
      <c r="G733" s="37">
        <v>42392.4375</v>
      </c>
      <c r="H733" s="1" t="s">
        <v>6</v>
      </c>
      <c r="I733" s="1" t="s">
        <v>38</v>
      </c>
      <c r="J733" s="1">
        <v>42392.435624999998</v>
      </c>
      <c r="K733" s="1" t="s">
        <v>78</v>
      </c>
      <c r="L733" s="14">
        <f>24*(TblTimeSheet[[#This Row],[End Date and Time]]-TblTimeSheet[[#This Row],[Start Date and Time]])</f>
        <v>0.50000000005820766</v>
      </c>
      <c r="M7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3">
        <f>--(0&gt;(TblTimeSheet[[#This Row],[End Date and Time]]-TblTimeSheet[[#This Row],[Start Date and Time]]))</f>
        <v>0</v>
      </c>
    </row>
    <row r="734" spans="1:14" x14ac:dyDescent="0.25">
      <c r="A734" s="1"/>
      <c r="B734" s="2" t="s">
        <v>697</v>
      </c>
      <c r="C734" s="2" t="s">
        <v>78</v>
      </c>
      <c r="D734" s="2" t="s">
        <v>32</v>
      </c>
      <c r="E734" s="7" t="s">
        <v>1133</v>
      </c>
      <c r="F734" s="37">
        <v>42392.527777777781</v>
      </c>
      <c r="G734" s="37">
        <v>42392.534722222219</v>
      </c>
      <c r="H734" s="1" t="s">
        <v>6</v>
      </c>
      <c r="I734" s="1" t="s">
        <v>38</v>
      </c>
      <c r="J734" s="1">
        <v>42392.533032407409</v>
      </c>
      <c r="K734" s="1" t="s">
        <v>78</v>
      </c>
      <c r="L734" s="14">
        <f>24*(TblTimeSheet[[#This Row],[End Date and Time]]-TblTimeSheet[[#This Row],[Start Date and Time]])</f>
        <v>0.16666666651144624</v>
      </c>
      <c r="M7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4">
        <f>--(0&gt;(TblTimeSheet[[#This Row],[End Date and Time]]-TblTimeSheet[[#This Row],[Start Date and Time]]))</f>
        <v>0</v>
      </c>
    </row>
    <row r="735" spans="1:14" x14ac:dyDescent="0.25">
      <c r="A735" s="1"/>
      <c r="B735" s="2" t="s">
        <v>697</v>
      </c>
      <c r="C735" s="2" t="s">
        <v>116</v>
      </c>
      <c r="D735" s="2" t="s">
        <v>32</v>
      </c>
      <c r="E735" s="7" t="s">
        <v>1130</v>
      </c>
      <c r="F735" s="37">
        <v>42391.520833333336</v>
      </c>
      <c r="G735" s="37">
        <v>42391.541666666664</v>
      </c>
      <c r="H735" s="1" t="s">
        <v>6</v>
      </c>
      <c r="I735" s="1" t="s">
        <v>38</v>
      </c>
      <c r="J735" s="1">
        <v>42392.685763888891</v>
      </c>
      <c r="K735" s="1" t="s">
        <v>81</v>
      </c>
      <c r="L735" s="14">
        <f>24*(TblTimeSheet[[#This Row],[End Date and Time]]-TblTimeSheet[[#This Row],[Start Date and Time]])</f>
        <v>0.49999999988358468</v>
      </c>
      <c r="M7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35">
        <f>--(0&gt;(TblTimeSheet[[#This Row],[End Date and Time]]-TblTimeSheet[[#This Row],[Start Date and Time]]))</f>
        <v>0</v>
      </c>
    </row>
    <row r="736" spans="1:14" x14ac:dyDescent="0.25">
      <c r="A736" s="1"/>
      <c r="B736" s="2" t="s">
        <v>697</v>
      </c>
      <c r="C736" s="2" t="s">
        <v>116</v>
      </c>
      <c r="D736" s="2" t="s">
        <v>32</v>
      </c>
      <c r="E736" s="7" t="s">
        <v>1130</v>
      </c>
      <c r="F736" s="37">
        <v>42391.5625</v>
      </c>
      <c r="G736" s="37">
        <v>42391.625</v>
      </c>
      <c r="H736" s="1" t="s">
        <v>6</v>
      </c>
      <c r="I736" s="1" t="s">
        <v>38</v>
      </c>
      <c r="J736" s="1">
        <v>42392.686249999999</v>
      </c>
      <c r="K736" s="1" t="s">
        <v>81</v>
      </c>
      <c r="L736" s="14">
        <f>24*(TblTimeSheet[[#This Row],[End Date and Time]]-TblTimeSheet[[#This Row],[Start Date and Time]])</f>
        <v>1.5</v>
      </c>
      <c r="M7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36">
        <f>--(0&gt;(TblTimeSheet[[#This Row],[End Date and Time]]-TblTimeSheet[[#This Row],[Start Date and Time]]))</f>
        <v>0</v>
      </c>
    </row>
    <row r="737" spans="1:14" x14ac:dyDescent="0.25">
      <c r="A737" s="1"/>
      <c r="B737" s="2" t="s">
        <v>909</v>
      </c>
      <c r="C737" s="2" t="s">
        <v>116</v>
      </c>
      <c r="D737" s="2" t="s">
        <v>20</v>
      </c>
      <c r="E737" s="7" t="s">
        <v>1787</v>
      </c>
      <c r="F737" s="37">
        <v>42392.666666666664</v>
      </c>
      <c r="G737" s="37">
        <v>42392.708333333336</v>
      </c>
      <c r="H737" s="1" t="s">
        <v>6</v>
      </c>
      <c r="I737" s="1" t="s">
        <v>38</v>
      </c>
      <c r="J737" s="1">
        <v>42392.7424537037</v>
      </c>
      <c r="K737" s="1" t="s">
        <v>701</v>
      </c>
      <c r="L737" s="14">
        <f>24*(TblTimeSheet[[#This Row],[End Date and Time]]-TblTimeSheet[[#This Row],[Start Date and Time]])</f>
        <v>1.0000000001164153</v>
      </c>
      <c r="M7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7">
        <f>--(0&gt;(TblTimeSheet[[#This Row],[End Date and Time]]-TblTimeSheet[[#This Row],[Start Date and Time]]))</f>
        <v>0</v>
      </c>
    </row>
    <row r="738" spans="1:14" x14ac:dyDescent="0.25">
      <c r="A738" s="1"/>
      <c r="B738" s="2" t="s">
        <v>909</v>
      </c>
      <c r="C738" s="2" t="s">
        <v>116</v>
      </c>
      <c r="D738" s="2" t="s">
        <v>20</v>
      </c>
      <c r="E738" s="7" t="s">
        <v>1134</v>
      </c>
      <c r="F738" s="37">
        <v>42392.71875</v>
      </c>
      <c r="G738" s="37">
        <v>42392.739583333336</v>
      </c>
      <c r="H738" s="1" t="s">
        <v>6</v>
      </c>
      <c r="I738" s="1" t="s">
        <v>38</v>
      </c>
      <c r="J738" s="1">
        <v>42392.741793981484</v>
      </c>
      <c r="K738" s="1" t="s">
        <v>701</v>
      </c>
      <c r="L738" s="14">
        <f>24*(TblTimeSheet[[#This Row],[End Date and Time]]-TblTimeSheet[[#This Row],[Start Date and Time]])</f>
        <v>0.50000000005820766</v>
      </c>
      <c r="M7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38">
        <f>--(0&gt;(TblTimeSheet[[#This Row],[End Date and Time]]-TblTimeSheet[[#This Row],[Start Date and Time]]))</f>
        <v>0</v>
      </c>
    </row>
    <row r="739" spans="1:14" x14ac:dyDescent="0.25">
      <c r="A739" s="1"/>
      <c r="B739" s="2" t="s">
        <v>909</v>
      </c>
      <c r="C739" s="2" t="s">
        <v>961</v>
      </c>
      <c r="D739" s="2" t="s">
        <v>20</v>
      </c>
      <c r="E739" s="7" t="s">
        <v>1135</v>
      </c>
      <c r="F739" s="37">
        <v>42392.708333333336</v>
      </c>
      <c r="G739" s="37">
        <v>42392.729166666664</v>
      </c>
      <c r="H739" s="1" t="s">
        <v>6</v>
      </c>
      <c r="I739" s="1" t="s">
        <v>38</v>
      </c>
      <c r="J739" s="1">
        <v>42392.759351851855</v>
      </c>
      <c r="K739" s="1" t="s">
        <v>961</v>
      </c>
      <c r="L739" s="14">
        <f>24*(TblTimeSheet[[#This Row],[End Date and Time]]-TblTimeSheet[[#This Row],[Start Date and Time]])</f>
        <v>0.49999999988358468</v>
      </c>
      <c r="M7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39">
        <f>--(0&gt;(TblTimeSheet[[#This Row],[End Date and Time]]-TblTimeSheet[[#This Row],[Start Date and Time]]))</f>
        <v>0</v>
      </c>
    </row>
    <row r="740" spans="1:14" ht="30" x14ac:dyDescent="0.25">
      <c r="A740" s="1"/>
      <c r="B740" s="2" t="s">
        <v>909</v>
      </c>
      <c r="C740" s="2" t="s">
        <v>171</v>
      </c>
      <c r="D740" s="2" t="s">
        <v>20</v>
      </c>
      <c r="E740" s="7" t="s">
        <v>1136</v>
      </c>
      <c r="F740" s="37">
        <v>42392.729166666664</v>
      </c>
      <c r="G740" s="37">
        <v>42392.739583333336</v>
      </c>
      <c r="H740" s="1" t="s">
        <v>6</v>
      </c>
      <c r="I740" s="1" t="s">
        <v>38</v>
      </c>
      <c r="J740" s="1">
        <v>42392.760358796295</v>
      </c>
      <c r="K740" s="1" t="s">
        <v>171</v>
      </c>
      <c r="L740" s="14">
        <f>24*(TblTimeSheet[[#This Row],[End Date and Time]]-TblTimeSheet[[#This Row],[Start Date and Time]])</f>
        <v>0.25000000011641532</v>
      </c>
      <c r="M7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0">
        <f>--(0&gt;(TblTimeSheet[[#This Row],[End Date and Time]]-TblTimeSheet[[#This Row],[Start Date and Time]]))</f>
        <v>0</v>
      </c>
    </row>
    <row r="741" spans="1:14" x14ac:dyDescent="0.25">
      <c r="A741" s="1"/>
      <c r="B741" s="2" t="s">
        <v>909</v>
      </c>
      <c r="C741" s="2" t="s">
        <v>1117</v>
      </c>
      <c r="D741" s="2" t="s">
        <v>20</v>
      </c>
      <c r="E741" s="7" t="s">
        <v>1137</v>
      </c>
      <c r="F741" s="37">
        <v>42392.729166666664</v>
      </c>
      <c r="G741" s="37">
        <v>42392.739583333336</v>
      </c>
      <c r="H741" s="1" t="s">
        <v>6</v>
      </c>
      <c r="I741" s="1" t="s">
        <v>38</v>
      </c>
      <c r="J741" s="1">
        <v>42392.76090277778</v>
      </c>
      <c r="K741" s="1" t="s">
        <v>2865</v>
      </c>
      <c r="L741" s="14">
        <f>24*(TblTimeSheet[[#This Row],[End Date and Time]]-TblTimeSheet[[#This Row],[Start Date and Time]])</f>
        <v>0.25000000011641532</v>
      </c>
      <c r="M7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1">
        <f>--(0&gt;(TblTimeSheet[[#This Row],[End Date and Time]]-TblTimeSheet[[#This Row],[Start Date and Time]]))</f>
        <v>0</v>
      </c>
    </row>
    <row r="742" spans="1:14" x14ac:dyDescent="0.25">
      <c r="A742" s="1"/>
      <c r="B742" s="2" t="s">
        <v>909</v>
      </c>
      <c r="C742" s="2" t="s">
        <v>118</v>
      </c>
      <c r="D742" s="2" t="s">
        <v>20</v>
      </c>
      <c r="E742" s="7" t="s">
        <v>1138</v>
      </c>
      <c r="F742" s="37">
        <v>42394.548611111109</v>
      </c>
      <c r="G742" s="37">
        <v>42394.5625</v>
      </c>
      <c r="H742" s="1" t="s">
        <v>6</v>
      </c>
      <c r="I742" s="1" t="s">
        <v>38</v>
      </c>
      <c r="J742" s="1">
        <v>42448.461493055554</v>
      </c>
      <c r="K742" s="1" t="s">
        <v>118</v>
      </c>
      <c r="L742" s="14">
        <f>24*(TblTimeSheet[[#This Row],[End Date and Time]]-TblTimeSheet[[#This Row],[Start Date and Time]])</f>
        <v>0.33333333337213844</v>
      </c>
      <c r="M7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2">
        <f>--(0&gt;(TblTimeSheet[[#This Row],[End Date and Time]]-TblTimeSheet[[#This Row],[Start Date and Time]]))</f>
        <v>0</v>
      </c>
    </row>
    <row r="743" spans="1:14" x14ac:dyDescent="0.25">
      <c r="A743" s="1"/>
      <c r="B743" s="2" t="s">
        <v>697</v>
      </c>
      <c r="C743" s="2" t="s">
        <v>116</v>
      </c>
      <c r="D743" s="2" t="s">
        <v>32</v>
      </c>
      <c r="E743" s="7" t="s">
        <v>1144</v>
      </c>
      <c r="F743" s="37">
        <v>42391.520833333336</v>
      </c>
      <c r="G743" s="37">
        <v>42391.541666666664</v>
      </c>
      <c r="H743" s="1" t="s">
        <v>6</v>
      </c>
      <c r="I743" s="1" t="s">
        <v>38</v>
      </c>
      <c r="J743" s="1">
        <v>42394.488900462966</v>
      </c>
      <c r="K743" s="1" t="s">
        <v>701</v>
      </c>
      <c r="L743" s="14">
        <f>24*(TblTimeSheet[[#This Row],[End Date and Time]]-TblTimeSheet[[#This Row],[Start Date and Time]])</f>
        <v>0.49999999988358468</v>
      </c>
      <c r="M7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43">
        <f>--(0&gt;(TblTimeSheet[[#This Row],[End Date and Time]]-TblTimeSheet[[#This Row],[Start Date and Time]]))</f>
        <v>0</v>
      </c>
    </row>
    <row r="744" spans="1:14" x14ac:dyDescent="0.25">
      <c r="A744" s="1"/>
      <c r="B744" s="2" t="s">
        <v>697</v>
      </c>
      <c r="C744" s="2" t="s">
        <v>116</v>
      </c>
      <c r="D744" s="2" t="s">
        <v>32</v>
      </c>
      <c r="E744" s="7" t="s">
        <v>1144</v>
      </c>
      <c r="F744" s="37">
        <v>42391.5625</v>
      </c>
      <c r="G744" s="37">
        <v>42391.625</v>
      </c>
      <c r="H744" s="1" t="s">
        <v>6</v>
      </c>
      <c r="I744" s="1" t="s">
        <v>38</v>
      </c>
      <c r="J744" s="1">
        <v>42394.489224537036</v>
      </c>
      <c r="K744" s="1" t="s">
        <v>701</v>
      </c>
      <c r="L744" s="14">
        <f>24*(TblTimeSheet[[#This Row],[End Date and Time]]-TblTimeSheet[[#This Row],[Start Date and Time]])</f>
        <v>1.5</v>
      </c>
      <c r="M7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44">
        <f>--(0&gt;(TblTimeSheet[[#This Row],[End Date and Time]]-TblTimeSheet[[#This Row],[Start Date and Time]]))</f>
        <v>0</v>
      </c>
    </row>
    <row r="745" spans="1:14" x14ac:dyDescent="0.25">
      <c r="A745" s="1"/>
      <c r="B745" s="2" t="s">
        <v>909</v>
      </c>
      <c r="C745" s="2" t="s">
        <v>116</v>
      </c>
      <c r="D745" s="2" t="s">
        <v>20</v>
      </c>
      <c r="E745" s="7" t="s">
        <v>1139</v>
      </c>
      <c r="F745" s="37">
        <v>42392.71875</v>
      </c>
      <c r="G745" s="37">
        <v>42392.739583333336</v>
      </c>
      <c r="H745" s="1" t="s">
        <v>6</v>
      </c>
      <c r="I745" s="1" t="s">
        <v>38</v>
      </c>
      <c r="J745" s="1">
        <v>42398.607199074075</v>
      </c>
      <c r="K745" s="1" t="s">
        <v>39</v>
      </c>
      <c r="L745" s="14">
        <f>24*(TblTimeSheet[[#This Row],[End Date and Time]]-TblTimeSheet[[#This Row],[Start Date and Time]])</f>
        <v>0.50000000005820766</v>
      </c>
      <c r="M7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45">
        <f>--(0&gt;(TblTimeSheet[[#This Row],[End Date and Time]]-TblTimeSheet[[#This Row],[Start Date and Time]]))</f>
        <v>0</v>
      </c>
    </row>
    <row r="746" spans="1:14" x14ac:dyDescent="0.25">
      <c r="A746" s="1"/>
      <c r="B746" s="2" t="s">
        <v>909</v>
      </c>
      <c r="C746" s="2" t="s">
        <v>961</v>
      </c>
      <c r="D746" s="2" t="s">
        <v>32</v>
      </c>
      <c r="E746" s="7" t="s">
        <v>1788</v>
      </c>
      <c r="F746" s="37">
        <v>42394.6875</v>
      </c>
      <c r="G746" s="37">
        <v>42394.708333333336</v>
      </c>
      <c r="H746" s="1" t="s">
        <v>6</v>
      </c>
      <c r="I746" s="1" t="s">
        <v>38</v>
      </c>
      <c r="J746" s="1">
        <v>42394.796157407407</v>
      </c>
      <c r="K746" s="1" t="s">
        <v>961</v>
      </c>
      <c r="L746" s="14">
        <f>24*(TblTimeSheet[[#This Row],[End Date and Time]]-TblTimeSheet[[#This Row],[Start Date and Time]])</f>
        <v>0.50000000005820766</v>
      </c>
      <c r="M7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6">
        <f>--(0&gt;(TblTimeSheet[[#This Row],[End Date and Time]]-TblTimeSheet[[#This Row],[Start Date and Time]]))</f>
        <v>0</v>
      </c>
    </row>
    <row r="747" spans="1:14" x14ac:dyDescent="0.25">
      <c r="A747" s="1"/>
      <c r="B747" s="2" t="s">
        <v>697</v>
      </c>
      <c r="C747" s="2" t="s">
        <v>124</v>
      </c>
      <c r="D747" s="2" t="s">
        <v>32</v>
      </c>
      <c r="E747" s="7" t="s">
        <v>1140</v>
      </c>
      <c r="F747" s="37">
        <v>42392.416666666664</v>
      </c>
      <c r="G747" s="37">
        <v>42392.4375</v>
      </c>
      <c r="H747" s="1" t="s">
        <v>6</v>
      </c>
      <c r="I747" s="1" t="s">
        <v>38</v>
      </c>
      <c r="J747" s="1">
        <v>42396.373611111114</v>
      </c>
      <c r="K747" s="1" t="s">
        <v>2863</v>
      </c>
      <c r="L747" s="14">
        <f>24*(TblTimeSheet[[#This Row],[End Date and Time]]-TblTimeSheet[[#This Row],[Start Date and Time]])</f>
        <v>0.50000000005820766</v>
      </c>
      <c r="M7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7">
        <f>--(0&gt;(TblTimeSheet[[#This Row],[End Date and Time]]-TblTimeSheet[[#This Row],[Start Date and Time]]))</f>
        <v>0</v>
      </c>
    </row>
    <row r="748" spans="1:14" x14ac:dyDescent="0.25">
      <c r="A748" s="1"/>
      <c r="B748" s="2" t="s">
        <v>697</v>
      </c>
      <c r="C748" s="2" t="s">
        <v>124</v>
      </c>
      <c r="D748" s="2" t="s">
        <v>32</v>
      </c>
      <c r="E748" s="7" t="s">
        <v>1141</v>
      </c>
      <c r="F748" s="37">
        <v>42392.4375</v>
      </c>
      <c r="G748" s="37">
        <v>42392.458333333336</v>
      </c>
      <c r="H748" s="1" t="s">
        <v>6</v>
      </c>
      <c r="I748" s="1" t="s">
        <v>38</v>
      </c>
      <c r="J748" s="1">
        <v>42396.374745370369</v>
      </c>
      <c r="K748" s="1" t="s">
        <v>2863</v>
      </c>
      <c r="L748" s="14">
        <f>24*(TblTimeSheet[[#This Row],[End Date and Time]]-TblTimeSheet[[#This Row],[Start Date and Time]])</f>
        <v>0.50000000005820766</v>
      </c>
      <c r="M7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8">
        <f>--(0&gt;(TblTimeSheet[[#This Row],[End Date and Time]]-TblTimeSheet[[#This Row],[Start Date and Time]]))</f>
        <v>0</v>
      </c>
    </row>
    <row r="749" spans="1:14" x14ac:dyDescent="0.25">
      <c r="A749" s="1"/>
      <c r="B749" s="2" t="s">
        <v>697</v>
      </c>
      <c r="C749" s="2" t="s">
        <v>171</v>
      </c>
      <c r="D749" s="2" t="s">
        <v>32</v>
      </c>
      <c r="E749" s="7" t="s">
        <v>1142</v>
      </c>
      <c r="F749" s="37">
        <v>42396.645833333336</v>
      </c>
      <c r="G749" s="37">
        <v>42396.6875</v>
      </c>
      <c r="H749" s="1" t="s">
        <v>6</v>
      </c>
      <c r="I749" s="1" t="s">
        <v>38</v>
      </c>
      <c r="J749" s="1">
        <v>42396.695752314816</v>
      </c>
      <c r="K749" s="1" t="s">
        <v>171</v>
      </c>
      <c r="L749" s="14">
        <f>24*(TblTimeSheet[[#This Row],[End Date and Time]]-TblTimeSheet[[#This Row],[Start Date and Time]])</f>
        <v>0.99999999994179234</v>
      </c>
      <c r="M7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49">
        <f>--(0&gt;(TblTimeSheet[[#This Row],[End Date and Time]]-TblTimeSheet[[#This Row],[Start Date and Time]]))</f>
        <v>0</v>
      </c>
    </row>
    <row r="750" spans="1:14" x14ac:dyDescent="0.25">
      <c r="A750" s="1"/>
      <c r="B750" s="2" t="s">
        <v>697</v>
      </c>
      <c r="C750" s="2" t="s">
        <v>116</v>
      </c>
      <c r="D750" s="2" t="s">
        <v>32</v>
      </c>
      <c r="E750" s="7" t="s">
        <v>1789</v>
      </c>
      <c r="F750" s="37">
        <v>42396.645833333336</v>
      </c>
      <c r="G750" s="37">
        <v>42396.6875</v>
      </c>
      <c r="H750" s="1" t="s">
        <v>6</v>
      </c>
      <c r="I750" s="1" t="s">
        <v>38</v>
      </c>
      <c r="J750" s="1">
        <v>42396.722280092596</v>
      </c>
      <c r="K750" s="1" t="s">
        <v>81</v>
      </c>
      <c r="L750" s="14">
        <f>24*(TblTimeSheet[[#This Row],[End Date and Time]]-TblTimeSheet[[#This Row],[Start Date and Time]])</f>
        <v>0.99999999994179234</v>
      </c>
      <c r="M7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0">
        <f>--(0&gt;(TblTimeSheet[[#This Row],[End Date and Time]]-TblTimeSheet[[#This Row],[Start Date and Time]]))</f>
        <v>0</v>
      </c>
    </row>
    <row r="751" spans="1:14" x14ac:dyDescent="0.25">
      <c r="A751" s="1"/>
      <c r="B751" s="2" t="s">
        <v>697</v>
      </c>
      <c r="C751" s="2" t="s">
        <v>124</v>
      </c>
      <c r="D751" s="2" t="s">
        <v>32</v>
      </c>
      <c r="E751" s="7" t="s">
        <v>957</v>
      </c>
      <c r="F751" s="37">
        <v>42396.645833333336</v>
      </c>
      <c r="G751" s="37">
        <v>42396.6875</v>
      </c>
      <c r="H751" s="1" t="s">
        <v>6</v>
      </c>
      <c r="I751" s="1" t="s">
        <v>38</v>
      </c>
      <c r="J751" s="1">
        <v>42397.37054398148</v>
      </c>
      <c r="K751" s="1" t="s">
        <v>2863</v>
      </c>
      <c r="L751" s="14">
        <f>24*(TblTimeSheet[[#This Row],[End Date and Time]]-TblTimeSheet[[#This Row],[Start Date and Time]])</f>
        <v>0.99999999994179234</v>
      </c>
      <c r="M7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1">
        <f>--(0&gt;(TblTimeSheet[[#This Row],[End Date and Time]]-TblTimeSheet[[#This Row],[Start Date and Time]]))</f>
        <v>0</v>
      </c>
    </row>
    <row r="752" spans="1:14" x14ac:dyDescent="0.25">
      <c r="A752" s="1"/>
      <c r="B752" s="2" t="s">
        <v>697</v>
      </c>
      <c r="C752" s="2" t="s">
        <v>118</v>
      </c>
      <c r="D752" s="2" t="s">
        <v>32</v>
      </c>
      <c r="E752" s="7" t="s">
        <v>1143</v>
      </c>
      <c r="F752" s="37">
        <v>42397.5625</v>
      </c>
      <c r="G752" s="37">
        <v>42397.625</v>
      </c>
      <c r="H752" s="1" t="s">
        <v>6</v>
      </c>
      <c r="I752" s="1" t="s">
        <v>38</v>
      </c>
      <c r="J752" s="1">
        <v>42397.62740740741</v>
      </c>
      <c r="K752" s="1" t="s">
        <v>118</v>
      </c>
      <c r="L752" s="14">
        <f>24*(TblTimeSheet[[#This Row],[End Date and Time]]-TblTimeSheet[[#This Row],[Start Date and Time]])</f>
        <v>1.5</v>
      </c>
      <c r="M7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2">
        <f>--(0&gt;(TblTimeSheet[[#This Row],[End Date and Time]]-TblTimeSheet[[#This Row],[Start Date and Time]]))</f>
        <v>0</v>
      </c>
    </row>
    <row r="753" spans="1:14" x14ac:dyDescent="0.25">
      <c r="A753" s="1"/>
      <c r="B753" s="2" t="s">
        <v>697</v>
      </c>
      <c r="C753" s="2" t="s">
        <v>118</v>
      </c>
      <c r="D753" s="2" t="s">
        <v>32</v>
      </c>
      <c r="E753" s="7" t="s">
        <v>1144</v>
      </c>
      <c r="F753" s="37">
        <v>42391.520833333336</v>
      </c>
      <c r="G753" s="37">
        <v>42391.541666666664</v>
      </c>
      <c r="H753" s="1" t="s">
        <v>6</v>
      </c>
      <c r="I753" s="1" t="s">
        <v>38</v>
      </c>
      <c r="J753" s="1">
        <v>42397.628750000003</v>
      </c>
      <c r="K753" s="1" t="s">
        <v>118</v>
      </c>
      <c r="L753" s="14">
        <f>24*(TblTimeSheet[[#This Row],[End Date and Time]]-TblTimeSheet[[#This Row],[Start Date and Time]])</f>
        <v>0.49999999988358468</v>
      </c>
      <c r="M7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3">
        <f>--(0&gt;(TblTimeSheet[[#This Row],[End Date and Time]]-TblTimeSheet[[#This Row],[Start Date and Time]]))</f>
        <v>0</v>
      </c>
    </row>
    <row r="754" spans="1:14" x14ac:dyDescent="0.25">
      <c r="A754" s="1"/>
      <c r="B754" s="2" t="s">
        <v>697</v>
      </c>
      <c r="C754" s="2" t="s">
        <v>118</v>
      </c>
      <c r="D754" s="2" t="s">
        <v>32</v>
      </c>
      <c r="E754" s="7" t="s">
        <v>1144</v>
      </c>
      <c r="F754" s="37">
        <v>42391.5625</v>
      </c>
      <c r="G754" s="37">
        <v>42391.625</v>
      </c>
      <c r="H754" s="1" t="s">
        <v>6</v>
      </c>
      <c r="I754" s="1" t="s">
        <v>38</v>
      </c>
      <c r="J754" s="1">
        <v>42397.629108796296</v>
      </c>
      <c r="K754" s="1" t="s">
        <v>118</v>
      </c>
      <c r="L754" s="14">
        <f>24*(TblTimeSheet[[#This Row],[End Date and Time]]-TblTimeSheet[[#This Row],[Start Date and Time]])</f>
        <v>1.5</v>
      </c>
      <c r="M7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4">
        <f>--(0&gt;(TblTimeSheet[[#This Row],[End Date and Time]]-TblTimeSheet[[#This Row],[Start Date and Time]]))</f>
        <v>0</v>
      </c>
    </row>
    <row r="755" spans="1:14" x14ac:dyDescent="0.25">
      <c r="A755" s="1"/>
      <c r="B755" s="2" t="s">
        <v>697</v>
      </c>
      <c r="C755" s="2" t="s">
        <v>43</v>
      </c>
      <c r="D755" s="2" t="s">
        <v>32</v>
      </c>
      <c r="E755" s="7" t="s">
        <v>1145</v>
      </c>
      <c r="F755" s="37">
        <v>42397.604166666664</v>
      </c>
      <c r="G755" s="37">
        <v>42397.625</v>
      </c>
      <c r="H755" s="1" t="s">
        <v>6</v>
      </c>
      <c r="I755" s="1" t="s">
        <v>38</v>
      </c>
      <c r="J755" s="1">
        <v>42397.630185185182</v>
      </c>
      <c r="K755" s="1" t="s">
        <v>43</v>
      </c>
      <c r="L755" s="14">
        <f>24*(TblTimeSheet[[#This Row],[End Date and Time]]-TblTimeSheet[[#This Row],[Start Date and Time]])</f>
        <v>0.50000000005820766</v>
      </c>
      <c r="M7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5">
        <f>--(0&gt;(TblTimeSheet[[#This Row],[End Date and Time]]-TblTimeSheet[[#This Row],[Start Date and Time]]))</f>
        <v>0</v>
      </c>
    </row>
    <row r="756" spans="1:14" ht="30" x14ac:dyDescent="0.25">
      <c r="A756" s="1"/>
      <c r="B756" s="2" t="s">
        <v>909</v>
      </c>
      <c r="C756" s="2" t="s">
        <v>961</v>
      </c>
      <c r="D756" s="2" t="s">
        <v>32</v>
      </c>
      <c r="E756" s="7" t="s">
        <v>1146</v>
      </c>
      <c r="F756" s="37">
        <v>42397.6875</v>
      </c>
      <c r="G756" s="37">
        <v>42397.777777777781</v>
      </c>
      <c r="H756" s="1" t="s">
        <v>6</v>
      </c>
      <c r="I756" s="1" t="s">
        <v>38</v>
      </c>
      <c r="J756" s="1">
        <v>42448.609178240738</v>
      </c>
      <c r="K756" s="1" t="s">
        <v>961</v>
      </c>
      <c r="L756" s="14">
        <f>24*(TblTimeSheet[[#This Row],[End Date and Time]]-TblTimeSheet[[#This Row],[Start Date and Time]])</f>
        <v>2.1666666667442769</v>
      </c>
      <c r="M7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6">
        <f>--(0&gt;(TblTimeSheet[[#This Row],[End Date and Time]]-TblTimeSheet[[#This Row],[Start Date and Time]]))</f>
        <v>0</v>
      </c>
    </row>
    <row r="757" spans="1:14" x14ac:dyDescent="0.25">
      <c r="A757" s="1"/>
      <c r="B757" s="2" t="s">
        <v>697</v>
      </c>
      <c r="C757" s="2" t="s">
        <v>116</v>
      </c>
      <c r="D757" s="2" t="s">
        <v>32</v>
      </c>
      <c r="E757" s="7" t="s">
        <v>1790</v>
      </c>
      <c r="F757" s="37">
        <v>42398.6875</v>
      </c>
      <c r="G757" s="37">
        <v>42398.75</v>
      </c>
      <c r="H757" s="1" t="s">
        <v>6</v>
      </c>
      <c r="I757" s="1" t="s">
        <v>38</v>
      </c>
      <c r="J757" s="1">
        <v>42405.441284722219</v>
      </c>
      <c r="K757" s="1" t="s">
        <v>701</v>
      </c>
      <c r="L757" s="14">
        <f>24*(TblTimeSheet[[#This Row],[End Date and Time]]-TblTimeSheet[[#This Row],[Start Date and Time]])</f>
        <v>1.5</v>
      </c>
      <c r="M7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7">
        <f>--(0&gt;(TblTimeSheet[[#This Row],[End Date and Time]]-TblTimeSheet[[#This Row],[Start Date and Time]]))</f>
        <v>0</v>
      </c>
    </row>
    <row r="758" spans="1:14" x14ac:dyDescent="0.25">
      <c r="A758" s="1"/>
      <c r="B758" s="2" t="s">
        <v>697</v>
      </c>
      <c r="C758" s="2" t="s">
        <v>116</v>
      </c>
      <c r="D758" s="2" t="s">
        <v>32</v>
      </c>
      <c r="E758" s="7" t="s">
        <v>1147</v>
      </c>
      <c r="F758" s="37">
        <v>42398.756944444445</v>
      </c>
      <c r="G758" s="37">
        <v>42398.770833333336</v>
      </c>
      <c r="H758" s="1" t="s">
        <v>6</v>
      </c>
      <c r="I758" s="1" t="s">
        <v>38</v>
      </c>
      <c r="J758" s="1">
        <v>42405.441192129627</v>
      </c>
      <c r="K758" s="1" t="s">
        <v>701</v>
      </c>
      <c r="L758" s="14">
        <f>24*(TblTimeSheet[[#This Row],[End Date and Time]]-TblTimeSheet[[#This Row],[Start Date and Time]])</f>
        <v>0.33333333337213844</v>
      </c>
      <c r="M7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58">
        <f>--(0&gt;(TblTimeSheet[[#This Row],[End Date and Time]]-TblTimeSheet[[#This Row],[Start Date and Time]]))</f>
        <v>0</v>
      </c>
    </row>
    <row r="759" spans="1:14" ht="30" x14ac:dyDescent="0.25">
      <c r="A759" s="1"/>
      <c r="B759" s="2" t="s">
        <v>909</v>
      </c>
      <c r="C759" s="2" t="s">
        <v>961</v>
      </c>
      <c r="D759" s="2" t="s">
        <v>32</v>
      </c>
      <c r="E759" s="7" t="s">
        <v>1148</v>
      </c>
      <c r="F759" s="37">
        <v>42398.666666666664</v>
      </c>
      <c r="G759" s="37">
        <v>42398.729166666664</v>
      </c>
      <c r="H759" s="1" t="s">
        <v>6</v>
      </c>
      <c r="I759" s="1" t="s">
        <v>38</v>
      </c>
      <c r="J759" s="1">
        <v>42446.685069444444</v>
      </c>
      <c r="K759" s="1" t="s">
        <v>961</v>
      </c>
      <c r="L759" s="14">
        <f>24*(TblTimeSheet[[#This Row],[End Date and Time]]-TblTimeSheet[[#This Row],[Start Date and Time]])</f>
        <v>1.5</v>
      </c>
      <c r="M7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59">
        <f>--(0&gt;(TblTimeSheet[[#This Row],[End Date and Time]]-TblTimeSheet[[#This Row],[Start Date and Time]]))</f>
        <v>0</v>
      </c>
    </row>
    <row r="760" spans="1:14" x14ac:dyDescent="0.25">
      <c r="A760" s="1"/>
      <c r="B760" s="2" t="s">
        <v>909</v>
      </c>
      <c r="C760" s="2" t="s">
        <v>961</v>
      </c>
      <c r="D760" s="2" t="s">
        <v>32</v>
      </c>
      <c r="E760" s="7" t="s">
        <v>1149</v>
      </c>
      <c r="F760" s="37">
        <v>42399.475694444445</v>
      </c>
      <c r="G760" s="37">
        <v>42399.5</v>
      </c>
      <c r="H760" s="1" t="s">
        <v>6</v>
      </c>
      <c r="I760" s="1" t="s">
        <v>38</v>
      </c>
      <c r="J760" s="1">
        <v>42446.685902777775</v>
      </c>
      <c r="K760" s="1" t="s">
        <v>961</v>
      </c>
      <c r="L760" s="14">
        <f>24*(TblTimeSheet[[#This Row],[End Date and Time]]-TblTimeSheet[[#This Row],[Start Date and Time]])</f>
        <v>0.58333333331393078</v>
      </c>
      <c r="M7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0">
        <f>--(0&gt;(TblTimeSheet[[#This Row],[End Date and Time]]-TblTimeSheet[[#This Row],[Start Date and Time]]))</f>
        <v>0</v>
      </c>
    </row>
    <row r="761" spans="1:14" x14ac:dyDescent="0.25">
      <c r="A761" s="1"/>
      <c r="B761" s="2" t="s">
        <v>697</v>
      </c>
      <c r="C761" s="2" t="s">
        <v>116</v>
      </c>
      <c r="D761" s="2" t="s">
        <v>32</v>
      </c>
      <c r="E761" s="7" t="s">
        <v>1150</v>
      </c>
      <c r="F761" s="37">
        <v>42398.756944444445</v>
      </c>
      <c r="G761" s="37">
        <v>42398.770833333336</v>
      </c>
      <c r="H761" s="1" t="s">
        <v>6</v>
      </c>
      <c r="I761" s="1" t="s">
        <v>38</v>
      </c>
      <c r="J761" s="1">
        <v>42401.626354166663</v>
      </c>
      <c r="K761" s="1" t="s">
        <v>39</v>
      </c>
      <c r="L761" s="14">
        <f>24*(TblTimeSheet[[#This Row],[End Date and Time]]-TblTimeSheet[[#This Row],[Start Date and Time]])</f>
        <v>0.33333333337213844</v>
      </c>
      <c r="M7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61">
        <f>--(0&gt;(TblTimeSheet[[#This Row],[End Date and Time]]-TblTimeSheet[[#This Row],[Start Date and Time]]))</f>
        <v>0</v>
      </c>
    </row>
    <row r="762" spans="1:14" x14ac:dyDescent="0.25">
      <c r="A762" s="1"/>
      <c r="B762" s="2" t="s">
        <v>909</v>
      </c>
      <c r="C762" s="2" t="s">
        <v>1061</v>
      </c>
      <c r="D762" s="2" t="s">
        <v>20</v>
      </c>
      <c r="E762" s="7" t="s">
        <v>1791</v>
      </c>
      <c r="F762" s="37">
        <v>42401.614583333336</v>
      </c>
      <c r="G762" s="37">
        <v>42401.645833333336</v>
      </c>
      <c r="H762" s="1" t="s">
        <v>6</v>
      </c>
      <c r="I762" s="1" t="s">
        <v>38</v>
      </c>
      <c r="J762" s="1">
        <v>42401.650960648149</v>
      </c>
      <c r="K762" s="1" t="s">
        <v>1061</v>
      </c>
      <c r="L762" s="14">
        <f>24*(TblTimeSheet[[#This Row],[End Date and Time]]-TblTimeSheet[[#This Row],[Start Date and Time]])</f>
        <v>0.75</v>
      </c>
      <c r="M7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2">
        <f>--(0&gt;(TblTimeSheet[[#This Row],[End Date and Time]]-TblTimeSheet[[#This Row],[Start Date and Time]]))</f>
        <v>0</v>
      </c>
    </row>
    <row r="763" spans="1:14" x14ac:dyDescent="0.25">
      <c r="A763" s="1"/>
      <c r="B763" s="2" t="s">
        <v>909</v>
      </c>
      <c r="C763" s="2" t="s">
        <v>116</v>
      </c>
      <c r="D763" s="2" t="s">
        <v>20</v>
      </c>
      <c r="E763" s="7" t="s">
        <v>449</v>
      </c>
      <c r="F763" s="37">
        <v>42401.614583333336</v>
      </c>
      <c r="G763" s="37">
        <v>42401.645833333336</v>
      </c>
      <c r="H763" s="1" t="s">
        <v>6</v>
      </c>
      <c r="I763" s="1" t="s">
        <v>38</v>
      </c>
      <c r="J763" s="1">
        <v>42401.674108796295</v>
      </c>
      <c r="K763" s="1" t="s">
        <v>701</v>
      </c>
      <c r="L763" s="14">
        <f>24*(TblTimeSheet[[#This Row],[End Date and Time]]-TblTimeSheet[[#This Row],[Start Date and Time]])</f>
        <v>0.75</v>
      </c>
      <c r="M7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63">
        <f>--(0&gt;(TblTimeSheet[[#This Row],[End Date and Time]]-TblTimeSheet[[#This Row],[Start Date and Time]]))</f>
        <v>0</v>
      </c>
    </row>
    <row r="764" spans="1:14" x14ac:dyDescent="0.25">
      <c r="A764" s="1"/>
      <c r="B764" s="2" t="s">
        <v>909</v>
      </c>
      <c r="C764" s="2" t="s">
        <v>116</v>
      </c>
      <c r="D764" s="2" t="s">
        <v>20</v>
      </c>
      <c r="E764" s="7" t="s">
        <v>985</v>
      </c>
      <c r="F764" s="37">
        <v>42401.614583333336</v>
      </c>
      <c r="G764" s="37">
        <v>42401.645833333336</v>
      </c>
      <c r="H764" s="1" t="s">
        <v>6</v>
      </c>
      <c r="I764" s="1" t="s">
        <v>38</v>
      </c>
      <c r="J764" s="1">
        <v>42401.719513888886</v>
      </c>
      <c r="K764" s="1" t="s">
        <v>39</v>
      </c>
      <c r="L764" s="14">
        <f>24*(TblTimeSheet[[#This Row],[End Date and Time]]-TblTimeSheet[[#This Row],[Start Date and Time]])</f>
        <v>0.75</v>
      </c>
      <c r="M7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64">
        <f>--(0&gt;(TblTimeSheet[[#This Row],[End Date and Time]]-TblTimeSheet[[#This Row],[Start Date and Time]]))</f>
        <v>0</v>
      </c>
    </row>
    <row r="765" spans="1:14" ht="60" x14ac:dyDescent="0.25">
      <c r="A765" s="1"/>
      <c r="B765" s="2" t="s">
        <v>909</v>
      </c>
      <c r="C765" s="2" t="s">
        <v>1105</v>
      </c>
      <c r="D765" s="2" t="s">
        <v>20</v>
      </c>
      <c r="E765" s="7" t="s">
        <v>1792</v>
      </c>
      <c r="F765" s="37">
        <v>42401.614583333336</v>
      </c>
      <c r="G765" s="37">
        <v>42401.645833333336</v>
      </c>
      <c r="H765" s="1" t="s">
        <v>6</v>
      </c>
      <c r="I765" s="1" t="s">
        <v>38</v>
      </c>
      <c r="J765" s="1">
        <v>42401.723043981481</v>
      </c>
      <c r="K765" s="1" t="s">
        <v>2864</v>
      </c>
      <c r="L765" s="14">
        <f>24*(TblTimeSheet[[#This Row],[End Date and Time]]-TblTimeSheet[[#This Row],[Start Date and Time]])</f>
        <v>0.75</v>
      </c>
      <c r="M7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5">
        <f>--(0&gt;(TblTimeSheet[[#This Row],[End Date and Time]]-TblTimeSheet[[#This Row],[Start Date and Time]]))</f>
        <v>0</v>
      </c>
    </row>
    <row r="766" spans="1:14" x14ac:dyDescent="0.25">
      <c r="A766" s="1"/>
      <c r="B766" s="2" t="s">
        <v>909</v>
      </c>
      <c r="C766" s="2" t="s">
        <v>961</v>
      </c>
      <c r="D766" s="2" t="s">
        <v>20</v>
      </c>
      <c r="E766" s="7" t="s">
        <v>1793</v>
      </c>
      <c r="F766" s="37">
        <v>42401.614583333336</v>
      </c>
      <c r="G766" s="37">
        <v>42401.645833333336</v>
      </c>
      <c r="H766" s="1" t="s">
        <v>6</v>
      </c>
      <c r="I766" s="1" t="s">
        <v>38</v>
      </c>
      <c r="J766" s="1">
        <v>42403.600960648146</v>
      </c>
      <c r="K766" s="1" t="s">
        <v>961</v>
      </c>
      <c r="L766" s="14">
        <f>24*(TblTimeSheet[[#This Row],[End Date and Time]]-TblTimeSheet[[#This Row],[Start Date and Time]])</f>
        <v>0.75</v>
      </c>
      <c r="M7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6">
        <f>--(0&gt;(TblTimeSheet[[#This Row],[End Date and Time]]-TblTimeSheet[[#This Row],[Start Date and Time]]))</f>
        <v>0</v>
      </c>
    </row>
    <row r="767" spans="1:14" x14ac:dyDescent="0.25">
      <c r="A767" s="1"/>
      <c r="B767" s="2" t="s">
        <v>909</v>
      </c>
      <c r="C767" s="2" t="s">
        <v>116</v>
      </c>
      <c r="D767" s="2" t="s">
        <v>32</v>
      </c>
      <c r="E767" s="7" t="s">
        <v>1151</v>
      </c>
      <c r="F767" s="37">
        <v>42402.395833333336</v>
      </c>
      <c r="G767" s="37">
        <v>42402.5625</v>
      </c>
      <c r="H767" s="1" t="s">
        <v>6</v>
      </c>
      <c r="I767" s="1" t="s">
        <v>38</v>
      </c>
      <c r="J767" s="1">
        <v>42403.608067129629</v>
      </c>
      <c r="K767" s="1" t="s">
        <v>701</v>
      </c>
      <c r="L767" s="14">
        <f>24*(TblTimeSheet[[#This Row],[End Date and Time]]-TblTimeSheet[[#This Row],[Start Date and Time]])</f>
        <v>3.9999999999417923</v>
      </c>
      <c r="M7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7">
        <f>--(0&gt;(TblTimeSheet[[#This Row],[End Date and Time]]-TblTimeSheet[[#This Row],[Start Date and Time]]))</f>
        <v>0</v>
      </c>
    </row>
    <row r="768" spans="1:14" x14ac:dyDescent="0.25">
      <c r="A768" s="1"/>
      <c r="B768" s="2" t="s">
        <v>909</v>
      </c>
      <c r="C768" s="2" t="s">
        <v>116</v>
      </c>
      <c r="D768" s="2" t="s">
        <v>32</v>
      </c>
      <c r="E768" s="7" t="s">
        <v>1152</v>
      </c>
      <c r="F768" s="37">
        <v>42402.583333333336</v>
      </c>
      <c r="G768" s="37">
        <v>42402.770833333336</v>
      </c>
      <c r="H768" s="1" t="s">
        <v>6</v>
      </c>
      <c r="I768" s="1" t="s">
        <v>38</v>
      </c>
      <c r="J768" s="1">
        <v>42403.608530092592</v>
      </c>
      <c r="K768" s="1" t="s">
        <v>701</v>
      </c>
      <c r="L768" s="14">
        <f>24*(TblTimeSheet[[#This Row],[End Date and Time]]-TblTimeSheet[[#This Row],[Start Date and Time]])</f>
        <v>4.5</v>
      </c>
      <c r="M7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8">
        <f>--(0&gt;(TblTimeSheet[[#This Row],[End Date and Time]]-TblTimeSheet[[#This Row],[Start Date and Time]]))</f>
        <v>0</v>
      </c>
    </row>
    <row r="769" spans="1:14" x14ac:dyDescent="0.25">
      <c r="A769" s="1"/>
      <c r="B769" s="2" t="s">
        <v>697</v>
      </c>
      <c r="C769" s="2" t="s">
        <v>116</v>
      </c>
      <c r="D769" s="2" t="s">
        <v>32</v>
      </c>
      <c r="E769" s="7" t="s">
        <v>1153</v>
      </c>
      <c r="F769" s="37">
        <v>42403.395833333336</v>
      </c>
      <c r="G769" s="37">
        <v>42403.5625</v>
      </c>
      <c r="H769" s="1" t="s">
        <v>6</v>
      </c>
      <c r="I769" s="1" t="s">
        <v>38</v>
      </c>
      <c r="J769" s="1">
        <v>42403.614930555559</v>
      </c>
      <c r="K769" s="1" t="s">
        <v>701</v>
      </c>
      <c r="L769" s="14">
        <f>24*(TblTimeSheet[[#This Row],[End Date and Time]]-TblTimeSheet[[#This Row],[Start Date and Time]])</f>
        <v>3.9999999999417923</v>
      </c>
      <c r="M7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69">
        <f>--(0&gt;(TblTimeSheet[[#This Row],[End Date and Time]]-TblTimeSheet[[#This Row],[Start Date and Time]]))</f>
        <v>0</v>
      </c>
    </row>
    <row r="770" spans="1:14" x14ac:dyDescent="0.25">
      <c r="A770" s="1"/>
      <c r="B770" s="2" t="s">
        <v>909</v>
      </c>
      <c r="C770" s="2" t="s">
        <v>41</v>
      </c>
      <c r="D770" s="2" t="s">
        <v>20</v>
      </c>
      <c r="E770" s="7" t="s">
        <v>1154</v>
      </c>
      <c r="F770" s="37">
        <v>42401.614583333336</v>
      </c>
      <c r="G770" s="37">
        <v>42401.645833333336</v>
      </c>
      <c r="H770" s="1" t="s">
        <v>6</v>
      </c>
      <c r="I770" s="1" t="s">
        <v>38</v>
      </c>
      <c r="J770" s="1">
        <v>42412.736886574072</v>
      </c>
      <c r="K770" s="1" t="s">
        <v>41</v>
      </c>
      <c r="L770" s="14">
        <f>24*(TblTimeSheet[[#This Row],[End Date and Time]]-TblTimeSheet[[#This Row],[Start Date and Time]])</f>
        <v>0.75</v>
      </c>
      <c r="M7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0">
        <f>--(0&gt;(TblTimeSheet[[#This Row],[End Date and Time]]-TblTimeSheet[[#This Row],[Start Date and Time]]))</f>
        <v>0</v>
      </c>
    </row>
    <row r="771" spans="1:14" x14ac:dyDescent="0.25">
      <c r="A771" s="1"/>
      <c r="B771" s="2" t="s">
        <v>909</v>
      </c>
      <c r="C771" s="2" t="s">
        <v>41</v>
      </c>
      <c r="D771" s="2" t="s">
        <v>20</v>
      </c>
      <c r="E771" s="7" t="s">
        <v>1155</v>
      </c>
      <c r="F771" s="37">
        <v>42401.375</v>
      </c>
      <c r="G771" s="37">
        <v>42401.395833333336</v>
      </c>
      <c r="H771" s="1" t="s">
        <v>6</v>
      </c>
      <c r="I771" s="1" t="s">
        <v>38</v>
      </c>
      <c r="J771" s="1">
        <v>42412.73709490741</v>
      </c>
      <c r="K771" s="1" t="s">
        <v>41</v>
      </c>
      <c r="L771" s="14">
        <f>24*(TblTimeSheet[[#This Row],[End Date and Time]]-TblTimeSheet[[#This Row],[Start Date and Time]])</f>
        <v>0.50000000005820766</v>
      </c>
      <c r="M7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1">
        <f>--(0&gt;(TblTimeSheet[[#This Row],[End Date and Time]]-TblTimeSheet[[#This Row],[Start Date and Time]]))</f>
        <v>0</v>
      </c>
    </row>
    <row r="772" spans="1:14" x14ac:dyDescent="0.25">
      <c r="A772" s="1"/>
      <c r="B772" s="2" t="s">
        <v>909</v>
      </c>
      <c r="C772" s="2" t="s">
        <v>41</v>
      </c>
      <c r="D772" s="2" t="s">
        <v>20</v>
      </c>
      <c r="E772" s="7" t="s">
        <v>1156</v>
      </c>
      <c r="F772" s="37">
        <v>42402.458333333336</v>
      </c>
      <c r="G772" s="37">
        <v>42402.5</v>
      </c>
      <c r="H772" s="1" t="s">
        <v>6</v>
      </c>
      <c r="I772" s="1" t="s">
        <v>38</v>
      </c>
      <c r="J772" s="1">
        <v>42404.602951388886</v>
      </c>
      <c r="K772" s="1" t="s">
        <v>41</v>
      </c>
      <c r="L772" s="14">
        <f>24*(TblTimeSheet[[#This Row],[End Date and Time]]-TblTimeSheet[[#This Row],[Start Date and Time]])</f>
        <v>0.99999999994179234</v>
      </c>
      <c r="M7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2">
        <f>--(0&gt;(TblTimeSheet[[#This Row],[End Date and Time]]-TblTimeSheet[[#This Row],[Start Date and Time]]))</f>
        <v>0</v>
      </c>
    </row>
    <row r="773" spans="1:14" x14ac:dyDescent="0.25">
      <c r="A773" s="1"/>
      <c r="B773" s="2" t="s">
        <v>909</v>
      </c>
      <c r="C773" s="2" t="s">
        <v>41</v>
      </c>
      <c r="D773" s="2" t="s">
        <v>20</v>
      </c>
      <c r="E773" s="7" t="s">
        <v>1157</v>
      </c>
      <c r="F773" s="37">
        <v>42403.375</v>
      </c>
      <c r="G773" s="37">
        <v>42403.395833333336</v>
      </c>
      <c r="H773" s="1" t="s">
        <v>6</v>
      </c>
      <c r="I773" s="1" t="s">
        <v>38</v>
      </c>
      <c r="J773" s="1">
        <v>42404.603368055556</v>
      </c>
      <c r="K773" s="1" t="s">
        <v>41</v>
      </c>
      <c r="L773" s="14">
        <f>24*(TblTimeSheet[[#This Row],[End Date and Time]]-TblTimeSheet[[#This Row],[Start Date and Time]])</f>
        <v>0.50000000005820766</v>
      </c>
      <c r="M7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3">
        <f>--(0&gt;(TblTimeSheet[[#This Row],[End Date and Time]]-TblTimeSheet[[#This Row],[Start Date and Time]]))</f>
        <v>0</v>
      </c>
    </row>
    <row r="774" spans="1:14" x14ac:dyDescent="0.25">
      <c r="A774" s="1"/>
      <c r="B774" s="2" t="s">
        <v>909</v>
      </c>
      <c r="C774" s="2" t="s">
        <v>41</v>
      </c>
      <c r="D774" s="2" t="s">
        <v>20</v>
      </c>
      <c r="E774" s="7" t="s">
        <v>1158</v>
      </c>
      <c r="F774" s="37">
        <v>42404.458333333336</v>
      </c>
      <c r="G774" s="37">
        <v>42404.479166666664</v>
      </c>
      <c r="H774" s="1" t="s">
        <v>6</v>
      </c>
      <c r="I774" s="1" t="s">
        <v>38</v>
      </c>
      <c r="J774" s="1">
        <v>42404.603703703702</v>
      </c>
      <c r="K774" s="1" t="s">
        <v>41</v>
      </c>
      <c r="L774" s="14">
        <f>24*(TblTimeSheet[[#This Row],[End Date and Time]]-TblTimeSheet[[#This Row],[Start Date and Time]])</f>
        <v>0.49999999988358468</v>
      </c>
      <c r="M7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4">
        <f>--(0&gt;(TblTimeSheet[[#This Row],[End Date and Time]]-TblTimeSheet[[#This Row],[Start Date and Time]]))</f>
        <v>0</v>
      </c>
    </row>
    <row r="775" spans="1:14" x14ac:dyDescent="0.25">
      <c r="A775" s="1"/>
      <c r="B775" s="2" t="s">
        <v>697</v>
      </c>
      <c r="C775" s="2" t="s">
        <v>124</v>
      </c>
      <c r="D775" s="2" t="s">
        <v>32</v>
      </c>
      <c r="E775" s="7" t="s">
        <v>1159</v>
      </c>
      <c r="F775" s="37">
        <v>42396.375</v>
      </c>
      <c r="G775" s="37">
        <v>42396.541666666664</v>
      </c>
      <c r="H775" s="1" t="s">
        <v>6</v>
      </c>
      <c r="I775" s="1" t="s">
        <v>38</v>
      </c>
      <c r="J775" s="1">
        <v>42404.673842592594</v>
      </c>
      <c r="K775" s="1" t="s">
        <v>2863</v>
      </c>
      <c r="L775" s="14">
        <f>24*(TblTimeSheet[[#This Row],[End Date and Time]]-TblTimeSheet[[#This Row],[Start Date and Time]])</f>
        <v>3.9999999999417923</v>
      </c>
      <c r="M7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5">
        <f>--(0&gt;(TblTimeSheet[[#This Row],[End Date and Time]]-TblTimeSheet[[#This Row],[Start Date and Time]]))</f>
        <v>0</v>
      </c>
    </row>
    <row r="776" spans="1:14" x14ac:dyDescent="0.25">
      <c r="A776" s="1"/>
      <c r="B776" s="2" t="s">
        <v>909</v>
      </c>
      <c r="C776" s="2" t="s">
        <v>116</v>
      </c>
      <c r="D776" s="2" t="s">
        <v>20</v>
      </c>
      <c r="E776" s="7" t="s">
        <v>1160</v>
      </c>
      <c r="F776" s="37">
        <v>42404.677083333336</v>
      </c>
      <c r="G776" s="37">
        <v>42404.739583333336</v>
      </c>
      <c r="H776" s="1" t="s">
        <v>6</v>
      </c>
      <c r="I776" s="1" t="s">
        <v>38</v>
      </c>
      <c r="J776" s="1">
        <v>42404.740833333337</v>
      </c>
      <c r="K776" s="1" t="s">
        <v>701</v>
      </c>
      <c r="L776" s="14">
        <f>24*(TblTimeSheet[[#This Row],[End Date and Time]]-TblTimeSheet[[#This Row],[Start Date and Time]])</f>
        <v>1.5</v>
      </c>
      <c r="M7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6">
        <f>--(0&gt;(TblTimeSheet[[#This Row],[End Date and Time]]-TblTimeSheet[[#This Row],[Start Date and Time]]))</f>
        <v>0</v>
      </c>
    </row>
    <row r="777" spans="1:14" x14ac:dyDescent="0.25">
      <c r="A777" s="1"/>
      <c r="B777" s="2" t="s">
        <v>909</v>
      </c>
      <c r="C777" s="2" t="s">
        <v>41</v>
      </c>
      <c r="D777" s="2" t="s">
        <v>20</v>
      </c>
      <c r="E777" s="7" t="s">
        <v>1161</v>
      </c>
      <c r="F777" s="37">
        <v>42404.677083333336</v>
      </c>
      <c r="G777" s="37">
        <v>42404.739583333336</v>
      </c>
      <c r="H777" s="1" t="s">
        <v>6</v>
      </c>
      <c r="I777" s="1" t="s">
        <v>38</v>
      </c>
      <c r="J777" s="1">
        <v>42404.742060185185</v>
      </c>
      <c r="K777" s="1" t="s">
        <v>41</v>
      </c>
      <c r="L777" s="14">
        <f>24*(TblTimeSheet[[#This Row],[End Date and Time]]-TblTimeSheet[[#This Row],[Start Date and Time]])</f>
        <v>1.5</v>
      </c>
      <c r="M7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7">
        <f>--(0&gt;(TblTimeSheet[[#This Row],[End Date and Time]]-TblTimeSheet[[#This Row],[Start Date and Time]]))</f>
        <v>0</v>
      </c>
    </row>
    <row r="778" spans="1:14" x14ac:dyDescent="0.25">
      <c r="A778" s="1"/>
      <c r="B778" s="2" t="s">
        <v>697</v>
      </c>
      <c r="C778" s="2" t="s">
        <v>116</v>
      </c>
      <c r="D778" s="2" t="s">
        <v>32</v>
      </c>
      <c r="E778" s="7" t="s">
        <v>1162</v>
      </c>
      <c r="F778" s="37">
        <v>42403.583333333336</v>
      </c>
      <c r="G778" s="37">
        <v>42403.770833333336</v>
      </c>
      <c r="H778" s="1" t="s">
        <v>6</v>
      </c>
      <c r="I778" s="1" t="s">
        <v>38</v>
      </c>
      <c r="J778" s="1">
        <v>42405.442395833335</v>
      </c>
      <c r="K778" s="1" t="s">
        <v>701</v>
      </c>
      <c r="L778" s="14">
        <f>24*(TblTimeSheet[[#This Row],[End Date and Time]]-TblTimeSheet[[#This Row],[Start Date and Time]])</f>
        <v>4.5</v>
      </c>
      <c r="M7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8">
        <f>--(0&gt;(TblTimeSheet[[#This Row],[End Date and Time]]-TblTimeSheet[[#This Row],[Start Date and Time]]))</f>
        <v>0</v>
      </c>
    </row>
    <row r="779" spans="1:14" x14ac:dyDescent="0.25">
      <c r="A779" s="1"/>
      <c r="B779" s="2" t="s">
        <v>909</v>
      </c>
      <c r="C779" s="2" t="s">
        <v>116</v>
      </c>
      <c r="D779" s="2" t="s">
        <v>32</v>
      </c>
      <c r="E779" s="7" t="s">
        <v>1087</v>
      </c>
      <c r="F779" s="37">
        <v>42404.416666666664</v>
      </c>
      <c r="G779" s="37">
        <v>42404.5</v>
      </c>
      <c r="H779" s="1" t="s">
        <v>6</v>
      </c>
      <c r="I779" s="1" t="s">
        <v>38</v>
      </c>
      <c r="J779" s="1">
        <v>42405.447696759256</v>
      </c>
      <c r="K779" s="1" t="s">
        <v>701</v>
      </c>
      <c r="L779" s="14">
        <f>24*(TblTimeSheet[[#This Row],[End Date and Time]]-TblTimeSheet[[#This Row],[Start Date and Time]])</f>
        <v>2.0000000000582077</v>
      </c>
      <c r="M7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79">
        <f>--(0&gt;(TblTimeSheet[[#This Row],[End Date and Time]]-TblTimeSheet[[#This Row],[Start Date and Time]]))</f>
        <v>0</v>
      </c>
    </row>
    <row r="780" spans="1:14" x14ac:dyDescent="0.25">
      <c r="A780" s="1"/>
      <c r="B780" s="2" t="s">
        <v>697</v>
      </c>
      <c r="C780" s="2" t="s">
        <v>118</v>
      </c>
      <c r="D780" s="2" t="s">
        <v>32</v>
      </c>
      <c r="E780" s="7" t="s">
        <v>1163</v>
      </c>
      <c r="F780" s="37">
        <v>42405.5</v>
      </c>
      <c r="G780" s="37">
        <v>42405.541666666664</v>
      </c>
      <c r="H780" s="1" t="s">
        <v>6</v>
      </c>
      <c r="I780" s="1" t="s">
        <v>38</v>
      </c>
      <c r="J780" s="1">
        <v>42405.591840277775</v>
      </c>
      <c r="K780" s="1" t="s">
        <v>118</v>
      </c>
      <c r="L780" s="14">
        <f>24*(TblTimeSheet[[#This Row],[End Date and Time]]-TblTimeSheet[[#This Row],[Start Date and Time]])</f>
        <v>0.99999999994179234</v>
      </c>
      <c r="M7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0">
        <f>--(0&gt;(TblTimeSheet[[#This Row],[End Date and Time]]-TblTimeSheet[[#This Row],[Start Date and Time]]))</f>
        <v>0</v>
      </c>
    </row>
    <row r="781" spans="1:14" x14ac:dyDescent="0.25">
      <c r="A781" s="1"/>
      <c r="B781" s="2" t="s">
        <v>697</v>
      </c>
      <c r="C781" s="2" t="s">
        <v>124</v>
      </c>
      <c r="D781" s="2" t="s">
        <v>32</v>
      </c>
      <c r="E781" s="7" t="s">
        <v>1164</v>
      </c>
      <c r="F781" s="37">
        <v>42405.5</v>
      </c>
      <c r="G781" s="37">
        <v>42405.541666666664</v>
      </c>
      <c r="H781" s="1" t="s">
        <v>6</v>
      </c>
      <c r="I781" s="1" t="s">
        <v>38</v>
      </c>
      <c r="J781" s="1">
        <v>42405.661562499998</v>
      </c>
      <c r="K781" s="1" t="s">
        <v>2863</v>
      </c>
      <c r="L781" s="14">
        <f>24*(TblTimeSheet[[#This Row],[End Date and Time]]-TblTimeSheet[[#This Row],[Start Date and Time]])</f>
        <v>0.99999999994179234</v>
      </c>
      <c r="M7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1">
        <f>--(0&gt;(TblTimeSheet[[#This Row],[End Date and Time]]-TblTimeSheet[[#This Row],[Start Date and Time]]))</f>
        <v>0</v>
      </c>
    </row>
    <row r="782" spans="1:14" x14ac:dyDescent="0.25">
      <c r="A782" s="1"/>
      <c r="B782" s="2" t="s">
        <v>697</v>
      </c>
      <c r="C782" s="2" t="s">
        <v>116</v>
      </c>
      <c r="D782" s="2" t="s">
        <v>32</v>
      </c>
      <c r="E782" s="7" t="s">
        <v>1164</v>
      </c>
      <c r="F782" s="37">
        <v>42405.5</v>
      </c>
      <c r="G782" s="37">
        <v>42405.541666666664</v>
      </c>
      <c r="H782" s="1" t="s">
        <v>6</v>
      </c>
      <c r="I782" s="1" t="s">
        <v>38</v>
      </c>
      <c r="J782" s="1">
        <v>42425.698148148149</v>
      </c>
      <c r="K782" s="1" t="s">
        <v>2863</v>
      </c>
      <c r="L782" s="14">
        <f>24*(TblTimeSheet[[#This Row],[End Date and Time]]-TblTimeSheet[[#This Row],[Start Date and Time]])</f>
        <v>0.99999999994179234</v>
      </c>
      <c r="M7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82">
        <f>--(0&gt;(TblTimeSheet[[#This Row],[End Date and Time]]-TblTimeSheet[[#This Row],[Start Date and Time]]))</f>
        <v>0</v>
      </c>
    </row>
    <row r="783" spans="1:14" x14ac:dyDescent="0.25">
      <c r="A783" s="1"/>
      <c r="B783" s="2" t="s">
        <v>697</v>
      </c>
      <c r="C783" s="2" t="s">
        <v>124</v>
      </c>
      <c r="D783" s="2" t="s">
        <v>32</v>
      </c>
      <c r="E783" s="7" t="s">
        <v>1165</v>
      </c>
      <c r="F783" s="37">
        <v>42397.416666666664</v>
      </c>
      <c r="G783" s="37">
        <v>42397.541666666664</v>
      </c>
      <c r="H783" s="1" t="s">
        <v>6</v>
      </c>
      <c r="I783" s="1" t="s">
        <v>38</v>
      </c>
      <c r="J783" s="1">
        <v>42405.672037037039</v>
      </c>
      <c r="K783" s="1" t="s">
        <v>2863</v>
      </c>
      <c r="L783" s="14">
        <f>24*(TblTimeSheet[[#This Row],[End Date and Time]]-TblTimeSheet[[#This Row],[Start Date and Time]])</f>
        <v>3</v>
      </c>
      <c r="M7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3">
        <f>--(0&gt;(TblTimeSheet[[#This Row],[End Date and Time]]-TblTimeSheet[[#This Row],[Start Date and Time]]))</f>
        <v>0</v>
      </c>
    </row>
    <row r="784" spans="1:14" x14ac:dyDescent="0.25">
      <c r="A784" s="1"/>
      <c r="B784" s="2" t="s">
        <v>697</v>
      </c>
      <c r="C784" s="2" t="s">
        <v>124</v>
      </c>
      <c r="D784" s="2" t="s">
        <v>32</v>
      </c>
      <c r="E784" s="7" t="s">
        <v>1166</v>
      </c>
      <c r="F784" s="37">
        <v>42398.395833333336</v>
      </c>
      <c r="G784" s="37">
        <v>42398.541666666664</v>
      </c>
      <c r="H784" s="1" t="s">
        <v>6</v>
      </c>
      <c r="I784" s="1" t="s">
        <v>38</v>
      </c>
      <c r="J784" s="1">
        <v>42405.67291666667</v>
      </c>
      <c r="K784" s="1" t="s">
        <v>2863</v>
      </c>
      <c r="L784" s="14">
        <f>24*(TblTimeSheet[[#This Row],[End Date and Time]]-TblTimeSheet[[#This Row],[Start Date and Time]])</f>
        <v>3.4999999998835847</v>
      </c>
      <c r="M7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4">
        <f>--(0&gt;(TblTimeSheet[[#This Row],[End Date and Time]]-TblTimeSheet[[#This Row],[Start Date and Time]]))</f>
        <v>0</v>
      </c>
    </row>
    <row r="785" spans="1:14" x14ac:dyDescent="0.25">
      <c r="A785" s="1"/>
      <c r="B785" s="2" t="s">
        <v>697</v>
      </c>
      <c r="C785" s="2" t="s">
        <v>124</v>
      </c>
      <c r="D785" s="2" t="s">
        <v>32</v>
      </c>
      <c r="E785" s="7" t="s">
        <v>1167</v>
      </c>
      <c r="F785" s="37">
        <v>42402.375</v>
      </c>
      <c r="G785" s="37">
        <v>42402.541666666664</v>
      </c>
      <c r="H785" s="1" t="s">
        <v>6</v>
      </c>
      <c r="I785" s="1" t="s">
        <v>38</v>
      </c>
      <c r="J785" s="1">
        <v>42405.674016203702</v>
      </c>
      <c r="K785" s="1" t="s">
        <v>2863</v>
      </c>
      <c r="L785" s="14">
        <f>24*(TblTimeSheet[[#This Row],[End Date and Time]]-TblTimeSheet[[#This Row],[Start Date and Time]])</f>
        <v>3.9999999999417923</v>
      </c>
      <c r="M7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5">
        <f>--(0&gt;(TblTimeSheet[[#This Row],[End Date and Time]]-TblTimeSheet[[#This Row],[Start Date and Time]]))</f>
        <v>0</v>
      </c>
    </row>
    <row r="786" spans="1:14" x14ac:dyDescent="0.25">
      <c r="A786" s="1"/>
      <c r="B786" s="2" t="s">
        <v>697</v>
      </c>
      <c r="C786" s="2" t="s">
        <v>124</v>
      </c>
      <c r="D786" s="2" t="s">
        <v>32</v>
      </c>
      <c r="E786" s="7" t="s">
        <v>1168</v>
      </c>
      <c r="F786" s="37">
        <v>42403.375</v>
      </c>
      <c r="G786" s="37">
        <v>42403.541666666664</v>
      </c>
      <c r="H786" s="1" t="s">
        <v>6</v>
      </c>
      <c r="I786" s="1" t="s">
        <v>38</v>
      </c>
      <c r="J786" s="1">
        <v>42405.675868055558</v>
      </c>
      <c r="K786" s="1" t="s">
        <v>2863</v>
      </c>
      <c r="L786" s="14">
        <f>24*(TblTimeSheet[[#This Row],[End Date and Time]]-TblTimeSheet[[#This Row],[Start Date and Time]])</f>
        <v>3.9999999999417923</v>
      </c>
      <c r="M7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6">
        <f>--(0&gt;(TblTimeSheet[[#This Row],[End Date and Time]]-TblTimeSheet[[#This Row],[Start Date and Time]]))</f>
        <v>0</v>
      </c>
    </row>
    <row r="787" spans="1:14" x14ac:dyDescent="0.25">
      <c r="A787" s="1"/>
      <c r="B787" s="2" t="s">
        <v>697</v>
      </c>
      <c r="C787" s="2" t="s">
        <v>124</v>
      </c>
      <c r="D787" s="2" t="s">
        <v>32</v>
      </c>
      <c r="E787" s="7" t="s">
        <v>1169</v>
      </c>
      <c r="F787" s="37">
        <v>42404.375</v>
      </c>
      <c r="G787" s="37">
        <v>42404.541666666664</v>
      </c>
      <c r="H787" s="1" t="s">
        <v>6</v>
      </c>
      <c r="I787" s="1" t="s">
        <v>38</v>
      </c>
      <c r="J787" s="1">
        <v>42405.677557870367</v>
      </c>
      <c r="K787" s="1" t="s">
        <v>2863</v>
      </c>
      <c r="L787" s="14">
        <f>24*(TblTimeSheet[[#This Row],[End Date and Time]]-TblTimeSheet[[#This Row],[Start Date and Time]])</f>
        <v>3.9999999999417923</v>
      </c>
      <c r="M7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7">
        <f>--(0&gt;(TblTimeSheet[[#This Row],[End Date and Time]]-TblTimeSheet[[#This Row],[Start Date and Time]]))</f>
        <v>0</v>
      </c>
    </row>
    <row r="788" spans="1:14" x14ac:dyDescent="0.25">
      <c r="A788" s="1"/>
      <c r="B788" s="2" t="s">
        <v>909</v>
      </c>
      <c r="C788" s="2" t="s">
        <v>41</v>
      </c>
      <c r="D788" s="2" t="s">
        <v>32</v>
      </c>
      <c r="E788" s="7" t="s">
        <v>1170</v>
      </c>
      <c r="F788" s="37">
        <v>42405.666666666664</v>
      </c>
      <c r="G788" s="37">
        <v>42405.684027777781</v>
      </c>
      <c r="H788" s="1" t="s">
        <v>6</v>
      </c>
      <c r="I788" s="1" t="s">
        <v>38</v>
      </c>
      <c r="J788" s="1">
        <v>42405.684386574074</v>
      </c>
      <c r="K788" s="1" t="s">
        <v>41</v>
      </c>
      <c r="L788" s="14">
        <f>24*(TblTimeSheet[[#This Row],[End Date and Time]]-TblTimeSheet[[#This Row],[Start Date and Time]])</f>
        <v>0.41666666680248454</v>
      </c>
      <c r="M7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88">
        <f>--(0&gt;(TblTimeSheet[[#This Row],[End Date and Time]]-TblTimeSheet[[#This Row],[Start Date and Time]]))</f>
        <v>0</v>
      </c>
    </row>
    <row r="789" spans="1:14" x14ac:dyDescent="0.25">
      <c r="A789" s="1"/>
      <c r="B789" s="2" t="s">
        <v>697</v>
      </c>
      <c r="C789" s="2" t="s">
        <v>116</v>
      </c>
      <c r="D789" s="2" t="s">
        <v>32</v>
      </c>
      <c r="E789" s="7" t="s">
        <v>985</v>
      </c>
      <c r="F789" s="37">
        <v>42405.520833333336</v>
      </c>
      <c r="G789" s="37">
        <v>42405.541666666664</v>
      </c>
      <c r="H789" s="1" t="s">
        <v>6</v>
      </c>
      <c r="I789" s="1" t="s">
        <v>38</v>
      </c>
      <c r="J789" s="1">
        <v>42405.763969907406</v>
      </c>
      <c r="K789" s="1" t="s">
        <v>39</v>
      </c>
      <c r="L789" s="14">
        <f>24*(TblTimeSheet[[#This Row],[End Date and Time]]-TblTimeSheet[[#This Row],[Start Date and Time]])</f>
        <v>0.49999999988358468</v>
      </c>
      <c r="M7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789">
        <f>--(0&gt;(TblTimeSheet[[#This Row],[End Date and Time]]-TblTimeSheet[[#This Row],[Start Date and Time]]))</f>
        <v>0</v>
      </c>
    </row>
    <row r="790" spans="1:14" x14ac:dyDescent="0.25">
      <c r="A790" s="1"/>
      <c r="B790" s="2" t="s">
        <v>697</v>
      </c>
      <c r="C790" s="2" t="s">
        <v>78</v>
      </c>
      <c r="D790" s="2" t="s">
        <v>32</v>
      </c>
      <c r="E790" s="7" t="s">
        <v>1171</v>
      </c>
      <c r="F790" s="37">
        <v>42406.375</v>
      </c>
      <c r="G790" s="37">
        <v>42406.489583333336</v>
      </c>
      <c r="H790" s="1" t="s">
        <v>6</v>
      </c>
      <c r="I790" s="1" t="s">
        <v>38</v>
      </c>
      <c r="J790" s="1">
        <v>42406.490729166668</v>
      </c>
      <c r="K790" s="1" t="s">
        <v>78</v>
      </c>
      <c r="L790" s="14">
        <f>24*(TblTimeSheet[[#This Row],[End Date and Time]]-TblTimeSheet[[#This Row],[Start Date and Time]])</f>
        <v>2.7500000000582077</v>
      </c>
      <c r="M7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0">
        <f>--(0&gt;(TblTimeSheet[[#This Row],[End Date and Time]]-TblTimeSheet[[#This Row],[Start Date and Time]]))</f>
        <v>0</v>
      </c>
    </row>
    <row r="791" spans="1:14" x14ac:dyDescent="0.25">
      <c r="A791" s="1"/>
      <c r="B791" s="2" t="s">
        <v>697</v>
      </c>
      <c r="C791" s="2" t="s">
        <v>124</v>
      </c>
      <c r="D791" s="2" t="s">
        <v>32</v>
      </c>
      <c r="E791" s="7" t="s">
        <v>1171</v>
      </c>
      <c r="F791" s="37">
        <v>42406.375</v>
      </c>
      <c r="G791" s="37">
        <v>42406.489583333336</v>
      </c>
      <c r="H791" s="1" t="s">
        <v>6</v>
      </c>
      <c r="I791" s="1" t="s">
        <v>38</v>
      </c>
      <c r="J791" s="1">
        <v>42406.509513888886</v>
      </c>
      <c r="K791" s="1" t="s">
        <v>2863</v>
      </c>
      <c r="L791" s="14">
        <f>24*(TblTimeSheet[[#This Row],[End Date and Time]]-TblTimeSheet[[#This Row],[Start Date and Time]])</f>
        <v>2.7500000000582077</v>
      </c>
      <c r="M7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1">
        <f>--(0&gt;(TblTimeSheet[[#This Row],[End Date and Time]]-TblTimeSheet[[#This Row],[Start Date and Time]]))</f>
        <v>0</v>
      </c>
    </row>
    <row r="792" spans="1:14" x14ac:dyDescent="0.25">
      <c r="A792" s="1"/>
      <c r="B792" s="2" t="s">
        <v>697</v>
      </c>
      <c r="C792" s="2" t="s">
        <v>118</v>
      </c>
      <c r="D792" s="2" t="s">
        <v>32</v>
      </c>
      <c r="E792" s="7" t="s">
        <v>1172</v>
      </c>
      <c r="F792" s="37">
        <v>42392.375</v>
      </c>
      <c r="G792" s="37">
        <v>42392.541666666664</v>
      </c>
      <c r="H792" s="1" t="s">
        <v>6</v>
      </c>
      <c r="I792" s="1" t="s">
        <v>38</v>
      </c>
      <c r="J792" s="1">
        <v>42406.520462962966</v>
      </c>
      <c r="K792" s="1" t="s">
        <v>118</v>
      </c>
      <c r="L792" s="14">
        <f>24*(TblTimeSheet[[#This Row],[End Date and Time]]-TblTimeSheet[[#This Row],[Start Date and Time]])</f>
        <v>3.9999999999417923</v>
      </c>
      <c r="M7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2">
        <f>--(0&gt;(TblTimeSheet[[#This Row],[End Date and Time]]-TblTimeSheet[[#This Row],[Start Date and Time]]))</f>
        <v>0</v>
      </c>
    </row>
    <row r="793" spans="1:14" x14ac:dyDescent="0.25">
      <c r="A793" s="1"/>
      <c r="B793" s="2" t="s">
        <v>697</v>
      </c>
      <c r="C793" s="2" t="s">
        <v>118</v>
      </c>
      <c r="D793" s="2" t="s">
        <v>32</v>
      </c>
      <c r="E793" s="7" t="s">
        <v>1173</v>
      </c>
      <c r="F793" s="37">
        <v>42394.375</v>
      </c>
      <c r="G793" s="37">
        <v>42394.541666666664</v>
      </c>
      <c r="H793" s="1" t="s">
        <v>6</v>
      </c>
      <c r="I793" s="1" t="s">
        <v>38</v>
      </c>
      <c r="J793" s="1">
        <v>42406.521296296298</v>
      </c>
      <c r="K793" s="1" t="s">
        <v>118</v>
      </c>
      <c r="L793" s="14">
        <f>24*(TblTimeSheet[[#This Row],[End Date and Time]]-TblTimeSheet[[#This Row],[Start Date and Time]])</f>
        <v>3.9999999999417923</v>
      </c>
      <c r="M7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3">
        <f>--(0&gt;(TblTimeSheet[[#This Row],[End Date and Time]]-TblTimeSheet[[#This Row],[Start Date and Time]]))</f>
        <v>0</v>
      </c>
    </row>
    <row r="794" spans="1:14" x14ac:dyDescent="0.25">
      <c r="A794" s="1"/>
      <c r="B794" s="2" t="s">
        <v>697</v>
      </c>
      <c r="C794" s="2" t="s">
        <v>118</v>
      </c>
      <c r="D794" s="2" t="s">
        <v>32</v>
      </c>
      <c r="E794" s="7" t="s">
        <v>1174</v>
      </c>
      <c r="F794" s="37">
        <v>42396.5625</v>
      </c>
      <c r="G794" s="37">
        <v>42396.729166666664</v>
      </c>
      <c r="H794" s="1" t="s">
        <v>6</v>
      </c>
      <c r="I794" s="1" t="s">
        <v>38</v>
      </c>
      <c r="J794" s="1">
        <v>42406.522511574076</v>
      </c>
      <c r="K794" s="1" t="s">
        <v>118</v>
      </c>
      <c r="L794" s="14">
        <f>24*(TblTimeSheet[[#This Row],[End Date and Time]]-TblTimeSheet[[#This Row],[Start Date and Time]])</f>
        <v>3.9999999999417923</v>
      </c>
      <c r="M7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4">
        <f>--(0&gt;(TblTimeSheet[[#This Row],[End Date and Time]]-TblTimeSheet[[#This Row],[Start Date and Time]]))</f>
        <v>0</v>
      </c>
    </row>
    <row r="795" spans="1:14" x14ac:dyDescent="0.25">
      <c r="A795" s="1"/>
      <c r="B795" s="2" t="s">
        <v>697</v>
      </c>
      <c r="C795" s="2" t="s">
        <v>118</v>
      </c>
      <c r="D795" s="2" t="s">
        <v>32</v>
      </c>
      <c r="E795" s="7" t="s">
        <v>1175</v>
      </c>
      <c r="F795" s="37">
        <v>42397.375</v>
      </c>
      <c r="G795" s="37">
        <v>42397.541666666664</v>
      </c>
      <c r="H795" s="1" t="s">
        <v>6</v>
      </c>
      <c r="I795" s="1" t="s">
        <v>38</v>
      </c>
      <c r="J795" s="1">
        <v>42406.523553240739</v>
      </c>
      <c r="K795" s="1" t="s">
        <v>118</v>
      </c>
      <c r="L795" s="14">
        <f>24*(TblTimeSheet[[#This Row],[End Date and Time]]-TblTimeSheet[[#This Row],[Start Date and Time]])</f>
        <v>3.9999999999417923</v>
      </c>
      <c r="M7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5">
        <f>--(0&gt;(TblTimeSheet[[#This Row],[End Date and Time]]-TblTimeSheet[[#This Row],[Start Date and Time]]))</f>
        <v>0</v>
      </c>
    </row>
    <row r="796" spans="1:14" x14ac:dyDescent="0.25">
      <c r="A796" s="1"/>
      <c r="B796" s="2" t="s">
        <v>697</v>
      </c>
      <c r="C796" s="2" t="s">
        <v>118</v>
      </c>
      <c r="D796" s="2" t="s">
        <v>32</v>
      </c>
      <c r="E796" s="7" t="s">
        <v>1176</v>
      </c>
      <c r="F796" s="37">
        <v>42398.375</v>
      </c>
      <c r="G796" s="37">
        <v>42398.541666666664</v>
      </c>
      <c r="H796" s="1" t="s">
        <v>6</v>
      </c>
      <c r="I796" s="1" t="s">
        <v>38</v>
      </c>
      <c r="J796" s="1">
        <v>42406.524594907409</v>
      </c>
      <c r="K796" s="1" t="s">
        <v>118</v>
      </c>
      <c r="L796" s="14">
        <f>24*(TblTimeSheet[[#This Row],[End Date and Time]]-TblTimeSheet[[#This Row],[Start Date and Time]])</f>
        <v>3.9999999999417923</v>
      </c>
      <c r="M7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6">
        <f>--(0&gt;(TblTimeSheet[[#This Row],[End Date and Time]]-TblTimeSheet[[#This Row],[Start Date and Time]]))</f>
        <v>0</v>
      </c>
    </row>
    <row r="797" spans="1:14" x14ac:dyDescent="0.25">
      <c r="A797" s="1"/>
      <c r="B797" s="2" t="s">
        <v>697</v>
      </c>
      <c r="C797" s="2" t="s">
        <v>118</v>
      </c>
      <c r="D797" s="2" t="s">
        <v>32</v>
      </c>
      <c r="E797" s="7" t="s">
        <v>1177</v>
      </c>
      <c r="F797" s="37">
        <v>42398.583333333336</v>
      </c>
      <c r="G797" s="37">
        <v>42398.666666666664</v>
      </c>
      <c r="H797" s="1" t="s">
        <v>6</v>
      </c>
      <c r="I797" s="1" t="s">
        <v>38</v>
      </c>
      <c r="J797" s="1">
        <v>42406.526828703703</v>
      </c>
      <c r="K797" s="1" t="s">
        <v>118</v>
      </c>
      <c r="L797" s="14">
        <f>24*(TblTimeSheet[[#This Row],[End Date and Time]]-TblTimeSheet[[#This Row],[Start Date and Time]])</f>
        <v>1.9999999998835847</v>
      </c>
      <c r="M7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7">
        <f>--(0&gt;(TblTimeSheet[[#This Row],[End Date and Time]]-TblTimeSheet[[#This Row],[Start Date and Time]]))</f>
        <v>0</v>
      </c>
    </row>
    <row r="798" spans="1:14" x14ac:dyDescent="0.25">
      <c r="A798" s="1"/>
      <c r="B798" s="2" t="s">
        <v>697</v>
      </c>
      <c r="C798" s="2" t="s">
        <v>118</v>
      </c>
      <c r="D798" s="2" t="s">
        <v>32</v>
      </c>
      <c r="E798" s="7" t="s">
        <v>1178</v>
      </c>
      <c r="F798" s="37">
        <v>42399.375</v>
      </c>
      <c r="G798" s="37">
        <v>42399.541666666664</v>
      </c>
      <c r="H798" s="1" t="s">
        <v>6</v>
      </c>
      <c r="I798" s="1" t="s">
        <v>38</v>
      </c>
      <c r="J798" s="1">
        <v>42406.52847222222</v>
      </c>
      <c r="K798" s="1" t="s">
        <v>118</v>
      </c>
      <c r="L798" s="14">
        <f>24*(TblTimeSheet[[#This Row],[End Date and Time]]-TblTimeSheet[[#This Row],[Start Date and Time]])</f>
        <v>3.9999999999417923</v>
      </c>
      <c r="M7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8">
        <f>--(0&gt;(TblTimeSheet[[#This Row],[End Date and Time]]-TblTimeSheet[[#This Row],[Start Date and Time]]))</f>
        <v>0</v>
      </c>
    </row>
    <row r="799" spans="1:14" x14ac:dyDescent="0.25">
      <c r="A799" s="1"/>
      <c r="B799" s="2" t="s">
        <v>909</v>
      </c>
      <c r="C799" s="2" t="s">
        <v>116</v>
      </c>
      <c r="D799" s="2" t="s">
        <v>32</v>
      </c>
      <c r="E799" s="7" t="s">
        <v>1179</v>
      </c>
      <c r="F799" s="37">
        <v>42404.583333333336</v>
      </c>
      <c r="G799" s="37">
        <v>42404.645833333336</v>
      </c>
      <c r="H799" s="1" t="s">
        <v>6</v>
      </c>
      <c r="I799" s="1" t="s">
        <v>38</v>
      </c>
      <c r="J799" s="1">
        <v>42406.65934027778</v>
      </c>
      <c r="K799" s="1" t="s">
        <v>701</v>
      </c>
      <c r="L799" s="14">
        <f>24*(TblTimeSheet[[#This Row],[End Date and Time]]-TblTimeSheet[[#This Row],[Start Date and Time]])</f>
        <v>1.5</v>
      </c>
      <c r="M7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799">
        <f>--(0&gt;(TblTimeSheet[[#This Row],[End Date and Time]]-TblTimeSheet[[#This Row],[Start Date and Time]]))</f>
        <v>0</v>
      </c>
    </row>
    <row r="800" spans="1:14" x14ac:dyDescent="0.25">
      <c r="A800" s="1"/>
      <c r="B800" s="2" t="s">
        <v>909</v>
      </c>
      <c r="C800" s="2" t="s">
        <v>116</v>
      </c>
      <c r="D800" s="2" t="s">
        <v>32</v>
      </c>
      <c r="E800" s="7" t="s">
        <v>1180</v>
      </c>
      <c r="F800" s="37">
        <v>42406.416666666664</v>
      </c>
      <c r="G800" s="37">
        <v>42406.458333333336</v>
      </c>
      <c r="H800" s="1" t="s">
        <v>6</v>
      </c>
      <c r="I800" s="1" t="s">
        <v>38</v>
      </c>
      <c r="J800" s="1">
        <v>42406.660208333335</v>
      </c>
      <c r="K800" s="1" t="s">
        <v>701</v>
      </c>
      <c r="L800" s="14">
        <f>24*(TblTimeSheet[[#This Row],[End Date and Time]]-TblTimeSheet[[#This Row],[Start Date and Time]])</f>
        <v>1.0000000001164153</v>
      </c>
      <c r="M8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00">
        <f>--(0&gt;(TblTimeSheet[[#This Row],[End Date and Time]]-TblTimeSheet[[#This Row],[Start Date and Time]]))</f>
        <v>0</v>
      </c>
    </row>
    <row r="801" spans="1:14" x14ac:dyDescent="0.25">
      <c r="A801" s="1"/>
      <c r="B801" s="2" t="s">
        <v>697</v>
      </c>
      <c r="C801" s="2" t="s">
        <v>124</v>
      </c>
      <c r="D801" s="2" t="s">
        <v>32</v>
      </c>
      <c r="E801" s="7" t="s">
        <v>1181</v>
      </c>
      <c r="F801" s="37">
        <v>42406.583333333336</v>
      </c>
      <c r="G801" s="37">
        <v>42406.625</v>
      </c>
      <c r="H801" s="1" t="s">
        <v>6</v>
      </c>
      <c r="I801" s="1" t="s">
        <v>38</v>
      </c>
      <c r="J801" s="1">
        <v>42406.666666666664</v>
      </c>
      <c r="K801" s="1" t="s">
        <v>2863</v>
      </c>
      <c r="L801" s="14">
        <f>24*(TblTimeSheet[[#This Row],[End Date and Time]]-TblTimeSheet[[#This Row],[Start Date and Time]])</f>
        <v>0.99999999994179234</v>
      </c>
      <c r="M8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1">
        <f>--(0&gt;(TblTimeSheet[[#This Row],[End Date and Time]]-TblTimeSheet[[#This Row],[Start Date and Time]]))</f>
        <v>0</v>
      </c>
    </row>
    <row r="802" spans="1:14" x14ac:dyDescent="0.25">
      <c r="A802" s="1"/>
      <c r="B802" s="2" t="s">
        <v>697</v>
      </c>
      <c r="C802" s="2" t="s">
        <v>124</v>
      </c>
      <c r="D802" s="2" t="s">
        <v>32</v>
      </c>
      <c r="E802" s="7" t="s">
        <v>1182</v>
      </c>
      <c r="F802" s="37">
        <v>42402.583333333336</v>
      </c>
      <c r="G802" s="37">
        <v>42402.708333333336</v>
      </c>
      <c r="H802" s="1" t="s">
        <v>6</v>
      </c>
      <c r="I802" s="1" t="s">
        <v>38</v>
      </c>
      <c r="J802" s="1">
        <v>42406.671979166669</v>
      </c>
      <c r="K802" s="1" t="s">
        <v>2863</v>
      </c>
      <c r="L802" s="14">
        <f>24*(TblTimeSheet[[#This Row],[End Date and Time]]-TblTimeSheet[[#This Row],[Start Date and Time]])</f>
        <v>3</v>
      </c>
      <c r="M8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2">
        <f>--(0&gt;(TblTimeSheet[[#This Row],[End Date and Time]]-TblTimeSheet[[#This Row],[Start Date and Time]]))</f>
        <v>0</v>
      </c>
    </row>
    <row r="803" spans="1:14" x14ac:dyDescent="0.25">
      <c r="A803" s="1"/>
      <c r="B803" s="2" t="s">
        <v>697</v>
      </c>
      <c r="C803" s="2" t="s">
        <v>124</v>
      </c>
      <c r="D803" s="2" t="s">
        <v>32</v>
      </c>
      <c r="E803" s="7" t="s">
        <v>1183</v>
      </c>
      <c r="F803" s="37">
        <v>42403.583333333336</v>
      </c>
      <c r="G803" s="37">
        <v>42403.708333333336</v>
      </c>
      <c r="H803" s="1" t="s">
        <v>6</v>
      </c>
      <c r="I803" s="1" t="s">
        <v>38</v>
      </c>
      <c r="J803" s="1">
        <v>42406.672777777778</v>
      </c>
      <c r="K803" s="1" t="s">
        <v>2863</v>
      </c>
      <c r="L803" s="14">
        <f>24*(TblTimeSheet[[#This Row],[End Date and Time]]-TblTimeSheet[[#This Row],[Start Date and Time]])</f>
        <v>3</v>
      </c>
      <c r="M8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3">
        <f>--(0&gt;(TblTimeSheet[[#This Row],[End Date and Time]]-TblTimeSheet[[#This Row],[Start Date and Time]]))</f>
        <v>0</v>
      </c>
    </row>
    <row r="804" spans="1:14" x14ac:dyDescent="0.25">
      <c r="A804" s="1"/>
      <c r="B804" s="2" t="s">
        <v>697</v>
      </c>
      <c r="C804" s="2" t="s">
        <v>124</v>
      </c>
      <c r="D804" s="2" t="s">
        <v>32</v>
      </c>
      <c r="E804" s="7" t="s">
        <v>1184</v>
      </c>
      <c r="F804" s="37">
        <v>42404.583333333336</v>
      </c>
      <c r="G804" s="37">
        <v>42404.708333333336</v>
      </c>
      <c r="H804" s="1" t="s">
        <v>6</v>
      </c>
      <c r="I804" s="1" t="s">
        <v>38</v>
      </c>
      <c r="J804" s="1">
        <v>42406.673518518517</v>
      </c>
      <c r="K804" s="1" t="s">
        <v>2863</v>
      </c>
      <c r="L804" s="14">
        <f>24*(TblTimeSheet[[#This Row],[End Date and Time]]-TblTimeSheet[[#This Row],[Start Date and Time]])</f>
        <v>3</v>
      </c>
      <c r="M8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4">
        <f>--(0&gt;(TblTimeSheet[[#This Row],[End Date and Time]]-TblTimeSheet[[#This Row],[Start Date and Time]]))</f>
        <v>0</v>
      </c>
    </row>
    <row r="805" spans="1:14" x14ac:dyDescent="0.25">
      <c r="A805" s="1"/>
      <c r="B805" s="2" t="s">
        <v>697</v>
      </c>
      <c r="C805" s="2" t="s">
        <v>124</v>
      </c>
      <c r="D805" s="2" t="s">
        <v>32</v>
      </c>
      <c r="E805" s="7" t="s">
        <v>1185</v>
      </c>
      <c r="F805" s="37">
        <v>42405.583333333336</v>
      </c>
      <c r="G805" s="37">
        <v>42405.708333333336</v>
      </c>
      <c r="H805" s="1" t="s">
        <v>6</v>
      </c>
      <c r="I805" s="1" t="s">
        <v>38</v>
      </c>
      <c r="J805" s="1">
        <v>42406.675636574073</v>
      </c>
      <c r="K805" s="1" t="s">
        <v>2863</v>
      </c>
      <c r="L805" s="14">
        <f>24*(TblTimeSheet[[#This Row],[End Date and Time]]-TblTimeSheet[[#This Row],[Start Date and Time]])</f>
        <v>3</v>
      </c>
      <c r="M8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5">
        <f>--(0&gt;(TblTimeSheet[[#This Row],[End Date and Time]]-TblTimeSheet[[#This Row],[Start Date and Time]]))</f>
        <v>0</v>
      </c>
    </row>
    <row r="806" spans="1:14" x14ac:dyDescent="0.25">
      <c r="A806" s="1"/>
      <c r="B806" s="2" t="s">
        <v>909</v>
      </c>
      <c r="C806" s="2" t="s">
        <v>116</v>
      </c>
      <c r="D806" s="2" t="s">
        <v>32</v>
      </c>
      <c r="E806" s="7" t="s">
        <v>1186</v>
      </c>
      <c r="F806" s="37">
        <v>42406.416666666664</v>
      </c>
      <c r="G806" s="37">
        <v>42406.458333333336</v>
      </c>
      <c r="H806" s="1" t="s">
        <v>6</v>
      </c>
      <c r="I806" s="1" t="s">
        <v>38</v>
      </c>
      <c r="J806" s="1">
        <v>42406.676516203705</v>
      </c>
      <c r="K806" s="1" t="s">
        <v>39</v>
      </c>
      <c r="L806" s="14">
        <f>24*(TblTimeSheet[[#This Row],[End Date and Time]]-TblTimeSheet[[#This Row],[Start Date and Time]])</f>
        <v>1.0000000001164153</v>
      </c>
      <c r="M8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06">
        <f>--(0&gt;(TblTimeSheet[[#This Row],[End Date and Time]]-TblTimeSheet[[#This Row],[Start Date and Time]]))</f>
        <v>0</v>
      </c>
    </row>
    <row r="807" spans="1:14" x14ac:dyDescent="0.25">
      <c r="A807" s="1"/>
      <c r="B807" s="2" t="s">
        <v>697</v>
      </c>
      <c r="C807" s="2" t="s">
        <v>143</v>
      </c>
      <c r="D807" s="2" t="s">
        <v>32</v>
      </c>
      <c r="E807" s="7" t="s">
        <v>1187</v>
      </c>
      <c r="F807" s="37">
        <v>42405.5</v>
      </c>
      <c r="G807" s="37">
        <v>42405.541666666664</v>
      </c>
      <c r="H807" s="1" t="s">
        <v>6</v>
      </c>
      <c r="I807" s="1" t="s">
        <v>38</v>
      </c>
      <c r="J807" s="1">
        <v>42408.385092592594</v>
      </c>
      <c r="K807" s="1" t="s">
        <v>143</v>
      </c>
      <c r="L807" s="14">
        <f>24*(TblTimeSheet[[#This Row],[End Date and Time]]-TblTimeSheet[[#This Row],[Start Date and Time]])</f>
        <v>0.99999999994179234</v>
      </c>
      <c r="M8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7">
        <f>--(0&gt;(TblTimeSheet[[#This Row],[End Date and Time]]-TblTimeSheet[[#This Row],[Start Date and Time]]))</f>
        <v>0</v>
      </c>
    </row>
    <row r="808" spans="1:14" x14ac:dyDescent="0.25">
      <c r="A808" s="1"/>
      <c r="B808" s="2" t="s">
        <v>697</v>
      </c>
      <c r="C808" s="2" t="s">
        <v>143</v>
      </c>
      <c r="D808" s="2" t="s">
        <v>32</v>
      </c>
      <c r="E808" s="7" t="s">
        <v>1144</v>
      </c>
      <c r="F808" s="37">
        <v>42391.5625</v>
      </c>
      <c r="G808" s="37">
        <v>42391.625</v>
      </c>
      <c r="H808" s="1" t="s">
        <v>6</v>
      </c>
      <c r="I808" s="1" t="s">
        <v>38</v>
      </c>
      <c r="J808" s="1">
        <v>42408.38721064815</v>
      </c>
      <c r="K808" s="1" t="s">
        <v>143</v>
      </c>
      <c r="L808" s="14">
        <f>24*(TblTimeSheet[[#This Row],[End Date and Time]]-TblTimeSheet[[#This Row],[Start Date and Time]])</f>
        <v>1.5</v>
      </c>
      <c r="M8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8">
        <f>--(0&gt;(TblTimeSheet[[#This Row],[End Date and Time]]-TblTimeSheet[[#This Row],[Start Date and Time]]))</f>
        <v>0</v>
      </c>
    </row>
    <row r="809" spans="1:14" x14ac:dyDescent="0.25">
      <c r="A809" s="1"/>
      <c r="B809" s="2" t="s">
        <v>909</v>
      </c>
      <c r="C809" s="2" t="s">
        <v>961</v>
      </c>
      <c r="D809" s="2" t="s">
        <v>32</v>
      </c>
      <c r="E809" s="7" t="s">
        <v>1794</v>
      </c>
      <c r="F809" s="37">
        <v>42406.381944444445</v>
      </c>
      <c r="G809" s="37">
        <v>42406.472222222219</v>
      </c>
      <c r="H809" s="1" t="s">
        <v>6</v>
      </c>
      <c r="I809" s="1" t="s">
        <v>38</v>
      </c>
      <c r="J809" s="1">
        <v>42408.484675925924</v>
      </c>
      <c r="K809" s="1" t="s">
        <v>961</v>
      </c>
      <c r="L809" s="14">
        <f>24*(TblTimeSheet[[#This Row],[End Date and Time]]-TblTimeSheet[[#This Row],[Start Date and Time]])</f>
        <v>2.1666666665696539</v>
      </c>
      <c r="M8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09">
        <f>--(0&gt;(TblTimeSheet[[#This Row],[End Date and Time]]-TblTimeSheet[[#This Row],[Start Date and Time]]))</f>
        <v>0</v>
      </c>
    </row>
    <row r="810" spans="1:14" ht="30" x14ac:dyDescent="0.25">
      <c r="A810" s="1"/>
      <c r="B810" s="2" t="s">
        <v>909</v>
      </c>
      <c r="C810" s="2" t="s">
        <v>961</v>
      </c>
      <c r="D810" s="2" t="s">
        <v>32</v>
      </c>
      <c r="E810" s="7" t="s">
        <v>1795</v>
      </c>
      <c r="F810" s="37">
        <v>42406.479166666664</v>
      </c>
      <c r="G810" s="37">
        <v>42406.569444444445</v>
      </c>
      <c r="H810" s="1" t="s">
        <v>6</v>
      </c>
      <c r="I810" s="1" t="s">
        <v>38</v>
      </c>
      <c r="J810" s="1">
        <v>42448.600173611114</v>
      </c>
      <c r="K810" s="1" t="s">
        <v>961</v>
      </c>
      <c r="L810" s="14">
        <f>24*(TblTimeSheet[[#This Row],[End Date and Time]]-TblTimeSheet[[#This Row],[Start Date and Time]])</f>
        <v>2.1666666667442769</v>
      </c>
      <c r="M8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0">
        <f>--(0&gt;(TblTimeSheet[[#This Row],[End Date and Time]]-TblTimeSheet[[#This Row],[Start Date and Time]]))</f>
        <v>0</v>
      </c>
    </row>
    <row r="811" spans="1:14" ht="30" x14ac:dyDescent="0.25">
      <c r="A811" s="1"/>
      <c r="B811" s="2" t="s">
        <v>909</v>
      </c>
      <c r="C811" s="2" t="s">
        <v>961</v>
      </c>
      <c r="D811" s="2" t="s">
        <v>32</v>
      </c>
      <c r="E811" s="7" t="s">
        <v>1188</v>
      </c>
      <c r="F811" s="37">
        <v>42406.590277777781</v>
      </c>
      <c r="G811" s="37">
        <v>42406.680555555555</v>
      </c>
      <c r="H811" s="1" t="s">
        <v>6</v>
      </c>
      <c r="I811" s="1" t="s">
        <v>38</v>
      </c>
      <c r="J811" s="1">
        <v>42408.492430555554</v>
      </c>
      <c r="K811" s="1" t="s">
        <v>961</v>
      </c>
      <c r="L811" s="14">
        <f>24*(TblTimeSheet[[#This Row],[End Date and Time]]-TblTimeSheet[[#This Row],[Start Date and Time]])</f>
        <v>2.1666666665696539</v>
      </c>
      <c r="M8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1">
        <f>--(0&gt;(TblTimeSheet[[#This Row],[End Date and Time]]-TblTimeSheet[[#This Row],[Start Date and Time]]))</f>
        <v>0</v>
      </c>
    </row>
    <row r="812" spans="1:14" x14ac:dyDescent="0.25">
      <c r="A812" s="1"/>
      <c r="B812" s="2" t="s">
        <v>909</v>
      </c>
      <c r="C812" s="2" t="s">
        <v>961</v>
      </c>
      <c r="D812" s="2" t="s">
        <v>32</v>
      </c>
      <c r="E812" s="7" t="s">
        <v>1189</v>
      </c>
      <c r="F812" s="37">
        <v>42406.6875</v>
      </c>
      <c r="G812" s="37">
        <v>42406.715277777781</v>
      </c>
      <c r="H812" s="1" t="s">
        <v>6</v>
      </c>
      <c r="I812" s="1" t="s">
        <v>38</v>
      </c>
      <c r="J812" s="1">
        <v>42408.494027777779</v>
      </c>
      <c r="K812" s="1" t="s">
        <v>961</v>
      </c>
      <c r="L812" s="14">
        <f>24*(TblTimeSheet[[#This Row],[End Date and Time]]-TblTimeSheet[[#This Row],[Start Date and Time]])</f>
        <v>0.66666666674427688</v>
      </c>
      <c r="M8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2">
        <f>--(0&gt;(TblTimeSheet[[#This Row],[End Date and Time]]-TblTimeSheet[[#This Row],[Start Date and Time]]))</f>
        <v>0</v>
      </c>
    </row>
    <row r="813" spans="1:14" x14ac:dyDescent="0.25">
      <c r="A813" s="1"/>
      <c r="B813" s="2" t="s">
        <v>697</v>
      </c>
      <c r="C813" s="2" t="s">
        <v>116</v>
      </c>
      <c r="D813" s="2" t="s">
        <v>32</v>
      </c>
      <c r="E813" s="7" t="s">
        <v>1041</v>
      </c>
      <c r="F813" s="37">
        <v>42406.708333333336</v>
      </c>
      <c r="G813" s="37">
        <v>42406.75</v>
      </c>
      <c r="H813" s="1" t="s">
        <v>6</v>
      </c>
      <c r="I813" s="1" t="s">
        <v>38</v>
      </c>
      <c r="J813" s="1">
        <v>42408.523692129631</v>
      </c>
      <c r="K813" s="1" t="s">
        <v>39</v>
      </c>
      <c r="L813" s="14">
        <f>24*(TblTimeSheet[[#This Row],[End Date and Time]]-TblTimeSheet[[#This Row],[Start Date and Time]])</f>
        <v>0.99999999994179234</v>
      </c>
      <c r="M8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13">
        <f>--(0&gt;(TblTimeSheet[[#This Row],[End Date and Time]]-TblTimeSheet[[#This Row],[Start Date and Time]]))</f>
        <v>0</v>
      </c>
    </row>
    <row r="814" spans="1:14" x14ac:dyDescent="0.25">
      <c r="A814" s="1"/>
      <c r="B814" s="2" t="s">
        <v>909</v>
      </c>
      <c r="C814" s="2" t="s">
        <v>116</v>
      </c>
      <c r="D814" s="2" t="s">
        <v>32</v>
      </c>
      <c r="E814" s="7" t="s">
        <v>1190</v>
      </c>
      <c r="F814" s="37">
        <v>42409.375</v>
      </c>
      <c r="G814" s="37">
        <v>42409.458333333336</v>
      </c>
      <c r="H814" s="1" t="s">
        <v>6</v>
      </c>
      <c r="I814" s="1" t="s">
        <v>38</v>
      </c>
      <c r="J814" s="1">
        <v>42410.394537037035</v>
      </c>
      <c r="K814" s="1" t="s">
        <v>701</v>
      </c>
      <c r="L814" s="14">
        <f>24*(TblTimeSheet[[#This Row],[End Date and Time]]-TblTimeSheet[[#This Row],[Start Date and Time]])</f>
        <v>2.0000000000582077</v>
      </c>
      <c r="M8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4">
        <f>--(0&gt;(TblTimeSheet[[#This Row],[End Date and Time]]-TblTimeSheet[[#This Row],[Start Date and Time]]))</f>
        <v>0</v>
      </c>
    </row>
    <row r="815" spans="1:14" x14ac:dyDescent="0.25">
      <c r="A815" s="1"/>
      <c r="B815" s="2" t="s">
        <v>909</v>
      </c>
      <c r="C815" s="2" t="s">
        <v>116</v>
      </c>
      <c r="D815" s="2" t="s">
        <v>32</v>
      </c>
      <c r="E815" s="7" t="s">
        <v>1796</v>
      </c>
      <c r="F815" s="37">
        <v>42409.541666666664</v>
      </c>
      <c r="G815" s="37">
        <v>42409.729166666664</v>
      </c>
      <c r="H815" s="1" t="s">
        <v>6</v>
      </c>
      <c r="I815" s="1" t="s">
        <v>38</v>
      </c>
      <c r="J815" s="1">
        <v>42410.395474537036</v>
      </c>
      <c r="K815" s="1" t="s">
        <v>701</v>
      </c>
      <c r="L815" s="14">
        <f>24*(TblTimeSheet[[#This Row],[End Date and Time]]-TblTimeSheet[[#This Row],[Start Date and Time]])</f>
        <v>4.5</v>
      </c>
      <c r="M8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5">
        <f>--(0&gt;(TblTimeSheet[[#This Row],[End Date and Time]]-TblTimeSheet[[#This Row],[Start Date and Time]]))</f>
        <v>0</v>
      </c>
    </row>
    <row r="816" spans="1:14" x14ac:dyDescent="0.25">
      <c r="A816" s="1"/>
      <c r="B816" s="2" t="s">
        <v>697</v>
      </c>
      <c r="C816" s="2" t="s">
        <v>116</v>
      </c>
      <c r="D816" s="2" t="s">
        <v>32</v>
      </c>
      <c r="E816" s="7" t="s">
        <v>1191</v>
      </c>
      <c r="F816" s="37">
        <v>42408.416666666664</v>
      </c>
      <c r="G816" s="37">
        <v>42408.541666666664</v>
      </c>
      <c r="H816" s="1" t="s">
        <v>6</v>
      </c>
      <c r="I816" s="1" t="s">
        <v>38</v>
      </c>
      <c r="J816" s="1">
        <v>42433.728310185186</v>
      </c>
      <c r="K816" s="1" t="s">
        <v>701</v>
      </c>
      <c r="L816" s="14">
        <f>24*(TblTimeSheet[[#This Row],[End Date and Time]]-TblTimeSheet[[#This Row],[Start Date and Time]])</f>
        <v>3</v>
      </c>
      <c r="M8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6">
        <f>--(0&gt;(TblTimeSheet[[#This Row],[End Date and Time]]-TblTimeSheet[[#This Row],[Start Date and Time]]))</f>
        <v>0</v>
      </c>
    </row>
    <row r="817" spans="1:14" x14ac:dyDescent="0.25">
      <c r="A817" s="1"/>
      <c r="B817" s="2" t="s">
        <v>697</v>
      </c>
      <c r="C817" s="2" t="s">
        <v>116</v>
      </c>
      <c r="D817" s="2" t="s">
        <v>32</v>
      </c>
      <c r="E817" s="7" t="s">
        <v>1192</v>
      </c>
      <c r="F817" s="37">
        <v>42408.708333333336</v>
      </c>
      <c r="G817" s="37">
        <v>42408.729166666664</v>
      </c>
      <c r="H817" s="1" t="s">
        <v>6</v>
      </c>
      <c r="I817" s="1" t="s">
        <v>38</v>
      </c>
      <c r="J817" s="1">
        <v>42433.703402777777</v>
      </c>
      <c r="K817" s="1" t="s">
        <v>701</v>
      </c>
      <c r="L817" s="14">
        <f>24*(TblTimeSheet[[#This Row],[End Date and Time]]-TblTimeSheet[[#This Row],[Start Date and Time]])</f>
        <v>0.49999999988358468</v>
      </c>
      <c r="M8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7">
        <f>--(0&gt;(TblTimeSheet[[#This Row],[End Date and Time]]-TblTimeSheet[[#This Row],[Start Date and Time]]))</f>
        <v>0</v>
      </c>
    </row>
    <row r="818" spans="1:14" x14ac:dyDescent="0.25">
      <c r="A818" s="1"/>
      <c r="B818" s="2" t="s">
        <v>697</v>
      </c>
      <c r="C818" s="2" t="s">
        <v>118</v>
      </c>
      <c r="D818" s="2" t="s">
        <v>32</v>
      </c>
      <c r="E818" s="7" t="s">
        <v>1193</v>
      </c>
      <c r="F818" s="37">
        <v>42399.625</v>
      </c>
      <c r="G818" s="37">
        <v>42399.666666666664</v>
      </c>
      <c r="H818" s="1" t="s">
        <v>6</v>
      </c>
      <c r="I818" s="1" t="s">
        <v>38</v>
      </c>
      <c r="J818" s="1">
        <v>42410.439699074072</v>
      </c>
      <c r="K818" s="1" t="s">
        <v>118</v>
      </c>
      <c r="L818" s="14">
        <f>24*(TblTimeSheet[[#This Row],[End Date and Time]]-TblTimeSheet[[#This Row],[Start Date and Time]])</f>
        <v>0.99999999994179234</v>
      </c>
      <c r="M8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8">
        <f>--(0&gt;(TblTimeSheet[[#This Row],[End Date and Time]]-TblTimeSheet[[#This Row],[Start Date and Time]]))</f>
        <v>0</v>
      </c>
    </row>
    <row r="819" spans="1:14" x14ac:dyDescent="0.25">
      <c r="A819" s="1"/>
      <c r="B819" s="2" t="s">
        <v>697</v>
      </c>
      <c r="C819" s="2" t="s">
        <v>43</v>
      </c>
      <c r="D819" s="2" t="s">
        <v>32</v>
      </c>
      <c r="E819" s="7" t="s">
        <v>1194</v>
      </c>
      <c r="F819" s="37">
        <v>42399.625</v>
      </c>
      <c r="G819" s="37">
        <v>42399.666666666664</v>
      </c>
      <c r="H819" s="1" t="s">
        <v>6</v>
      </c>
      <c r="I819" s="1" t="s">
        <v>38</v>
      </c>
      <c r="J819" s="1">
        <v>42410.440787037034</v>
      </c>
      <c r="K819" s="1" t="s">
        <v>43</v>
      </c>
      <c r="L819" s="14">
        <f>24*(TblTimeSheet[[#This Row],[End Date and Time]]-TblTimeSheet[[#This Row],[Start Date and Time]])</f>
        <v>0.99999999994179234</v>
      </c>
      <c r="M8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19">
        <f>--(0&gt;(TblTimeSheet[[#This Row],[End Date and Time]]-TblTimeSheet[[#This Row],[Start Date and Time]]))</f>
        <v>0</v>
      </c>
    </row>
    <row r="820" spans="1:14" x14ac:dyDescent="0.25">
      <c r="A820" s="1"/>
      <c r="B820" s="2" t="s">
        <v>909</v>
      </c>
      <c r="C820" s="2" t="s">
        <v>116</v>
      </c>
      <c r="D820" s="2" t="s">
        <v>32</v>
      </c>
      <c r="E820" s="7" t="s">
        <v>449</v>
      </c>
      <c r="F820" s="37">
        <v>42410.458333333336</v>
      </c>
      <c r="G820" s="37">
        <v>42410.479166666664</v>
      </c>
      <c r="H820" s="1" t="s">
        <v>6</v>
      </c>
      <c r="I820" s="1" t="s">
        <v>38</v>
      </c>
      <c r="J820" s="1">
        <v>42410.480995370373</v>
      </c>
      <c r="K820" s="1" t="s">
        <v>701</v>
      </c>
      <c r="L820" s="14">
        <f>24*(TblTimeSheet[[#This Row],[End Date and Time]]-TblTimeSheet[[#This Row],[Start Date and Time]])</f>
        <v>0.49999999988358468</v>
      </c>
      <c r="M8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20">
        <f>--(0&gt;(TblTimeSheet[[#This Row],[End Date and Time]]-TblTimeSheet[[#This Row],[Start Date and Time]]))</f>
        <v>0</v>
      </c>
    </row>
    <row r="821" spans="1:14" x14ac:dyDescent="0.25">
      <c r="A821" s="1"/>
      <c r="B821" s="2" t="s">
        <v>909</v>
      </c>
      <c r="C821" s="2" t="s">
        <v>116</v>
      </c>
      <c r="D821" s="2" t="s">
        <v>32</v>
      </c>
      <c r="E821" s="7" t="s">
        <v>1195</v>
      </c>
      <c r="F821" s="37">
        <v>42410.458333333336</v>
      </c>
      <c r="G821" s="37">
        <v>42410.479166666664</v>
      </c>
      <c r="H821" s="1" t="s">
        <v>6</v>
      </c>
      <c r="I821" s="1" t="s">
        <v>38</v>
      </c>
      <c r="J821" s="1">
        <v>42410.520613425928</v>
      </c>
      <c r="K821" s="1" t="s">
        <v>39</v>
      </c>
      <c r="L821" s="14">
        <f>24*(TblTimeSheet[[#This Row],[End Date and Time]]-TblTimeSheet[[#This Row],[Start Date and Time]])</f>
        <v>0.49999999988358468</v>
      </c>
      <c r="M8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21">
        <f>--(0&gt;(TblTimeSheet[[#This Row],[End Date and Time]]-TblTimeSheet[[#This Row],[Start Date and Time]]))</f>
        <v>0</v>
      </c>
    </row>
    <row r="822" spans="1:14" x14ac:dyDescent="0.25">
      <c r="A822" s="1"/>
      <c r="B822" s="2" t="s">
        <v>909</v>
      </c>
      <c r="C822" s="2" t="s">
        <v>116</v>
      </c>
      <c r="D822" s="2" t="s">
        <v>32</v>
      </c>
      <c r="E822" s="7" t="s">
        <v>1196</v>
      </c>
      <c r="F822" s="37">
        <v>42410.5</v>
      </c>
      <c r="G822" s="37">
        <v>42410.510416666664</v>
      </c>
      <c r="H822" s="1" t="s">
        <v>6</v>
      </c>
      <c r="I822" s="1" t="s">
        <v>38</v>
      </c>
      <c r="J822" s="1">
        <v>42410.523877314816</v>
      </c>
      <c r="K822" s="1" t="s">
        <v>39</v>
      </c>
      <c r="L822" s="14">
        <f>24*(TblTimeSheet[[#This Row],[End Date and Time]]-TblTimeSheet[[#This Row],[Start Date and Time]])</f>
        <v>0.24999999994179234</v>
      </c>
      <c r="M8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22">
        <f>--(0&gt;(TblTimeSheet[[#This Row],[End Date and Time]]-TblTimeSheet[[#This Row],[Start Date and Time]]))</f>
        <v>0</v>
      </c>
    </row>
    <row r="823" spans="1:14" ht="45" x14ac:dyDescent="0.25">
      <c r="A823" s="1"/>
      <c r="B823" s="2" t="s">
        <v>909</v>
      </c>
      <c r="C823" s="2" t="s">
        <v>961</v>
      </c>
      <c r="D823" s="2" t="s">
        <v>32</v>
      </c>
      <c r="E823" s="7" t="s">
        <v>1797</v>
      </c>
      <c r="F823" s="37">
        <v>42410.458333333336</v>
      </c>
      <c r="G823" s="37">
        <v>42410.479166666664</v>
      </c>
      <c r="H823" s="1" t="s">
        <v>6</v>
      </c>
      <c r="I823" s="1" t="s">
        <v>38</v>
      </c>
      <c r="J823" s="1">
        <v>42410.6796412037</v>
      </c>
      <c r="K823" s="1" t="s">
        <v>961</v>
      </c>
      <c r="L823" s="14">
        <f>24*(TblTimeSheet[[#This Row],[End Date and Time]]-TblTimeSheet[[#This Row],[Start Date and Time]])</f>
        <v>0.49999999988358468</v>
      </c>
      <c r="M8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3">
        <f>--(0&gt;(TblTimeSheet[[#This Row],[End Date and Time]]-TblTimeSheet[[#This Row],[Start Date and Time]]))</f>
        <v>0</v>
      </c>
    </row>
    <row r="824" spans="1:14" x14ac:dyDescent="0.25">
      <c r="A824" s="1"/>
      <c r="B824" s="2" t="s">
        <v>909</v>
      </c>
      <c r="C824" s="2" t="s">
        <v>1105</v>
      </c>
      <c r="D824" s="2" t="s">
        <v>20</v>
      </c>
      <c r="E824" s="7" t="s">
        <v>1197</v>
      </c>
      <c r="F824" s="37">
        <v>42406.583333333336</v>
      </c>
      <c r="G824" s="37">
        <v>42406.6875</v>
      </c>
      <c r="H824" s="1" t="s">
        <v>6</v>
      </c>
      <c r="I824" s="1" t="s">
        <v>38</v>
      </c>
      <c r="J824" s="1">
        <v>42410.737696759257</v>
      </c>
      <c r="K824" s="1" t="s">
        <v>2864</v>
      </c>
      <c r="L824" s="14">
        <f>24*(TblTimeSheet[[#This Row],[End Date and Time]]-TblTimeSheet[[#This Row],[Start Date and Time]])</f>
        <v>2.4999999999417923</v>
      </c>
      <c r="M8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4">
        <f>--(0&gt;(TblTimeSheet[[#This Row],[End Date and Time]]-TblTimeSheet[[#This Row],[Start Date and Time]]))</f>
        <v>0</v>
      </c>
    </row>
    <row r="825" spans="1:14" x14ac:dyDescent="0.25">
      <c r="A825" s="1"/>
      <c r="B825" s="2" t="s">
        <v>909</v>
      </c>
      <c r="C825" s="2" t="s">
        <v>1105</v>
      </c>
      <c r="D825" s="2" t="s">
        <v>20</v>
      </c>
      <c r="E825" s="7" t="s">
        <v>1198</v>
      </c>
      <c r="F825" s="37">
        <v>42410.722222222219</v>
      </c>
      <c r="G825" s="37">
        <v>42410.729166666664</v>
      </c>
      <c r="H825" s="1" t="s">
        <v>6</v>
      </c>
      <c r="I825" s="1" t="s">
        <v>38</v>
      </c>
      <c r="J825" s="1">
        <v>42410.738240740742</v>
      </c>
      <c r="K825" s="1" t="s">
        <v>2864</v>
      </c>
      <c r="L825" s="14">
        <f>24*(TblTimeSheet[[#This Row],[End Date and Time]]-TblTimeSheet[[#This Row],[Start Date and Time]])</f>
        <v>0.16666666668606922</v>
      </c>
      <c r="M8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5">
        <f>--(0&gt;(TblTimeSheet[[#This Row],[End Date and Time]]-TblTimeSheet[[#This Row],[Start Date and Time]]))</f>
        <v>0</v>
      </c>
    </row>
    <row r="826" spans="1:14" x14ac:dyDescent="0.25">
      <c r="A826" s="1"/>
      <c r="B826" s="2" t="s">
        <v>909</v>
      </c>
      <c r="C826" s="2" t="s">
        <v>41</v>
      </c>
      <c r="D826" s="2" t="s">
        <v>20</v>
      </c>
      <c r="E826" s="7" t="s">
        <v>1199</v>
      </c>
      <c r="F826" s="37">
        <v>42406.583333333336</v>
      </c>
      <c r="G826" s="37">
        <v>42406.6875</v>
      </c>
      <c r="H826" s="1" t="s">
        <v>6</v>
      </c>
      <c r="I826" s="1" t="s">
        <v>38</v>
      </c>
      <c r="J826" s="1">
        <v>42410.742395833331</v>
      </c>
      <c r="K826" s="1" t="s">
        <v>41</v>
      </c>
      <c r="L826" s="14">
        <f>24*(TblTimeSheet[[#This Row],[End Date and Time]]-TblTimeSheet[[#This Row],[Start Date and Time]])</f>
        <v>2.4999999999417923</v>
      </c>
      <c r="M8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6">
        <f>--(0&gt;(TblTimeSheet[[#This Row],[End Date and Time]]-TblTimeSheet[[#This Row],[Start Date and Time]]))</f>
        <v>0</v>
      </c>
    </row>
    <row r="827" spans="1:14" x14ac:dyDescent="0.25">
      <c r="A827" s="1"/>
      <c r="B827" s="2" t="s">
        <v>909</v>
      </c>
      <c r="C827" s="2" t="s">
        <v>41</v>
      </c>
      <c r="D827" s="2" t="s">
        <v>20</v>
      </c>
      <c r="E827" s="7" t="s">
        <v>1200</v>
      </c>
      <c r="F827" s="37">
        <v>42408.416666666664</v>
      </c>
      <c r="G827" s="37">
        <v>42408.434027777781</v>
      </c>
      <c r="H827" s="1" t="s">
        <v>6</v>
      </c>
      <c r="I827" s="1" t="s">
        <v>38</v>
      </c>
      <c r="J827" s="1">
        <v>42410.743263888886</v>
      </c>
      <c r="K827" s="1" t="s">
        <v>41</v>
      </c>
      <c r="L827" s="14">
        <f>24*(TblTimeSheet[[#This Row],[End Date and Time]]-TblTimeSheet[[#This Row],[Start Date and Time]])</f>
        <v>0.41666666680248454</v>
      </c>
      <c r="M8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7">
        <f>--(0&gt;(TblTimeSheet[[#This Row],[End Date and Time]]-TblTimeSheet[[#This Row],[Start Date and Time]]))</f>
        <v>0</v>
      </c>
    </row>
    <row r="828" spans="1:14" ht="30" x14ac:dyDescent="0.25">
      <c r="A828" s="1"/>
      <c r="B828" s="2" t="s">
        <v>909</v>
      </c>
      <c r="C828" s="2" t="s">
        <v>961</v>
      </c>
      <c r="D828" s="2" t="s">
        <v>32</v>
      </c>
      <c r="E828" s="7" t="s">
        <v>1201</v>
      </c>
      <c r="F828" s="37">
        <v>42410.583333333336</v>
      </c>
      <c r="G828" s="37">
        <v>42410.756944444445</v>
      </c>
      <c r="H828" s="1" t="s">
        <v>6</v>
      </c>
      <c r="I828" s="1" t="s">
        <v>38</v>
      </c>
      <c r="J828" s="1">
        <v>42411.509699074071</v>
      </c>
      <c r="K828" s="1" t="s">
        <v>961</v>
      </c>
      <c r="L828" s="14">
        <f>24*(TblTimeSheet[[#This Row],[End Date and Time]]-TblTimeSheet[[#This Row],[Start Date and Time]])</f>
        <v>4.1666666666278616</v>
      </c>
      <c r="M8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8">
        <f>--(0&gt;(TblTimeSheet[[#This Row],[End Date and Time]]-TblTimeSheet[[#This Row],[Start Date and Time]]))</f>
        <v>0</v>
      </c>
    </row>
    <row r="829" spans="1:14" x14ac:dyDescent="0.25">
      <c r="A829" s="1"/>
      <c r="B829" s="2" t="s">
        <v>909</v>
      </c>
      <c r="C829" s="2" t="s">
        <v>961</v>
      </c>
      <c r="D829" s="2" t="s">
        <v>32</v>
      </c>
      <c r="E829" s="7" t="s">
        <v>1798</v>
      </c>
      <c r="F829" s="37">
        <v>42411.381944444445</v>
      </c>
      <c r="G829" s="37">
        <v>42411.510416666664</v>
      </c>
      <c r="H829" s="1" t="s">
        <v>6</v>
      </c>
      <c r="I829" s="1" t="s">
        <v>38</v>
      </c>
      <c r="J829" s="1">
        <v>42411.51158564815</v>
      </c>
      <c r="K829" s="1" t="s">
        <v>961</v>
      </c>
      <c r="L829" s="14">
        <f>24*(TblTimeSheet[[#This Row],[End Date and Time]]-TblTimeSheet[[#This Row],[Start Date and Time]])</f>
        <v>3.0833333332557231</v>
      </c>
      <c r="M8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29">
        <f>--(0&gt;(TblTimeSheet[[#This Row],[End Date and Time]]-TblTimeSheet[[#This Row],[Start Date and Time]]))</f>
        <v>0</v>
      </c>
    </row>
    <row r="830" spans="1:14" x14ac:dyDescent="0.25">
      <c r="A830" s="1"/>
      <c r="B830" s="2" t="s">
        <v>909</v>
      </c>
      <c r="C830" s="2" t="s">
        <v>961</v>
      </c>
      <c r="D830" s="2" t="s">
        <v>32</v>
      </c>
      <c r="E830" s="7" t="s">
        <v>1202</v>
      </c>
      <c r="F830" s="37">
        <v>42410.375</v>
      </c>
      <c r="G830" s="37">
        <v>42410.458333333336</v>
      </c>
      <c r="H830" s="1" t="s">
        <v>6</v>
      </c>
      <c r="I830" s="1" t="s">
        <v>38</v>
      </c>
      <c r="J830" s="1">
        <v>42448.604027777779</v>
      </c>
      <c r="K830" s="1" t="s">
        <v>961</v>
      </c>
      <c r="L830" s="14">
        <f>24*(TblTimeSheet[[#This Row],[End Date and Time]]-TblTimeSheet[[#This Row],[Start Date and Time]])</f>
        <v>2.0000000000582077</v>
      </c>
      <c r="M8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0">
        <f>--(0&gt;(TblTimeSheet[[#This Row],[End Date and Time]]-TblTimeSheet[[#This Row],[Start Date and Time]]))</f>
        <v>0</v>
      </c>
    </row>
    <row r="831" spans="1:14" x14ac:dyDescent="0.25">
      <c r="A831" s="1"/>
      <c r="B831" s="2" t="s">
        <v>909</v>
      </c>
      <c r="C831" s="2" t="s">
        <v>116</v>
      </c>
      <c r="D831" s="2" t="s">
        <v>32</v>
      </c>
      <c r="E831" s="7" t="s">
        <v>1203</v>
      </c>
      <c r="F831" s="37">
        <v>42410.5</v>
      </c>
      <c r="G831" s="37">
        <v>42410.510416666664</v>
      </c>
      <c r="H831" s="1" t="s">
        <v>6</v>
      </c>
      <c r="I831" s="1" t="s">
        <v>38</v>
      </c>
      <c r="J831" s="1">
        <v>42412.415682870371</v>
      </c>
      <c r="K831" s="1" t="s">
        <v>701</v>
      </c>
      <c r="L831" s="14">
        <f>24*(TblTimeSheet[[#This Row],[End Date and Time]]-TblTimeSheet[[#This Row],[Start Date and Time]])</f>
        <v>0.24999999994179234</v>
      </c>
      <c r="M8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31">
        <f>--(0&gt;(TblTimeSheet[[#This Row],[End Date and Time]]-TblTimeSheet[[#This Row],[Start Date and Time]]))</f>
        <v>0</v>
      </c>
    </row>
    <row r="832" spans="1:14" x14ac:dyDescent="0.25">
      <c r="A832" s="1"/>
      <c r="B832" s="2" t="s">
        <v>909</v>
      </c>
      <c r="C832" s="2" t="s">
        <v>116</v>
      </c>
      <c r="D832" s="2" t="s">
        <v>32</v>
      </c>
      <c r="E832" s="7" t="s">
        <v>1799</v>
      </c>
      <c r="F832" s="37">
        <v>42411.395833333336</v>
      </c>
      <c r="G832" s="37">
        <v>42411.541666666664</v>
      </c>
      <c r="H832" s="1" t="s">
        <v>6</v>
      </c>
      <c r="I832" s="1" t="s">
        <v>38</v>
      </c>
      <c r="J832" s="1">
        <v>42412.422731481478</v>
      </c>
      <c r="K832" s="1" t="s">
        <v>701</v>
      </c>
      <c r="L832" s="14">
        <f>24*(TblTimeSheet[[#This Row],[End Date and Time]]-TblTimeSheet[[#This Row],[Start Date and Time]])</f>
        <v>3.4999999998835847</v>
      </c>
      <c r="M8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2">
        <f>--(0&gt;(TblTimeSheet[[#This Row],[End Date and Time]]-TblTimeSheet[[#This Row],[Start Date and Time]]))</f>
        <v>0</v>
      </c>
    </row>
    <row r="833" spans="1:14" ht="30" x14ac:dyDescent="0.25">
      <c r="A833" s="1"/>
      <c r="B833" s="2" t="s">
        <v>909</v>
      </c>
      <c r="C833" s="2" t="s">
        <v>116</v>
      </c>
      <c r="D833" s="2" t="s">
        <v>32</v>
      </c>
      <c r="E833" s="7" t="s">
        <v>1800</v>
      </c>
      <c r="F833" s="37">
        <v>42411.583333333336</v>
      </c>
      <c r="G833" s="37">
        <v>42411.708333333336</v>
      </c>
      <c r="H833" s="1" t="s">
        <v>6</v>
      </c>
      <c r="I833" s="1" t="s">
        <v>38</v>
      </c>
      <c r="J833" s="1">
        <v>42412.424166666664</v>
      </c>
      <c r="K833" s="1" t="s">
        <v>701</v>
      </c>
      <c r="L833" s="14">
        <f>24*(TblTimeSheet[[#This Row],[End Date and Time]]-TblTimeSheet[[#This Row],[Start Date and Time]])</f>
        <v>3</v>
      </c>
      <c r="M8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3">
        <f>--(0&gt;(TblTimeSheet[[#This Row],[End Date and Time]]-TblTimeSheet[[#This Row],[Start Date and Time]]))</f>
        <v>0</v>
      </c>
    </row>
    <row r="834" spans="1:14" x14ac:dyDescent="0.25">
      <c r="A834" s="1"/>
      <c r="B834" s="2" t="s">
        <v>697</v>
      </c>
      <c r="C834" s="2" t="s">
        <v>124</v>
      </c>
      <c r="D834" s="2" t="s">
        <v>32</v>
      </c>
      <c r="E834" s="7" t="s">
        <v>1204</v>
      </c>
      <c r="F834" s="37">
        <v>42411.416666666664</v>
      </c>
      <c r="G834" s="37">
        <v>42411.541666666664</v>
      </c>
      <c r="H834" s="1" t="s">
        <v>6</v>
      </c>
      <c r="I834" s="1" t="s">
        <v>38</v>
      </c>
      <c r="J834" s="1">
        <v>42412.598483796297</v>
      </c>
      <c r="K834" s="1" t="s">
        <v>2863</v>
      </c>
      <c r="L834" s="14">
        <f>24*(TblTimeSheet[[#This Row],[End Date and Time]]-TblTimeSheet[[#This Row],[Start Date and Time]])</f>
        <v>3</v>
      </c>
      <c r="M8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4">
        <f>--(0&gt;(TblTimeSheet[[#This Row],[End Date and Time]]-TblTimeSheet[[#This Row],[Start Date and Time]]))</f>
        <v>0</v>
      </c>
    </row>
    <row r="835" spans="1:14" x14ac:dyDescent="0.25">
      <c r="A835" s="1"/>
      <c r="B835" s="2" t="s">
        <v>697</v>
      </c>
      <c r="C835" s="2" t="s">
        <v>124</v>
      </c>
      <c r="D835" s="2" t="s">
        <v>32</v>
      </c>
      <c r="E835" s="7" t="s">
        <v>1205</v>
      </c>
      <c r="F835" s="37">
        <v>42411.583333333336</v>
      </c>
      <c r="G835" s="37">
        <v>42411.708333333336</v>
      </c>
      <c r="H835" s="1" t="s">
        <v>6</v>
      </c>
      <c r="I835" s="1" t="s">
        <v>38</v>
      </c>
      <c r="J835" s="1">
        <v>42412.599317129629</v>
      </c>
      <c r="K835" s="1" t="s">
        <v>2863</v>
      </c>
      <c r="L835" s="14">
        <f>24*(TblTimeSheet[[#This Row],[End Date and Time]]-TblTimeSheet[[#This Row],[Start Date and Time]])</f>
        <v>3</v>
      </c>
      <c r="M8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5">
        <f>--(0&gt;(TblTimeSheet[[#This Row],[End Date and Time]]-TblTimeSheet[[#This Row],[Start Date and Time]]))</f>
        <v>0</v>
      </c>
    </row>
    <row r="836" spans="1:14" x14ac:dyDescent="0.25">
      <c r="A836" s="1"/>
      <c r="B836" s="2" t="s">
        <v>909</v>
      </c>
      <c r="C836" s="2" t="s">
        <v>41</v>
      </c>
      <c r="D836" s="2" t="s">
        <v>32</v>
      </c>
      <c r="E836" s="7" t="s">
        <v>449</v>
      </c>
      <c r="F836" s="37">
        <v>42410.458333333336</v>
      </c>
      <c r="G836" s="37">
        <v>42410.479166666664</v>
      </c>
      <c r="H836" s="1" t="s">
        <v>6</v>
      </c>
      <c r="I836" s="1" t="s">
        <v>38</v>
      </c>
      <c r="J836" s="1">
        <v>42412.733206018522</v>
      </c>
      <c r="K836" s="1" t="s">
        <v>41</v>
      </c>
      <c r="L836" s="14">
        <f>24*(TblTimeSheet[[#This Row],[End Date and Time]]-TblTimeSheet[[#This Row],[Start Date and Time]])</f>
        <v>0.49999999988358468</v>
      </c>
      <c r="M8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6">
        <f>--(0&gt;(TblTimeSheet[[#This Row],[End Date and Time]]-TblTimeSheet[[#This Row],[Start Date and Time]]))</f>
        <v>0</v>
      </c>
    </row>
    <row r="837" spans="1:14" x14ac:dyDescent="0.25">
      <c r="A837" s="1"/>
      <c r="B837" s="2" t="s">
        <v>909</v>
      </c>
      <c r="C837" s="2" t="s">
        <v>41</v>
      </c>
      <c r="D837" s="2" t="s">
        <v>20</v>
      </c>
      <c r="E837" s="7" t="s">
        <v>1206</v>
      </c>
      <c r="F837" s="37">
        <v>42408.4375</v>
      </c>
      <c r="G837" s="37">
        <v>42408.447916666664</v>
      </c>
      <c r="H837" s="1" t="s">
        <v>6</v>
      </c>
      <c r="I837" s="1" t="s">
        <v>38</v>
      </c>
      <c r="J837" s="1">
        <v>42448.47148148148</v>
      </c>
      <c r="K837" s="1" t="s">
        <v>41</v>
      </c>
      <c r="L837" s="14">
        <f>24*(TblTimeSheet[[#This Row],[End Date and Time]]-TblTimeSheet[[#This Row],[Start Date and Time]])</f>
        <v>0.24999999994179234</v>
      </c>
      <c r="M8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7">
        <f>--(0&gt;(TblTimeSheet[[#This Row],[End Date and Time]]-TblTimeSheet[[#This Row],[Start Date and Time]]))</f>
        <v>0</v>
      </c>
    </row>
    <row r="838" spans="1:14" x14ac:dyDescent="0.25">
      <c r="A838" s="1"/>
      <c r="B838" s="2" t="s">
        <v>909</v>
      </c>
      <c r="C838" s="2" t="s">
        <v>171</v>
      </c>
      <c r="D838" s="2" t="s">
        <v>32</v>
      </c>
      <c r="E838" s="7" t="s">
        <v>1207</v>
      </c>
      <c r="F838" s="37">
        <v>42412.666666666664</v>
      </c>
      <c r="G838" s="37">
        <v>42412.75</v>
      </c>
      <c r="H838" s="1" t="s">
        <v>6</v>
      </c>
      <c r="I838" s="1" t="s">
        <v>38</v>
      </c>
      <c r="J838" s="1">
        <v>42413.696840277778</v>
      </c>
      <c r="K838" s="1" t="s">
        <v>961</v>
      </c>
      <c r="L838" s="14">
        <f>24*(TblTimeSheet[[#This Row],[End Date and Time]]-TblTimeSheet[[#This Row],[Start Date and Time]])</f>
        <v>2.0000000000582077</v>
      </c>
      <c r="M8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38">
        <f>--(0&gt;(TblTimeSheet[[#This Row],[End Date and Time]]-TblTimeSheet[[#This Row],[Start Date and Time]]))</f>
        <v>0</v>
      </c>
    </row>
    <row r="839" spans="1:14" x14ac:dyDescent="0.25">
      <c r="A839" s="1"/>
      <c r="B839" s="2" t="s">
        <v>697</v>
      </c>
      <c r="C839" s="2" t="s">
        <v>116</v>
      </c>
      <c r="D839" s="2" t="s">
        <v>32</v>
      </c>
      <c r="E839" s="7" t="s">
        <v>456</v>
      </c>
      <c r="F839" s="37">
        <v>42413.416666666664</v>
      </c>
      <c r="G839" s="37">
        <v>42413.4375</v>
      </c>
      <c r="H839" s="1" t="s">
        <v>6</v>
      </c>
      <c r="I839" s="1" t="s">
        <v>38</v>
      </c>
      <c r="J839" s="1">
        <v>42413.438171296293</v>
      </c>
      <c r="K839" s="1" t="s">
        <v>1026</v>
      </c>
      <c r="L839" s="14">
        <f>24*(TblTimeSheet[[#This Row],[End Date and Time]]-TblTimeSheet[[#This Row],[Start Date and Time]])</f>
        <v>0.50000000005820766</v>
      </c>
      <c r="M8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39">
        <f>--(0&gt;(TblTimeSheet[[#This Row],[End Date and Time]]-TblTimeSheet[[#This Row],[Start Date and Time]]))</f>
        <v>0</v>
      </c>
    </row>
    <row r="840" spans="1:14" x14ac:dyDescent="0.25">
      <c r="A840" s="1"/>
      <c r="B840" s="2" t="s">
        <v>697</v>
      </c>
      <c r="C840" s="2" t="s">
        <v>124</v>
      </c>
      <c r="D840" s="2" t="s">
        <v>32</v>
      </c>
      <c r="E840" s="7" t="s">
        <v>1208</v>
      </c>
      <c r="F840" s="37">
        <v>42413.416666666664</v>
      </c>
      <c r="G840" s="37">
        <v>42413.4375</v>
      </c>
      <c r="H840" s="1" t="s">
        <v>6</v>
      </c>
      <c r="I840" s="1" t="s">
        <v>38</v>
      </c>
      <c r="J840" s="1">
        <v>42413.449166666665</v>
      </c>
      <c r="K840" s="1" t="s">
        <v>2863</v>
      </c>
      <c r="L840" s="14">
        <f>24*(TblTimeSheet[[#This Row],[End Date and Time]]-TblTimeSheet[[#This Row],[Start Date and Time]])</f>
        <v>0.50000000005820766</v>
      </c>
      <c r="M8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40">
        <f>--(0&gt;(TblTimeSheet[[#This Row],[End Date and Time]]-TblTimeSheet[[#This Row],[Start Date and Time]]))</f>
        <v>0</v>
      </c>
    </row>
    <row r="841" spans="1:14" x14ac:dyDescent="0.25">
      <c r="A841" s="1"/>
      <c r="B841" s="2" t="s">
        <v>911</v>
      </c>
      <c r="C841" s="2" t="s">
        <v>116</v>
      </c>
      <c r="D841" s="2" t="s">
        <v>19</v>
      </c>
      <c r="E841" s="7" t="s">
        <v>1801</v>
      </c>
      <c r="F841" s="37">
        <v>42413.458333333336</v>
      </c>
      <c r="G841" s="37">
        <v>42413.46875</v>
      </c>
      <c r="H841" s="1" t="s">
        <v>6</v>
      </c>
      <c r="I841" s="1" t="s">
        <v>38</v>
      </c>
      <c r="J841" s="1">
        <v>42413.604780092595</v>
      </c>
      <c r="K841" s="1" t="s">
        <v>81</v>
      </c>
      <c r="L841" s="14">
        <f>24*(TblTimeSheet[[#This Row],[End Date and Time]]-TblTimeSheet[[#This Row],[Start Date and Time]])</f>
        <v>0.24999999994179234</v>
      </c>
      <c r="M8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1">
        <f>--(0&gt;(TblTimeSheet[[#This Row],[End Date and Time]]-TblTimeSheet[[#This Row],[Start Date and Time]]))</f>
        <v>0</v>
      </c>
    </row>
    <row r="842" spans="1:14" x14ac:dyDescent="0.25">
      <c r="A842" s="1"/>
      <c r="B842" s="2" t="s">
        <v>697</v>
      </c>
      <c r="C842" s="2" t="s">
        <v>116</v>
      </c>
      <c r="D842" s="2" t="s">
        <v>32</v>
      </c>
      <c r="E842" s="7" t="s">
        <v>1802</v>
      </c>
      <c r="F842" s="37">
        <v>42413.416666666664</v>
      </c>
      <c r="G842" s="37">
        <v>42413.4375</v>
      </c>
      <c r="H842" s="1" t="s">
        <v>6</v>
      </c>
      <c r="I842" s="1" t="s">
        <v>38</v>
      </c>
      <c r="J842" s="1">
        <v>42413.452048611114</v>
      </c>
      <c r="K842" s="1" t="s">
        <v>81</v>
      </c>
      <c r="L842" s="14">
        <f>24*(TblTimeSheet[[#This Row],[End Date and Time]]-TblTimeSheet[[#This Row],[Start Date and Time]])</f>
        <v>0.50000000005820766</v>
      </c>
      <c r="M8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2">
        <f>--(0&gt;(TblTimeSheet[[#This Row],[End Date and Time]]-TblTimeSheet[[#This Row],[Start Date and Time]]))</f>
        <v>0</v>
      </c>
    </row>
    <row r="843" spans="1:14" x14ac:dyDescent="0.25">
      <c r="A843" s="1"/>
      <c r="B843" s="2" t="s">
        <v>911</v>
      </c>
      <c r="C843" s="2" t="s">
        <v>116</v>
      </c>
      <c r="D843" s="2" t="s">
        <v>19</v>
      </c>
      <c r="E843" s="7" t="s">
        <v>1209</v>
      </c>
      <c r="F843" s="37">
        <v>42413.458333333336</v>
      </c>
      <c r="G843" s="37">
        <v>42413.479166666664</v>
      </c>
      <c r="H843" s="1" t="s">
        <v>6</v>
      </c>
      <c r="I843" s="1" t="s">
        <v>38</v>
      </c>
      <c r="J843" s="1">
        <v>42423.750347222223</v>
      </c>
      <c r="K843" s="1" t="s">
        <v>701</v>
      </c>
      <c r="L843" s="14">
        <f>24*(TblTimeSheet[[#This Row],[End Date and Time]]-TblTimeSheet[[#This Row],[Start Date and Time]])</f>
        <v>0.49999999988358468</v>
      </c>
      <c r="M8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3">
        <f>--(0&gt;(TblTimeSheet[[#This Row],[End Date and Time]]-TblTimeSheet[[#This Row],[Start Date and Time]]))</f>
        <v>0</v>
      </c>
    </row>
    <row r="844" spans="1:14" x14ac:dyDescent="0.25">
      <c r="A844" s="1"/>
      <c r="B844" s="2" t="s">
        <v>697</v>
      </c>
      <c r="C844" s="2" t="s">
        <v>116</v>
      </c>
      <c r="D844" s="2" t="s">
        <v>32</v>
      </c>
      <c r="E844" s="7" t="s">
        <v>456</v>
      </c>
      <c r="F844" s="37">
        <v>42413.416666666664</v>
      </c>
      <c r="G844" s="37">
        <v>42413.4375</v>
      </c>
      <c r="H844" s="1" t="s">
        <v>6</v>
      </c>
      <c r="I844" s="1" t="s">
        <v>38</v>
      </c>
      <c r="J844" s="1">
        <v>42413.466585648152</v>
      </c>
      <c r="K844" s="1" t="s">
        <v>701</v>
      </c>
      <c r="L844" s="14">
        <f>24*(TblTimeSheet[[#This Row],[End Date and Time]]-TblTimeSheet[[#This Row],[Start Date and Time]])</f>
        <v>0.50000000005820766</v>
      </c>
      <c r="M8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4">
        <f>--(0&gt;(TblTimeSheet[[#This Row],[End Date and Time]]-TblTimeSheet[[#This Row],[Start Date and Time]]))</f>
        <v>0</v>
      </c>
    </row>
    <row r="845" spans="1:14" x14ac:dyDescent="0.25">
      <c r="A845" s="1"/>
      <c r="B845" s="2" t="s">
        <v>909</v>
      </c>
      <c r="C845" s="2" t="s">
        <v>961</v>
      </c>
      <c r="D845" s="2" t="s">
        <v>32</v>
      </c>
      <c r="E845" s="7" t="s">
        <v>1210</v>
      </c>
      <c r="F845" s="37">
        <v>42412.666666666664</v>
      </c>
      <c r="G845" s="37">
        <v>42412.75</v>
      </c>
      <c r="H845" s="1" t="s">
        <v>6</v>
      </c>
      <c r="I845" s="1" t="s">
        <v>38</v>
      </c>
      <c r="J845" s="1">
        <v>42413.494351851848</v>
      </c>
      <c r="K845" s="1" t="s">
        <v>961</v>
      </c>
      <c r="L845" s="14">
        <f>24*(TblTimeSheet[[#This Row],[End Date and Time]]-TblTimeSheet[[#This Row],[Start Date and Time]])</f>
        <v>2.0000000000582077</v>
      </c>
      <c r="M8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45">
        <f>--(0&gt;(TblTimeSheet[[#This Row],[End Date and Time]]-TblTimeSheet[[#This Row],[Start Date and Time]]))</f>
        <v>0</v>
      </c>
    </row>
    <row r="846" spans="1:14" x14ac:dyDescent="0.25">
      <c r="A846" s="1"/>
      <c r="B846" s="2" t="s">
        <v>697</v>
      </c>
      <c r="C846" s="2" t="s">
        <v>116</v>
      </c>
      <c r="D846" s="2" t="s">
        <v>32</v>
      </c>
      <c r="E846" s="7" t="s">
        <v>456</v>
      </c>
      <c r="F846" s="37">
        <v>42413.416666666664</v>
      </c>
      <c r="G846" s="37">
        <v>42413.4375</v>
      </c>
      <c r="H846" s="1" t="s">
        <v>6</v>
      </c>
      <c r="I846" s="1" t="s">
        <v>38</v>
      </c>
      <c r="J846" s="1">
        <v>42413.503032407411</v>
      </c>
      <c r="K846" s="1" t="s">
        <v>39</v>
      </c>
      <c r="L846" s="14">
        <f>24*(TblTimeSheet[[#This Row],[End Date and Time]]-TblTimeSheet[[#This Row],[Start Date and Time]])</f>
        <v>0.50000000005820766</v>
      </c>
      <c r="M8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6">
        <f>--(0&gt;(TblTimeSheet[[#This Row],[End Date and Time]]-TblTimeSheet[[#This Row],[Start Date and Time]]))</f>
        <v>0</v>
      </c>
    </row>
    <row r="847" spans="1:14" x14ac:dyDescent="0.25">
      <c r="A847" s="1"/>
      <c r="B847" s="2" t="s">
        <v>909</v>
      </c>
      <c r="C847" s="2" t="s">
        <v>171</v>
      </c>
      <c r="D847" s="2" t="s">
        <v>32</v>
      </c>
      <c r="E847" s="7" t="s">
        <v>1211</v>
      </c>
      <c r="F847" s="37">
        <v>42412.75</v>
      </c>
      <c r="G847" s="37">
        <v>42412.770833333336</v>
      </c>
      <c r="H847" s="1" t="s">
        <v>6</v>
      </c>
      <c r="I847" s="1" t="s">
        <v>38</v>
      </c>
      <c r="J847" s="1">
        <v>42413.50371527778</v>
      </c>
      <c r="K847" s="1" t="s">
        <v>171</v>
      </c>
      <c r="L847" s="14">
        <f>24*(TblTimeSheet[[#This Row],[End Date and Time]]-TblTimeSheet[[#This Row],[Start Date and Time]])</f>
        <v>0.50000000005820766</v>
      </c>
      <c r="M8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47">
        <f>--(0&gt;(TblTimeSheet[[#This Row],[End Date and Time]]-TblTimeSheet[[#This Row],[Start Date and Time]]))</f>
        <v>0</v>
      </c>
    </row>
    <row r="848" spans="1:14" x14ac:dyDescent="0.25">
      <c r="A848" s="1"/>
      <c r="B848" s="2" t="s">
        <v>911</v>
      </c>
      <c r="C848" s="2" t="s">
        <v>116</v>
      </c>
      <c r="D848" s="2" t="s">
        <v>19</v>
      </c>
      <c r="E848" s="7" t="s">
        <v>1212</v>
      </c>
      <c r="F848" s="37">
        <v>42413.458333333336</v>
      </c>
      <c r="G848" s="37">
        <v>42413.46875</v>
      </c>
      <c r="H848" s="1" t="s">
        <v>6</v>
      </c>
      <c r="I848" s="1" t="s">
        <v>38</v>
      </c>
      <c r="J848" s="1">
        <v>42413.604849537034</v>
      </c>
      <c r="K848" s="1" t="s">
        <v>39</v>
      </c>
      <c r="L848" s="14">
        <f>24*(TblTimeSheet[[#This Row],[End Date and Time]]-TblTimeSheet[[#This Row],[Start Date and Time]])</f>
        <v>0.24999999994179234</v>
      </c>
      <c r="M8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48">
        <f>--(0&gt;(TblTimeSheet[[#This Row],[End Date and Time]]-TblTimeSheet[[#This Row],[Start Date and Time]]))</f>
        <v>0</v>
      </c>
    </row>
    <row r="849" spans="1:14" x14ac:dyDescent="0.25">
      <c r="A849" s="1"/>
      <c r="B849" s="2" t="s">
        <v>909</v>
      </c>
      <c r="C849" s="2" t="s">
        <v>961</v>
      </c>
      <c r="D849" s="2" t="s">
        <v>32</v>
      </c>
      <c r="E849" s="7" t="s">
        <v>1803</v>
      </c>
      <c r="F849" s="37">
        <v>42412.75</v>
      </c>
      <c r="G849" s="37">
        <v>42412.770833333336</v>
      </c>
      <c r="H849" s="1" t="s">
        <v>6</v>
      </c>
      <c r="I849" s="1" t="s">
        <v>38</v>
      </c>
      <c r="J849" s="1">
        <v>42413.506967592592</v>
      </c>
      <c r="K849" s="1" t="s">
        <v>961</v>
      </c>
      <c r="L849" s="14">
        <f>24*(TblTimeSheet[[#This Row],[End Date and Time]]-TblTimeSheet[[#This Row],[Start Date and Time]])</f>
        <v>0.50000000005820766</v>
      </c>
      <c r="M8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49">
        <f>--(0&gt;(TblTimeSheet[[#This Row],[End Date and Time]]-TblTimeSheet[[#This Row],[Start Date and Time]]))</f>
        <v>0</v>
      </c>
    </row>
    <row r="850" spans="1:14" x14ac:dyDescent="0.25">
      <c r="A850" s="1"/>
      <c r="B850" s="2" t="s">
        <v>697</v>
      </c>
      <c r="C850" s="2" t="s">
        <v>78</v>
      </c>
      <c r="D850" s="2" t="s">
        <v>32</v>
      </c>
      <c r="E850" s="7" t="s">
        <v>1213</v>
      </c>
      <c r="F850" s="37">
        <v>42413.520833333336</v>
      </c>
      <c r="G850" s="37">
        <v>42413.548611111109</v>
      </c>
      <c r="H850" s="1" t="s">
        <v>6</v>
      </c>
      <c r="I850" s="1" t="s">
        <v>38</v>
      </c>
      <c r="J850" s="1">
        <v>42413.54954861111</v>
      </c>
      <c r="K850" s="1" t="s">
        <v>78</v>
      </c>
      <c r="L850" s="14">
        <f>24*(TblTimeSheet[[#This Row],[End Date and Time]]-TblTimeSheet[[#This Row],[Start Date and Time]])</f>
        <v>0.6666666665696539</v>
      </c>
      <c r="M8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0">
        <f>--(0&gt;(TblTimeSheet[[#This Row],[End Date and Time]]-TblTimeSheet[[#This Row],[Start Date and Time]]))</f>
        <v>0</v>
      </c>
    </row>
    <row r="851" spans="1:14" x14ac:dyDescent="0.25">
      <c r="A851" s="1"/>
      <c r="B851" s="2" t="s">
        <v>911</v>
      </c>
      <c r="C851" s="2" t="s">
        <v>78</v>
      </c>
      <c r="D851" s="2" t="s">
        <v>19</v>
      </c>
      <c r="E851" s="7" t="s">
        <v>1214</v>
      </c>
      <c r="F851" s="37">
        <v>42413.458333333336</v>
      </c>
      <c r="G851" s="37">
        <v>42413.479166666664</v>
      </c>
      <c r="H851" s="1" t="s">
        <v>6</v>
      </c>
      <c r="I851" s="1" t="s">
        <v>38</v>
      </c>
      <c r="J851" s="1">
        <v>42413.603263888886</v>
      </c>
      <c r="K851" s="1" t="s">
        <v>78</v>
      </c>
      <c r="L851" s="14">
        <f>24*(TblTimeSheet[[#This Row],[End Date and Time]]-TblTimeSheet[[#This Row],[Start Date and Time]])</f>
        <v>0.49999999988358468</v>
      </c>
      <c r="M8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1">
        <f>--(0&gt;(TblTimeSheet[[#This Row],[End Date and Time]]-TblTimeSheet[[#This Row],[Start Date and Time]]))</f>
        <v>0</v>
      </c>
    </row>
    <row r="852" spans="1:14" x14ac:dyDescent="0.25">
      <c r="A852" s="1"/>
      <c r="B852" s="2" t="s">
        <v>697</v>
      </c>
      <c r="C852" s="2" t="s">
        <v>124</v>
      </c>
      <c r="D852" s="2" t="s">
        <v>32</v>
      </c>
      <c r="E852" s="7" t="s">
        <v>1215</v>
      </c>
      <c r="F852" s="37">
        <v>42413.520833333336</v>
      </c>
      <c r="G852" s="37">
        <v>42413.548611111109</v>
      </c>
      <c r="H852" s="1" t="s">
        <v>6</v>
      </c>
      <c r="I852" s="1" t="s">
        <v>38</v>
      </c>
      <c r="J852" s="1">
        <v>42413.613113425927</v>
      </c>
      <c r="K852" s="1" t="s">
        <v>2863</v>
      </c>
      <c r="L852" s="14">
        <f>24*(TblTimeSheet[[#This Row],[End Date and Time]]-TblTimeSheet[[#This Row],[Start Date and Time]])</f>
        <v>0.6666666665696539</v>
      </c>
      <c r="M8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2">
        <f>--(0&gt;(TblTimeSheet[[#This Row],[End Date and Time]]-TblTimeSheet[[#This Row],[Start Date and Time]]))</f>
        <v>0</v>
      </c>
    </row>
    <row r="853" spans="1:14" x14ac:dyDescent="0.25">
      <c r="A853" s="1"/>
      <c r="B853" s="2" t="s">
        <v>697</v>
      </c>
      <c r="C853" s="2" t="s">
        <v>124</v>
      </c>
      <c r="D853" s="2" t="s">
        <v>32</v>
      </c>
      <c r="E853" s="7" t="s">
        <v>1216</v>
      </c>
      <c r="F853" s="37">
        <v>42413.590277777781</v>
      </c>
      <c r="G853" s="37">
        <v>42413.611111111109</v>
      </c>
      <c r="H853" s="1" t="s">
        <v>6</v>
      </c>
      <c r="I853" s="1" t="s">
        <v>38</v>
      </c>
      <c r="J853" s="1">
        <v>42413.614560185182</v>
      </c>
      <c r="K853" s="1" t="s">
        <v>2863</v>
      </c>
      <c r="L853" s="14">
        <f>24*(TblTimeSheet[[#This Row],[End Date and Time]]-TblTimeSheet[[#This Row],[Start Date and Time]])</f>
        <v>0.49999999988358468</v>
      </c>
      <c r="M8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3">
        <f>--(0&gt;(TblTimeSheet[[#This Row],[End Date and Time]]-TblTimeSheet[[#This Row],[Start Date and Time]]))</f>
        <v>0</v>
      </c>
    </row>
    <row r="854" spans="1:14" x14ac:dyDescent="0.25">
      <c r="A854" s="1"/>
      <c r="B854" s="2" t="s">
        <v>697</v>
      </c>
      <c r="C854" s="2" t="s">
        <v>43</v>
      </c>
      <c r="D854" s="2" t="s">
        <v>32</v>
      </c>
      <c r="E854" s="7" t="s">
        <v>1804</v>
      </c>
      <c r="F854" s="37">
        <v>42413.416666666664</v>
      </c>
      <c r="G854" s="37">
        <v>42413.4375</v>
      </c>
      <c r="H854" s="1" t="s">
        <v>6</v>
      </c>
      <c r="I854" s="1" t="s">
        <v>38</v>
      </c>
      <c r="J854" s="1">
        <v>42413.655543981484</v>
      </c>
      <c r="K854" s="1" t="s">
        <v>43</v>
      </c>
      <c r="L854" s="14">
        <f>24*(TblTimeSheet[[#This Row],[End Date and Time]]-TblTimeSheet[[#This Row],[Start Date and Time]])</f>
        <v>0.50000000005820766</v>
      </c>
      <c r="M8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4">
        <f>--(0&gt;(TblTimeSheet[[#This Row],[End Date and Time]]-TblTimeSheet[[#This Row],[Start Date and Time]]))</f>
        <v>0</v>
      </c>
    </row>
    <row r="855" spans="1:14" x14ac:dyDescent="0.25">
      <c r="A855" s="1"/>
      <c r="B855" s="2" t="s">
        <v>697</v>
      </c>
      <c r="C855" s="2" t="s">
        <v>143</v>
      </c>
      <c r="D855" s="2" t="s">
        <v>32</v>
      </c>
      <c r="E855" s="7" t="s">
        <v>1217</v>
      </c>
      <c r="F855" s="37">
        <v>42413.416666666664</v>
      </c>
      <c r="G855" s="37">
        <v>42413.4375</v>
      </c>
      <c r="H855" s="1" t="s">
        <v>6</v>
      </c>
      <c r="I855" s="1" t="s">
        <v>38</v>
      </c>
      <c r="J855" s="1">
        <v>42413.669386574074</v>
      </c>
      <c r="K855" s="1" t="s">
        <v>143</v>
      </c>
      <c r="L855" s="14">
        <f>24*(TblTimeSheet[[#This Row],[End Date and Time]]-TblTimeSheet[[#This Row],[Start Date and Time]])</f>
        <v>0.50000000005820766</v>
      </c>
      <c r="M8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5">
        <f>--(0&gt;(TblTimeSheet[[#This Row],[End Date and Time]]-TblTimeSheet[[#This Row],[Start Date and Time]]))</f>
        <v>0</v>
      </c>
    </row>
    <row r="856" spans="1:14" x14ac:dyDescent="0.25">
      <c r="A856" s="1"/>
      <c r="B856" s="2" t="s">
        <v>909</v>
      </c>
      <c r="C856" s="2" t="s">
        <v>961</v>
      </c>
      <c r="D856" s="2" t="s">
        <v>32</v>
      </c>
      <c r="E856" s="7" t="s">
        <v>1805</v>
      </c>
      <c r="F856" s="37">
        <v>42413.694444444445</v>
      </c>
      <c r="G856" s="37">
        <v>42413.729166666664</v>
      </c>
      <c r="H856" s="1" t="s">
        <v>6</v>
      </c>
      <c r="I856" s="1" t="s">
        <v>38</v>
      </c>
      <c r="J856" s="1">
        <v>42413.735046296293</v>
      </c>
      <c r="K856" s="1" t="s">
        <v>961</v>
      </c>
      <c r="L856" s="14">
        <f>24*(TblTimeSheet[[#This Row],[End Date and Time]]-TblTimeSheet[[#This Row],[Start Date and Time]])</f>
        <v>0.83333333325572312</v>
      </c>
      <c r="M8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6">
        <f>--(0&gt;(TblTimeSheet[[#This Row],[End Date and Time]]-TblTimeSheet[[#This Row],[Start Date and Time]]))</f>
        <v>0</v>
      </c>
    </row>
    <row r="857" spans="1:14" x14ac:dyDescent="0.25">
      <c r="A857" s="1"/>
      <c r="B857" s="2" t="s">
        <v>909</v>
      </c>
      <c r="C857" s="2" t="s">
        <v>176</v>
      </c>
      <c r="D857" s="2" t="s">
        <v>32</v>
      </c>
      <c r="E857" s="7" t="s">
        <v>1218</v>
      </c>
      <c r="F857" s="37">
        <v>42413.666666666664</v>
      </c>
      <c r="G857" s="37">
        <v>42413.708333333336</v>
      </c>
      <c r="H857" s="1" t="s">
        <v>6</v>
      </c>
      <c r="I857" s="1" t="s">
        <v>38</v>
      </c>
      <c r="J857" s="1">
        <v>42413.737245370372</v>
      </c>
      <c r="K857" s="1" t="s">
        <v>176</v>
      </c>
      <c r="L857" s="14">
        <f>24*(TblTimeSheet[[#This Row],[End Date and Time]]-TblTimeSheet[[#This Row],[Start Date and Time]])</f>
        <v>1.0000000001164153</v>
      </c>
      <c r="M8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7">
        <f>--(0&gt;(TblTimeSheet[[#This Row],[End Date and Time]]-TblTimeSheet[[#This Row],[Start Date and Time]]))</f>
        <v>0</v>
      </c>
    </row>
    <row r="858" spans="1:14" x14ac:dyDescent="0.25">
      <c r="A858" s="1"/>
      <c r="B858" s="2" t="s">
        <v>909</v>
      </c>
      <c r="C858" s="2" t="s">
        <v>961</v>
      </c>
      <c r="D858" s="2" t="s">
        <v>32</v>
      </c>
      <c r="E858" s="7" t="s">
        <v>1074</v>
      </c>
      <c r="F858" s="37">
        <v>42409.375</v>
      </c>
      <c r="G858" s="37">
        <v>42409.541666666664</v>
      </c>
      <c r="H858" s="1" t="s">
        <v>6</v>
      </c>
      <c r="I858" s="1" t="s">
        <v>38</v>
      </c>
      <c r="J858" s="1">
        <v>42413.738981481481</v>
      </c>
      <c r="K858" s="1" t="s">
        <v>961</v>
      </c>
      <c r="L858" s="14">
        <f>24*(TblTimeSheet[[#This Row],[End Date and Time]]-TblTimeSheet[[#This Row],[Start Date and Time]])</f>
        <v>3.9999999999417923</v>
      </c>
      <c r="M8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8">
        <f>--(0&gt;(TblTimeSheet[[#This Row],[End Date and Time]]-TblTimeSheet[[#This Row],[Start Date and Time]]))</f>
        <v>0</v>
      </c>
    </row>
    <row r="859" spans="1:14" x14ac:dyDescent="0.25">
      <c r="A859" s="1"/>
      <c r="B859" s="2" t="s">
        <v>909</v>
      </c>
      <c r="C859" s="2" t="s">
        <v>961</v>
      </c>
      <c r="D859" s="2" t="s">
        <v>32</v>
      </c>
      <c r="E859" s="7" t="s">
        <v>1219</v>
      </c>
      <c r="F859" s="37">
        <v>42409.583333333336</v>
      </c>
      <c r="G859" s="37">
        <v>42409.708333333336</v>
      </c>
      <c r="H859" s="1" t="s">
        <v>6</v>
      </c>
      <c r="I859" s="1" t="s">
        <v>38</v>
      </c>
      <c r="J859" s="1">
        <v>42413.739687499998</v>
      </c>
      <c r="K859" s="1" t="s">
        <v>961</v>
      </c>
      <c r="L859" s="14">
        <f>24*(TblTimeSheet[[#This Row],[End Date and Time]]-TblTimeSheet[[#This Row],[Start Date and Time]])</f>
        <v>3</v>
      </c>
      <c r="M8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59">
        <f>--(0&gt;(TblTimeSheet[[#This Row],[End Date and Time]]-TblTimeSheet[[#This Row],[Start Date and Time]]))</f>
        <v>0</v>
      </c>
    </row>
    <row r="860" spans="1:14" x14ac:dyDescent="0.25">
      <c r="A860" s="1"/>
      <c r="B860" s="2" t="s">
        <v>697</v>
      </c>
      <c r="C860" s="2" t="s">
        <v>116</v>
      </c>
      <c r="D860" s="2" t="s">
        <v>32</v>
      </c>
      <c r="E860" s="7" t="s">
        <v>1806</v>
      </c>
      <c r="F860" s="37">
        <v>42415.5625</v>
      </c>
      <c r="G860" s="37">
        <v>42415.729166666664</v>
      </c>
      <c r="H860" s="1" t="s">
        <v>6</v>
      </c>
      <c r="I860" s="1" t="s">
        <v>38</v>
      </c>
      <c r="J860" s="1">
        <v>42416.523252314815</v>
      </c>
      <c r="K860" s="1" t="s">
        <v>1026</v>
      </c>
      <c r="L860" s="14">
        <f>24*(TblTimeSheet[[#This Row],[End Date and Time]]-TblTimeSheet[[#This Row],[Start Date and Time]])</f>
        <v>3.9999999999417923</v>
      </c>
      <c r="M8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0">
        <f>--(0&gt;(TblTimeSheet[[#This Row],[End Date and Time]]-TblTimeSheet[[#This Row],[Start Date and Time]]))</f>
        <v>0</v>
      </c>
    </row>
    <row r="861" spans="1:14" x14ac:dyDescent="0.25">
      <c r="A861" s="1"/>
      <c r="B861" s="2" t="s">
        <v>697</v>
      </c>
      <c r="C861" s="2" t="s">
        <v>116</v>
      </c>
      <c r="D861" s="2" t="s">
        <v>32</v>
      </c>
      <c r="E861" s="7" t="s">
        <v>1807</v>
      </c>
      <c r="F861" s="37">
        <v>42416.375</v>
      </c>
      <c r="G861" s="37">
        <v>42416.541666666664</v>
      </c>
      <c r="H861" s="1" t="s">
        <v>6</v>
      </c>
      <c r="I861" s="1" t="s">
        <v>38</v>
      </c>
      <c r="J861" s="1">
        <v>42416.597800925927</v>
      </c>
      <c r="K861" s="1" t="s">
        <v>1026</v>
      </c>
      <c r="L861" s="14">
        <f>24*(TblTimeSheet[[#This Row],[End Date and Time]]-TblTimeSheet[[#This Row],[Start Date and Time]])</f>
        <v>3.9999999999417923</v>
      </c>
      <c r="M8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1">
        <f>--(0&gt;(TblTimeSheet[[#This Row],[End Date and Time]]-TblTimeSheet[[#This Row],[Start Date and Time]]))</f>
        <v>0</v>
      </c>
    </row>
    <row r="862" spans="1:14" x14ac:dyDescent="0.25">
      <c r="A862" s="1"/>
      <c r="B862" s="2" t="s">
        <v>909</v>
      </c>
      <c r="C862" s="2" t="s">
        <v>118</v>
      </c>
      <c r="D862" s="2" t="s">
        <v>32</v>
      </c>
      <c r="E862" s="7" t="s">
        <v>1220</v>
      </c>
      <c r="F862" s="37">
        <v>42415.583333333336</v>
      </c>
      <c r="G862" s="37">
        <v>42415.666666666664</v>
      </c>
      <c r="H862" s="1" t="s">
        <v>6</v>
      </c>
      <c r="I862" s="1" t="s">
        <v>38</v>
      </c>
      <c r="J862" s="1">
        <v>42416.721145833333</v>
      </c>
      <c r="K862" s="1" t="s">
        <v>118</v>
      </c>
      <c r="L862" s="14">
        <f>24*(TblTimeSheet[[#This Row],[End Date and Time]]-TblTimeSheet[[#This Row],[Start Date and Time]])</f>
        <v>1.9999999998835847</v>
      </c>
      <c r="M8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2">
        <f>--(0&gt;(TblTimeSheet[[#This Row],[End Date and Time]]-TblTimeSheet[[#This Row],[Start Date and Time]]))</f>
        <v>0</v>
      </c>
    </row>
    <row r="863" spans="1:14" x14ac:dyDescent="0.25">
      <c r="A863" s="1"/>
      <c r="B863" s="2" t="s">
        <v>909</v>
      </c>
      <c r="C863" s="2" t="s">
        <v>41</v>
      </c>
      <c r="D863" s="2" t="s">
        <v>20</v>
      </c>
      <c r="E863" s="7" t="s">
        <v>1221</v>
      </c>
      <c r="F863" s="37">
        <v>42415.708333333336</v>
      </c>
      <c r="G863" s="37">
        <v>42415.729166666664</v>
      </c>
      <c r="H863" s="1" t="s">
        <v>6</v>
      </c>
      <c r="I863" s="1" t="s">
        <v>38</v>
      </c>
      <c r="J863" s="1">
        <v>42416.724074074074</v>
      </c>
      <c r="K863" s="1" t="s">
        <v>41</v>
      </c>
      <c r="L863" s="14">
        <f>24*(TblTimeSheet[[#This Row],[End Date and Time]]-TblTimeSheet[[#This Row],[Start Date and Time]])</f>
        <v>0.49999999988358468</v>
      </c>
      <c r="M8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3">
        <f>--(0&gt;(TblTimeSheet[[#This Row],[End Date and Time]]-TblTimeSheet[[#This Row],[Start Date and Time]]))</f>
        <v>0</v>
      </c>
    </row>
    <row r="864" spans="1:14" x14ac:dyDescent="0.25">
      <c r="A864" s="1"/>
      <c r="B864" s="2" t="s">
        <v>697</v>
      </c>
      <c r="C864" s="2" t="s">
        <v>43</v>
      </c>
      <c r="D864" s="2" t="s">
        <v>33</v>
      </c>
      <c r="E864" s="7" t="s">
        <v>1222</v>
      </c>
      <c r="F864" s="37">
        <v>42416.708333333336</v>
      </c>
      <c r="G864" s="37">
        <v>42416.729166666664</v>
      </c>
      <c r="H864" s="1" t="s">
        <v>6</v>
      </c>
      <c r="I864" s="1" t="s">
        <v>38</v>
      </c>
      <c r="J864" s="1">
        <v>42416.733530092592</v>
      </c>
      <c r="K864" s="1" t="s">
        <v>43</v>
      </c>
      <c r="L864" s="14">
        <f>24*(TblTimeSheet[[#This Row],[End Date and Time]]-TblTimeSheet[[#This Row],[Start Date and Time]])</f>
        <v>0.49999999988358468</v>
      </c>
      <c r="M8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4">
        <f>--(0&gt;(TblTimeSheet[[#This Row],[End Date and Time]]-TblTimeSheet[[#This Row],[Start Date and Time]]))</f>
        <v>0</v>
      </c>
    </row>
    <row r="865" spans="1:14" x14ac:dyDescent="0.25">
      <c r="A865" s="1"/>
      <c r="B865" s="2" t="s">
        <v>909</v>
      </c>
      <c r="C865" s="2" t="s">
        <v>43</v>
      </c>
      <c r="D865" s="2" t="s">
        <v>32</v>
      </c>
      <c r="E865" s="7" t="s">
        <v>1223</v>
      </c>
      <c r="F865" s="37">
        <v>42415.708333333336</v>
      </c>
      <c r="G865" s="37">
        <v>42415.729166666664</v>
      </c>
      <c r="H865" s="1" t="s">
        <v>6</v>
      </c>
      <c r="I865" s="1" t="s">
        <v>38</v>
      </c>
      <c r="J865" s="1">
        <v>42417.664004629631</v>
      </c>
      <c r="K865" s="1" t="s">
        <v>43</v>
      </c>
      <c r="L865" s="14">
        <f>24*(TblTimeSheet[[#This Row],[End Date and Time]]-TblTimeSheet[[#This Row],[Start Date and Time]])</f>
        <v>0.49999999988358468</v>
      </c>
      <c r="M8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5">
        <f>--(0&gt;(TblTimeSheet[[#This Row],[End Date and Time]]-TblTimeSheet[[#This Row],[Start Date and Time]]))</f>
        <v>0</v>
      </c>
    </row>
    <row r="866" spans="1:14" x14ac:dyDescent="0.25">
      <c r="A866" s="1"/>
      <c r="B866" s="2" t="s">
        <v>909</v>
      </c>
      <c r="C866" s="2" t="s">
        <v>118</v>
      </c>
      <c r="D866" s="2" t="s">
        <v>32</v>
      </c>
      <c r="E866" s="7" t="s">
        <v>1223</v>
      </c>
      <c r="F866" s="37">
        <v>42415.708333333336</v>
      </c>
      <c r="G866" s="37">
        <v>42415.729166666664</v>
      </c>
      <c r="H866" s="1" t="s">
        <v>6</v>
      </c>
      <c r="I866" s="1" t="s">
        <v>38</v>
      </c>
      <c r="J866" s="1">
        <v>42417.664861111109</v>
      </c>
      <c r="K866" s="1" t="s">
        <v>118</v>
      </c>
      <c r="L866" s="14">
        <f>24*(TblTimeSheet[[#This Row],[End Date and Time]]-TblTimeSheet[[#This Row],[Start Date and Time]])</f>
        <v>0.49999999988358468</v>
      </c>
      <c r="M8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6">
        <f>--(0&gt;(TblTimeSheet[[#This Row],[End Date and Time]]-TblTimeSheet[[#This Row],[Start Date and Time]]))</f>
        <v>0</v>
      </c>
    </row>
    <row r="867" spans="1:14" x14ac:dyDescent="0.25">
      <c r="A867" s="1"/>
      <c r="B867" s="2" t="s">
        <v>909</v>
      </c>
      <c r="C867" s="2" t="s">
        <v>118</v>
      </c>
      <c r="D867" s="2" t="s">
        <v>32</v>
      </c>
      <c r="E867" s="7" t="s">
        <v>1224</v>
      </c>
      <c r="F867" s="37">
        <v>42416.375</v>
      </c>
      <c r="G867" s="37">
        <v>42416.541666666664</v>
      </c>
      <c r="H867" s="1" t="s">
        <v>6</v>
      </c>
      <c r="I867" s="1" t="s">
        <v>38</v>
      </c>
      <c r="J867" s="1">
        <v>42417.6796412037</v>
      </c>
      <c r="K867" s="1" t="s">
        <v>118</v>
      </c>
      <c r="L867" s="14">
        <f>24*(TblTimeSheet[[#This Row],[End Date and Time]]-TblTimeSheet[[#This Row],[Start Date and Time]])</f>
        <v>3.9999999999417923</v>
      </c>
      <c r="M8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7">
        <f>--(0&gt;(TblTimeSheet[[#This Row],[End Date and Time]]-TblTimeSheet[[#This Row],[Start Date and Time]]))</f>
        <v>0</v>
      </c>
    </row>
    <row r="868" spans="1:14" x14ac:dyDescent="0.25">
      <c r="A868" s="1"/>
      <c r="B868" s="2" t="s">
        <v>909</v>
      </c>
      <c r="C868" s="2" t="s">
        <v>118</v>
      </c>
      <c r="D868" s="2" t="s">
        <v>32</v>
      </c>
      <c r="E868" s="7" t="s">
        <v>1225</v>
      </c>
      <c r="F868" s="37">
        <v>42417.395833333336</v>
      </c>
      <c r="G868" s="37">
        <v>42417.416666666664</v>
      </c>
      <c r="H868" s="1" t="s">
        <v>6</v>
      </c>
      <c r="I868" s="1" t="s">
        <v>38</v>
      </c>
      <c r="J868" s="1">
        <v>42417.684189814812</v>
      </c>
      <c r="K868" s="1" t="s">
        <v>118</v>
      </c>
      <c r="L868" s="14">
        <f>24*(TblTimeSheet[[#This Row],[End Date and Time]]-TblTimeSheet[[#This Row],[Start Date and Time]])</f>
        <v>0.49999999988358468</v>
      </c>
      <c r="M8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8">
        <f>--(0&gt;(TblTimeSheet[[#This Row],[End Date and Time]]-TblTimeSheet[[#This Row],[Start Date and Time]]))</f>
        <v>0</v>
      </c>
    </row>
    <row r="869" spans="1:14" x14ac:dyDescent="0.25">
      <c r="A869" s="1"/>
      <c r="B869" s="2" t="s">
        <v>909</v>
      </c>
      <c r="C869" s="2" t="s">
        <v>118</v>
      </c>
      <c r="D869" s="2" t="s">
        <v>32</v>
      </c>
      <c r="E869" s="7" t="s">
        <v>1226</v>
      </c>
      <c r="F869" s="37">
        <v>42417.583333333336</v>
      </c>
      <c r="G869" s="37">
        <v>42417.59375</v>
      </c>
      <c r="H869" s="1" t="s">
        <v>6</v>
      </c>
      <c r="I869" s="1" t="s">
        <v>38</v>
      </c>
      <c r="J869" s="1">
        <v>42417.685115740744</v>
      </c>
      <c r="K869" s="1" t="s">
        <v>118</v>
      </c>
      <c r="L869" s="14">
        <f>24*(TblTimeSheet[[#This Row],[End Date and Time]]-TblTimeSheet[[#This Row],[Start Date and Time]])</f>
        <v>0.24999999994179234</v>
      </c>
      <c r="M8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69">
        <f>--(0&gt;(TblTimeSheet[[#This Row],[End Date and Time]]-TblTimeSheet[[#This Row],[Start Date and Time]]))</f>
        <v>0</v>
      </c>
    </row>
    <row r="870" spans="1:14" x14ac:dyDescent="0.25">
      <c r="A870" s="1"/>
      <c r="B870" s="2" t="s">
        <v>909</v>
      </c>
      <c r="C870" s="2" t="s">
        <v>118</v>
      </c>
      <c r="D870" s="2" t="s">
        <v>32</v>
      </c>
      <c r="E870" s="7" t="s">
        <v>1227</v>
      </c>
      <c r="F870" s="37">
        <v>42417.5</v>
      </c>
      <c r="G870" s="37">
        <v>42417.541666666664</v>
      </c>
      <c r="H870" s="1" t="s">
        <v>6</v>
      </c>
      <c r="I870" s="1" t="s">
        <v>38</v>
      </c>
      <c r="J870" s="1">
        <v>42417.686192129629</v>
      </c>
      <c r="K870" s="1" t="s">
        <v>118</v>
      </c>
      <c r="L870" s="14">
        <f>24*(TblTimeSheet[[#This Row],[End Date and Time]]-TblTimeSheet[[#This Row],[Start Date and Time]])</f>
        <v>0.99999999994179234</v>
      </c>
      <c r="M8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0">
        <f>--(0&gt;(TblTimeSheet[[#This Row],[End Date and Time]]-TblTimeSheet[[#This Row],[Start Date and Time]]))</f>
        <v>0</v>
      </c>
    </row>
    <row r="871" spans="1:14" x14ac:dyDescent="0.25">
      <c r="A871" s="1"/>
      <c r="B871" s="2" t="s">
        <v>909</v>
      </c>
      <c r="C871" s="2" t="s">
        <v>43</v>
      </c>
      <c r="D871" s="2" t="s">
        <v>32</v>
      </c>
      <c r="E871" s="7" t="s">
        <v>1228</v>
      </c>
      <c r="F871" s="37">
        <v>42417.583333333336</v>
      </c>
      <c r="G871" s="37">
        <v>42417.59375</v>
      </c>
      <c r="H871" s="1" t="s">
        <v>6</v>
      </c>
      <c r="I871" s="1" t="s">
        <v>38</v>
      </c>
      <c r="J871" s="1">
        <v>42417.687013888892</v>
      </c>
      <c r="K871" s="1" t="s">
        <v>43</v>
      </c>
      <c r="L871" s="14">
        <f>24*(TblTimeSheet[[#This Row],[End Date and Time]]-TblTimeSheet[[#This Row],[Start Date and Time]])</f>
        <v>0.24999999994179234</v>
      </c>
      <c r="M8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1">
        <f>--(0&gt;(TblTimeSheet[[#This Row],[End Date and Time]]-TblTimeSheet[[#This Row],[Start Date and Time]]))</f>
        <v>0</v>
      </c>
    </row>
    <row r="872" spans="1:14" x14ac:dyDescent="0.25">
      <c r="A872" s="1"/>
      <c r="B872" s="2" t="s">
        <v>909</v>
      </c>
      <c r="C872" s="2" t="s">
        <v>43</v>
      </c>
      <c r="D872" s="2" t="s">
        <v>32</v>
      </c>
      <c r="E872" s="7" t="s">
        <v>1229</v>
      </c>
      <c r="F872" s="37">
        <v>42417.5</v>
      </c>
      <c r="G872" s="37">
        <v>42417.541666666664</v>
      </c>
      <c r="H872" s="1" t="s">
        <v>6</v>
      </c>
      <c r="I872" s="1" t="s">
        <v>38</v>
      </c>
      <c r="J872" s="1">
        <v>42417.687615740739</v>
      </c>
      <c r="K872" s="1" t="s">
        <v>43</v>
      </c>
      <c r="L872" s="14">
        <f>24*(TblTimeSheet[[#This Row],[End Date and Time]]-TblTimeSheet[[#This Row],[Start Date and Time]])</f>
        <v>0.99999999994179234</v>
      </c>
      <c r="M8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2">
        <f>--(0&gt;(TblTimeSheet[[#This Row],[End Date and Time]]-TblTimeSheet[[#This Row],[Start Date and Time]]))</f>
        <v>0</v>
      </c>
    </row>
    <row r="873" spans="1:14" x14ac:dyDescent="0.25">
      <c r="A873" s="1"/>
      <c r="B873" s="2" t="s">
        <v>909</v>
      </c>
      <c r="C873" s="2" t="s">
        <v>78</v>
      </c>
      <c r="D873" s="2" t="s">
        <v>32</v>
      </c>
      <c r="E873" s="7" t="s">
        <v>1230</v>
      </c>
      <c r="F873" s="37">
        <v>42418.583333333336</v>
      </c>
      <c r="G873" s="37">
        <v>42418.625</v>
      </c>
      <c r="H873" s="1" t="s">
        <v>6</v>
      </c>
      <c r="I873" s="1" t="s">
        <v>38</v>
      </c>
      <c r="J873" s="1">
        <v>42418.626076388886</v>
      </c>
      <c r="K873" s="1" t="s">
        <v>78</v>
      </c>
      <c r="L873" s="14">
        <f>24*(TblTimeSheet[[#This Row],[End Date and Time]]-TblTimeSheet[[#This Row],[Start Date and Time]])</f>
        <v>0.99999999994179234</v>
      </c>
      <c r="M8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3">
        <f>--(0&gt;(TblTimeSheet[[#This Row],[End Date and Time]]-TblTimeSheet[[#This Row],[Start Date and Time]]))</f>
        <v>0</v>
      </c>
    </row>
    <row r="874" spans="1:14" x14ac:dyDescent="0.25">
      <c r="A874" s="1"/>
      <c r="B874" s="2" t="s">
        <v>909</v>
      </c>
      <c r="C874" s="2" t="s">
        <v>41</v>
      </c>
      <c r="D874" s="2" t="s">
        <v>32</v>
      </c>
      <c r="E874" s="7" t="s">
        <v>1231</v>
      </c>
      <c r="F874" s="37">
        <v>42418.583333333336</v>
      </c>
      <c r="G874" s="37">
        <v>42418.625</v>
      </c>
      <c r="H874" s="1" t="s">
        <v>6</v>
      </c>
      <c r="I874" s="1" t="s">
        <v>38</v>
      </c>
      <c r="J874" s="1">
        <v>42418.659421296295</v>
      </c>
      <c r="K874" s="1" t="s">
        <v>41</v>
      </c>
      <c r="L874" s="14">
        <f>24*(TblTimeSheet[[#This Row],[End Date and Time]]-TblTimeSheet[[#This Row],[Start Date and Time]])</f>
        <v>0.99999999994179234</v>
      </c>
      <c r="M8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4">
        <f>--(0&gt;(TblTimeSheet[[#This Row],[End Date and Time]]-TblTimeSheet[[#This Row],[Start Date and Time]]))</f>
        <v>0</v>
      </c>
    </row>
    <row r="875" spans="1:14" x14ac:dyDescent="0.25">
      <c r="A875" s="1"/>
      <c r="B875" s="2" t="s">
        <v>909</v>
      </c>
      <c r="C875" s="2" t="s">
        <v>41</v>
      </c>
      <c r="D875" s="2" t="s">
        <v>32</v>
      </c>
      <c r="E875" s="7" t="s">
        <v>1232</v>
      </c>
      <c r="F875" s="37">
        <v>42418.635416666664</v>
      </c>
      <c r="G875" s="37">
        <v>42418.649305555555</v>
      </c>
      <c r="H875" s="1" t="s">
        <v>6</v>
      </c>
      <c r="I875" s="1" t="s">
        <v>38</v>
      </c>
      <c r="J875" s="1">
        <v>42418.660578703704</v>
      </c>
      <c r="K875" s="1" t="s">
        <v>41</v>
      </c>
      <c r="L875" s="14">
        <f>24*(TblTimeSheet[[#This Row],[End Date and Time]]-TblTimeSheet[[#This Row],[Start Date and Time]])</f>
        <v>0.33333333337213844</v>
      </c>
      <c r="M8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5">
        <f>--(0&gt;(TblTimeSheet[[#This Row],[End Date and Time]]-TblTimeSheet[[#This Row],[Start Date and Time]]))</f>
        <v>0</v>
      </c>
    </row>
    <row r="876" spans="1:14" x14ac:dyDescent="0.25">
      <c r="A876" s="1"/>
      <c r="B876" s="2" t="s">
        <v>909</v>
      </c>
      <c r="C876" s="2" t="s">
        <v>176</v>
      </c>
      <c r="D876" s="2" t="s">
        <v>32</v>
      </c>
      <c r="E876" s="7" t="s">
        <v>1233</v>
      </c>
      <c r="F876" s="37">
        <v>42417.458333333336</v>
      </c>
      <c r="G876" s="37">
        <v>42417.541666666664</v>
      </c>
      <c r="H876" s="1" t="s">
        <v>6</v>
      </c>
      <c r="I876" s="1" t="s">
        <v>38</v>
      </c>
      <c r="J876" s="1">
        <v>42418.662129629629</v>
      </c>
      <c r="K876" s="1" t="s">
        <v>176</v>
      </c>
      <c r="L876" s="14">
        <f>24*(TblTimeSheet[[#This Row],[End Date and Time]]-TblTimeSheet[[#This Row],[Start Date and Time]])</f>
        <v>1.9999999998835847</v>
      </c>
      <c r="M8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6">
        <f>--(0&gt;(TblTimeSheet[[#This Row],[End Date and Time]]-TblTimeSheet[[#This Row],[Start Date and Time]]))</f>
        <v>0</v>
      </c>
    </row>
    <row r="877" spans="1:14" x14ac:dyDescent="0.25">
      <c r="A877" s="1"/>
      <c r="B877" s="2" t="s">
        <v>697</v>
      </c>
      <c r="C877" s="2" t="s">
        <v>116</v>
      </c>
      <c r="D877" s="2" t="s">
        <v>33</v>
      </c>
      <c r="E877" s="7" t="s">
        <v>1234</v>
      </c>
      <c r="F877" s="37">
        <v>42418.375</v>
      </c>
      <c r="G877" s="37">
        <v>42418.541666666664</v>
      </c>
      <c r="H877" s="1" t="s">
        <v>6</v>
      </c>
      <c r="I877" s="1" t="s">
        <v>38</v>
      </c>
      <c r="J877" s="1">
        <v>42418.718124999999</v>
      </c>
      <c r="K877" s="1" t="s">
        <v>1026</v>
      </c>
      <c r="L877" s="14">
        <f>24*(TblTimeSheet[[#This Row],[End Date and Time]]-TblTimeSheet[[#This Row],[Start Date and Time]])</f>
        <v>3.9999999999417923</v>
      </c>
      <c r="M8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7">
        <f>--(0&gt;(TblTimeSheet[[#This Row],[End Date and Time]]-TblTimeSheet[[#This Row],[Start Date and Time]]))</f>
        <v>0</v>
      </c>
    </row>
    <row r="878" spans="1:14" ht="30" x14ac:dyDescent="0.25">
      <c r="A878" s="1"/>
      <c r="B878" s="2" t="s">
        <v>697</v>
      </c>
      <c r="C878" s="2" t="s">
        <v>116</v>
      </c>
      <c r="D878" s="2" t="s">
        <v>33</v>
      </c>
      <c r="E878" s="7" t="s">
        <v>1808</v>
      </c>
      <c r="F878" s="37">
        <v>42418.5625</v>
      </c>
      <c r="G878" s="37">
        <v>42418.729166666664</v>
      </c>
      <c r="H878" s="1" t="s">
        <v>6</v>
      </c>
      <c r="I878" s="1" t="s">
        <v>38</v>
      </c>
      <c r="J878" s="1">
        <v>42418.732083333336</v>
      </c>
      <c r="K878" s="1" t="s">
        <v>1026</v>
      </c>
      <c r="L878" s="14">
        <f>24*(TblTimeSheet[[#This Row],[End Date and Time]]-TblTimeSheet[[#This Row],[Start Date and Time]])</f>
        <v>3.9999999999417923</v>
      </c>
      <c r="M8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8">
        <f>--(0&gt;(TblTimeSheet[[#This Row],[End Date and Time]]-TblTimeSheet[[#This Row],[Start Date and Time]]))</f>
        <v>0</v>
      </c>
    </row>
    <row r="879" spans="1:14" x14ac:dyDescent="0.25">
      <c r="A879" s="1"/>
      <c r="B879" s="2" t="s">
        <v>909</v>
      </c>
      <c r="C879" s="2" t="s">
        <v>41</v>
      </c>
      <c r="D879" s="2" t="s">
        <v>32</v>
      </c>
      <c r="E879" s="7" t="s">
        <v>1235</v>
      </c>
      <c r="F879" s="37">
        <v>42419.458333333336</v>
      </c>
      <c r="G879" s="37">
        <v>42419.5</v>
      </c>
      <c r="H879" s="1" t="s">
        <v>6</v>
      </c>
      <c r="I879" s="1" t="s">
        <v>38</v>
      </c>
      <c r="J879" s="1">
        <v>42419.544074074074</v>
      </c>
      <c r="K879" s="1" t="s">
        <v>41</v>
      </c>
      <c r="L879" s="14">
        <f>24*(TblTimeSheet[[#This Row],[End Date and Time]]-TblTimeSheet[[#This Row],[Start Date and Time]])</f>
        <v>0.99999999994179234</v>
      </c>
      <c r="M8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79">
        <f>--(0&gt;(TblTimeSheet[[#This Row],[End Date and Time]]-TblTimeSheet[[#This Row],[Start Date and Time]]))</f>
        <v>0</v>
      </c>
    </row>
    <row r="880" spans="1:14" x14ac:dyDescent="0.25">
      <c r="A880" s="1"/>
      <c r="B880" s="2" t="s">
        <v>909</v>
      </c>
      <c r="C880" s="2" t="s">
        <v>41</v>
      </c>
      <c r="D880" s="2" t="s">
        <v>32</v>
      </c>
      <c r="E880" s="7" t="s">
        <v>1236</v>
      </c>
      <c r="F880" s="37">
        <v>42419.583333333336</v>
      </c>
      <c r="G880" s="37">
        <v>42419.625</v>
      </c>
      <c r="H880" s="1" t="s">
        <v>6</v>
      </c>
      <c r="I880" s="1" t="s">
        <v>38</v>
      </c>
      <c r="J880" s="1">
        <v>42419.701874999999</v>
      </c>
      <c r="K880" s="1" t="s">
        <v>41</v>
      </c>
      <c r="L880" s="14">
        <f>24*(TblTimeSheet[[#This Row],[End Date and Time]]-TblTimeSheet[[#This Row],[Start Date and Time]])</f>
        <v>0.99999999994179234</v>
      </c>
      <c r="M8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0">
        <f>--(0&gt;(TblTimeSheet[[#This Row],[End Date and Time]]-TblTimeSheet[[#This Row],[Start Date and Time]]))</f>
        <v>0</v>
      </c>
    </row>
    <row r="881" spans="1:14" ht="30" x14ac:dyDescent="0.25">
      <c r="A881" s="1"/>
      <c r="B881" s="2" t="s">
        <v>697</v>
      </c>
      <c r="C881" s="2" t="s">
        <v>116</v>
      </c>
      <c r="D881" s="2" t="s">
        <v>33</v>
      </c>
      <c r="E881" s="7" t="s">
        <v>1809</v>
      </c>
      <c r="F881" s="37">
        <v>42419.375</v>
      </c>
      <c r="G881" s="37">
        <v>42419.541666666664</v>
      </c>
      <c r="H881" s="1" t="s">
        <v>6</v>
      </c>
      <c r="I881" s="1" t="s">
        <v>38</v>
      </c>
      <c r="J881" s="1">
        <v>42419.705497685187</v>
      </c>
      <c r="K881" s="1" t="s">
        <v>1026</v>
      </c>
      <c r="L881" s="14">
        <f>24*(TblTimeSheet[[#This Row],[End Date and Time]]-TblTimeSheet[[#This Row],[Start Date and Time]])</f>
        <v>3.9999999999417923</v>
      </c>
      <c r="M8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1">
        <f>--(0&gt;(TblTimeSheet[[#This Row],[End Date and Time]]-TblTimeSheet[[#This Row],[Start Date and Time]]))</f>
        <v>0</v>
      </c>
    </row>
    <row r="882" spans="1:14" x14ac:dyDescent="0.25">
      <c r="A882" s="1"/>
      <c r="B882" s="2" t="s">
        <v>909</v>
      </c>
      <c r="C882" s="2" t="s">
        <v>41</v>
      </c>
      <c r="D882" s="2" t="s">
        <v>32</v>
      </c>
      <c r="E882" s="7" t="s">
        <v>1237</v>
      </c>
      <c r="F882" s="37">
        <v>42419.708333333336</v>
      </c>
      <c r="G882" s="37">
        <v>42419.722222222219</v>
      </c>
      <c r="H882" s="1" t="s">
        <v>6</v>
      </c>
      <c r="I882" s="1" t="s">
        <v>38</v>
      </c>
      <c r="J882" s="1">
        <v>42419.738275462965</v>
      </c>
      <c r="K882" s="1" t="s">
        <v>41</v>
      </c>
      <c r="L882" s="14">
        <f>24*(TblTimeSheet[[#This Row],[End Date and Time]]-TblTimeSheet[[#This Row],[Start Date and Time]])</f>
        <v>0.33333333319751546</v>
      </c>
      <c r="M8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2">
        <f>--(0&gt;(TblTimeSheet[[#This Row],[End Date and Time]]-TblTimeSheet[[#This Row],[Start Date and Time]]))</f>
        <v>0</v>
      </c>
    </row>
    <row r="883" spans="1:14" x14ac:dyDescent="0.25">
      <c r="A883" s="1"/>
      <c r="B883" s="2" t="s">
        <v>911</v>
      </c>
      <c r="C883" s="2" t="s">
        <v>116</v>
      </c>
      <c r="D883" s="2" t="s">
        <v>19</v>
      </c>
      <c r="E883" s="7" t="s">
        <v>1810</v>
      </c>
      <c r="F883" s="37">
        <v>42420.395833333336</v>
      </c>
      <c r="G883" s="37">
        <v>42420.4375</v>
      </c>
      <c r="H883" s="1" t="s">
        <v>6</v>
      </c>
      <c r="I883" s="1" t="s">
        <v>38</v>
      </c>
      <c r="J883" s="1">
        <v>42420.44</v>
      </c>
      <c r="K883" s="1" t="s">
        <v>701</v>
      </c>
      <c r="L883" s="14">
        <f>24*(TblTimeSheet[[#This Row],[End Date and Time]]-TblTimeSheet[[#This Row],[Start Date and Time]])</f>
        <v>0.99999999994179234</v>
      </c>
      <c r="M8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83">
        <f>--(0&gt;(TblTimeSheet[[#This Row],[End Date and Time]]-TblTimeSheet[[#This Row],[Start Date and Time]]))</f>
        <v>0</v>
      </c>
    </row>
    <row r="884" spans="1:14" x14ac:dyDescent="0.25">
      <c r="A884" s="1"/>
      <c r="B884" s="2" t="s">
        <v>911</v>
      </c>
      <c r="C884" s="2" t="s">
        <v>116</v>
      </c>
      <c r="D884" s="2" t="s">
        <v>19</v>
      </c>
      <c r="E884" s="7" t="s">
        <v>1811</v>
      </c>
      <c r="F884" s="37">
        <v>42419.666666666664</v>
      </c>
      <c r="G884" s="37">
        <v>42419.729166666664</v>
      </c>
      <c r="H884" s="1" t="s">
        <v>6</v>
      </c>
      <c r="I884" s="1" t="s">
        <v>38</v>
      </c>
      <c r="J884" s="1">
        <v>42420.440891203703</v>
      </c>
      <c r="K884" s="1" t="s">
        <v>701</v>
      </c>
      <c r="L884" s="14">
        <f>24*(TblTimeSheet[[#This Row],[End Date and Time]]-TblTimeSheet[[#This Row],[Start Date and Time]])</f>
        <v>1.5</v>
      </c>
      <c r="M8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84">
        <f>--(0&gt;(TblTimeSheet[[#This Row],[End Date and Time]]-TblTimeSheet[[#This Row],[Start Date and Time]]))</f>
        <v>0</v>
      </c>
    </row>
    <row r="885" spans="1:14" x14ac:dyDescent="0.25">
      <c r="A885" s="1"/>
      <c r="B885" s="2" t="s">
        <v>911</v>
      </c>
      <c r="C885" s="2" t="s">
        <v>1117</v>
      </c>
      <c r="D885" s="2" t="s">
        <v>19</v>
      </c>
      <c r="E885" s="7" t="s">
        <v>1238</v>
      </c>
      <c r="F885" s="37">
        <v>42419.666666666664</v>
      </c>
      <c r="G885" s="37">
        <v>42419.729166666664</v>
      </c>
      <c r="H885" s="1" t="s">
        <v>6</v>
      </c>
      <c r="I885" s="1" t="s">
        <v>38</v>
      </c>
      <c r="J885" s="1">
        <v>42420.498831018522</v>
      </c>
      <c r="K885" s="1" t="s">
        <v>2865</v>
      </c>
      <c r="L885" s="14">
        <f>24*(TblTimeSheet[[#This Row],[End Date and Time]]-TblTimeSheet[[#This Row],[Start Date and Time]])</f>
        <v>1.5</v>
      </c>
      <c r="M8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5">
        <f>--(0&gt;(TblTimeSheet[[#This Row],[End Date and Time]]-TblTimeSheet[[#This Row],[Start Date and Time]]))</f>
        <v>0</v>
      </c>
    </row>
    <row r="886" spans="1:14" x14ac:dyDescent="0.25">
      <c r="A886" s="1"/>
      <c r="B886" s="2" t="s">
        <v>911</v>
      </c>
      <c r="C886" s="2" t="s">
        <v>1117</v>
      </c>
      <c r="D886" s="2" t="s">
        <v>19</v>
      </c>
      <c r="E886" s="7" t="s">
        <v>1239</v>
      </c>
      <c r="F886" s="37">
        <v>42420.395833333336</v>
      </c>
      <c r="G886" s="37">
        <v>42420.4375</v>
      </c>
      <c r="H886" s="1" t="s">
        <v>6</v>
      </c>
      <c r="I886" s="1" t="s">
        <v>38</v>
      </c>
      <c r="J886" s="1">
        <v>42420.499768518515</v>
      </c>
      <c r="K886" s="1" t="s">
        <v>2865</v>
      </c>
      <c r="L886" s="14">
        <f>24*(TblTimeSheet[[#This Row],[End Date and Time]]-TblTimeSheet[[#This Row],[Start Date and Time]])</f>
        <v>0.99999999994179234</v>
      </c>
      <c r="M8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6">
        <f>--(0&gt;(TblTimeSheet[[#This Row],[End Date and Time]]-TblTimeSheet[[#This Row],[Start Date and Time]]))</f>
        <v>0</v>
      </c>
    </row>
    <row r="887" spans="1:14" x14ac:dyDescent="0.25">
      <c r="A887" s="1"/>
      <c r="B887" s="2" t="s">
        <v>911</v>
      </c>
      <c r="C887" s="2" t="s">
        <v>41</v>
      </c>
      <c r="D887" s="2" t="s">
        <v>19</v>
      </c>
      <c r="E887" s="7" t="s">
        <v>1240</v>
      </c>
      <c r="F887" s="37">
        <v>42420.583333333336</v>
      </c>
      <c r="G887" s="37">
        <v>42420.604166666664</v>
      </c>
      <c r="H887" s="1" t="s">
        <v>6</v>
      </c>
      <c r="I887" s="1" t="s">
        <v>38</v>
      </c>
      <c r="J887" s="1">
        <v>42420.612557870372</v>
      </c>
      <c r="K887" s="1" t="s">
        <v>41</v>
      </c>
      <c r="L887" s="14">
        <f>24*(TblTimeSheet[[#This Row],[End Date and Time]]-TblTimeSheet[[#This Row],[Start Date and Time]])</f>
        <v>0.49999999988358468</v>
      </c>
      <c r="M8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7">
        <f>--(0&gt;(TblTimeSheet[[#This Row],[End Date and Time]]-TblTimeSheet[[#This Row],[Start Date and Time]]))</f>
        <v>0</v>
      </c>
    </row>
    <row r="888" spans="1:14" x14ac:dyDescent="0.25">
      <c r="A888" s="1"/>
      <c r="B888" s="2" t="s">
        <v>911</v>
      </c>
      <c r="C888" s="2" t="s">
        <v>118</v>
      </c>
      <c r="D888" s="2" t="s">
        <v>19</v>
      </c>
      <c r="E888" s="7" t="s">
        <v>928</v>
      </c>
      <c r="F888" s="37">
        <v>42419.666666666664</v>
      </c>
      <c r="G888" s="37">
        <v>42419.729166666664</v>
      </c>
      <c r="H888" s="1" t="s">
        <v>6</v>
      </c>
      <c r="I888" s="1" t="s">
        <v>38</v>
      </c>
      <c r="J888" s="1">
        <v>42420.618587962963</v>
      </c>
      <c r="K888" s="1" t="s">
        <v>118</v>
      </c>
      <c r="L888" s="14">
        <f>24*(TblTimeSheet[[#This Row],[End Date and Time]]-TblTimeSheet[[#This Row],[Start Date and Time]])</f>
        <v>1.5</v>
      </c>
      <c r="M8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8">
        <f>--(0&gt;(TblTimeSheet[[#This Row],[End Date and Time]]-TblTimeSheet[[#This Row],[Start Date and Time]]))</f>
        <v>0</v>
      </c>
    </row>
    <row r="889" spans="1:14" x14ac:dyDescent="0.25">
      <c r="A889" s="1"/>
      <c r="B889" s="2" t="s">
        <v>911</v>
      </c>
      <c r="C889" s="2" t="s">
        <v>118</v>
      </c>
      <c r="D889" s="2" t="s">
        <v>19</v>
      </c>
      <c r="E889" s="7" t="s">
        <v>1241</v>
      </c>
      <c r="F889" s="37">
        <v>42420.395833333336</v>
      </c>
      <c r="G889" s="37">
        <v>42420.4375</v>
      </c>
      <c r="H889" s="1" t="s">
        <v>6</v>
      </c>
      <c r="I889" s="1" t="s">
        <v>38</v>
      </c>
      <c r="J889" s="1">
        <v>42420.619212962964</v>
      </c>
      <c r="K889" s="1" t="s">
        <v>118</v>
      </c>
      <c r="L889" s="14">
        <f>24*(TblTimeSheet[[#This Row],[End Date and Time]]-TblTimeSheet[[#This Row],[Start Date and Time]])</f>
        <v>0.99999999994179234</v>
      </c>
      <c r="M8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89">
        <f>--(0&gt;(TblTimeSheet[[#This Row],[End Date and Time]]-TblTimeSheet[[#This Row],[Start Date and Time]]))</f>
        <v>0</v>
      </c>
    </row>
    <row r="890" spans="1:14" x14ac:dyDescent="0.25">
      <c r="A890" s="1"/>
      <c r="B890" s="2" t="s">
        <v>909</v>
      </c>
      <c r="C890" s="2" t="s">
        <v>116</v>
      </c>
      <c r="D890" s="2" t="s">
        <v>32</v>
      </c>
      <c r="E890" s="7" t="s">
        <v>449</v>
      </c>
      <c r="F890" s="37">
        <v>42420.614583333336</v>
      </c>
      <c r="G890" s="37">
        <v>42420.625</v>
      </c>
      <c r="H890" s="1" t="s">
        <v>6</v>
      </c>
      <c r="I890" s="1" t="s">
        <v>38</v>
      </c>
      <c r="J890" s="1">
        <v>42420.629467592589</v>
      </c>
      <c r="K890" s="1" t="s">
        <v>701</v>
      </c>
      <c r="L890" s="14">
        <f>24*(TblTimeSheet[[#This Row],[End Date and Time]]-TblTimeSheet[[#This Row],[Start Date and Time]])</f>
        <v>0.24999999994179234</v>
      </c>
      <c r="M8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90">
        <f>--(0&gt;(TblTimeSheet[[#This Row],[End Date and Time]]-TblTimeSheet[[#This Row],[Start Date and Time]]))</f>
        <v>0</v>
      </c>
    </row>
    <row r="891" spans="1:14" x14ac:dyDescent="0.25">
      <c r="A891" s="1"/>
      <c r="B891" s="2" t="s">
        <v>909</v>
      </c>
      <c r="C891" s="2" t="s">
        <v>41</v>
      </c>
      <c r="D891" s="2" t="s">
        <v>32</v>
      </c>
      <c r="E891" s="7" t="s">
        <v>1242</v>
      </c>
      <c r="F891" s="37">
        <v>42420.614583333336</v>
      </c>
      <c r="G891" s="37">
        <v>42420.625</v>
      </c>
      <c r="H891" s="1" t="s">
        <v>6</v>
      </c>
      <c r="I891" s="1" t="s">
        <v>38</v>
      </c>
      <c r="J891" s="1">
        <v>42420.631203703706</v>
      </c>
      <c r="K891" s="1" t="s">
        <v>41</v>
      </c>
      <c r="L891" s="14">
        <f>24*(TblTimeSheet[[#This Row],[End Date and Time]]-TblTimeSheet[[#This Row],[Start Date and Time]])</f>
        <v>0.24999999994179234</v>
      </c>
      <c r="M8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1">
        <f>--(0&gt;(TblTimeSheet[[#This Row],[End Date and Time]]-TblTimeSheet[[#This Row],[Start Date and Time]]))</f>
        <v>0</v>
      </c>
    </row>
    <row r="892" spans="1:14" x14ac:dyDescent="0.25">
      <c r="A892" s="1"/>
      <c r="B892" s="2" t="s">
        <v>911</v>
      </c>
      <c r="C892" s="2" t="s">
        <v>116</v>
      </c>
      <c r="D892" s="2" t="s">
        <v>19</v>
      </c>
      <c r="E892" s="7" t="s">
        <v>1243</v>
      </c>
      <c r="F892" s="37">
        <v>42420.583333333336</v>
      </c>
      <c r="G892" s="37">
        <v>42420.604166666664</v>
      </c>
      <c r="H892" s="1" t="s">
        <v>6</v>
      </c>
      <c r="I892" s="1" t="s">
        <v>38</v>
      </c>
      <c r="J892" s="1">
        <v>42420.632245370369</v>
      </c>
      <c r="K892" s="1" t="s">
        <v>701</v>
      </c>
      <c r="L892" s="14">
        <f>24*(TblTimeSheet[[#This Row],[End Date and Time]]-TblTimeSheet[[#This Row],[Start Date and Time]])</f>
        <v>0.49999999988358468</v>
      </c>
      <c r="M8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92">
        <f>--(0&gt;(TblTimeSheet[[#This Row],[End Date and Time]]-TblTimeSheet[[#This Row],[Start Date and Time]]))</f>
        <v>0</v>
      </c>
    </row>
    <row r="893" spans="1:14" x14ac:dyDescent="0.25">
      <c r="A893" s="1"/>
      <c r="B893" s="2" t="s">
        <v>909</v>
      </c>
      <c r="C893" s="2" t="s">
        <v>176</v>
      </c>
      <c r="D893" s="2" t="s">
        <v>32</v>
      </c>
      <c r="E893" s="7" t="s">
        <v>1812</v>
      </c>
      <c r="F893" s="37">
        <v>42420.614583333336</v>
      </c>
      <c r="G893" s="37">
        <v>42420.625</v>
      </c>
      <c r="H893" s="1" t="s">
        <v>6</v>
      </c>
      <c r="I893" s="1" t="s">
        <v>38</v>
      </c>
      <c r="J893" s="1">
        <v>42420.634120370371</v>
      </c>
      <c r="K893" s="1" t="s">
        <v>176</v>
      </c>
      <c r="L893" s="14">
        <f>24*(TblTimeSheet[[#This Row],[End Date and Time]]-TblTimeSheet[[#This Row],[Start Date and Time]])</f>
        <v>0.24999999994179234</v>
      </c>
      <c r="M8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3">
        <f>--(0&gt;(TblTimeSheet[[#This Row],[End Date and Time]]-TblTimeSheet[[#This Row],[Start Date and Time]]))</f>
        <v>0</v>
      </c>
    </row>
    <row r="894" spans="1:14" x14ac:dyDescent="0.25">
      <c r="A894" s="1"/>
      <c r="B894" s="2" t="s">
        <v>909</v>
      </c>
      <c r="C894" s="2" t="s">
        <v>41</v>
      </c>
      <c r="D894" s="2" t="s">
        <v>32</v>
      </c>
      <c r="E894" s="7" t="s">
        <v>1244</v>
      </c>
      <c r="F894" s="37">
        <v>42415.375</v>
      </c>
      <c r="G894" s="37">
        <v>42415.395833333336</v>
      </c>
      <c r="H894" s="1" t="s">
        <v>6</v>
      </c>
      <c r="I894" s="1" t="s">
        <v>38</v>
      </c>
      <c r="J894" s="1">
        <v>42420.653020833335</v>
      </c>
      <c r="K894" s="1" t="s">
        <v>41</v>
      </c>
      <c r="L894" s="14">
        <f>24*(TblTimeSheet[[#This Row],[End Date and Time]]-TblTimeSheet[[#This Row],[Start Date and Time]])</f>
        <v>0.50000000005820766</v>
      </c>
      <c r="M8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4">
        <f>--(0&gt;(TblTimeSheet[[#This Row],[End Date and Time]]-TblTimeSheet[[#This Row],[Start Date and Time]]))</f>
        <v>0</v>
      </c>
    </row>
    <row r="895" spans="1:14" x14ac:dyDescent="0.25">
      <c r="A895" s="1"/>
      <c r="B895" s="2" t="s">
        <v>909</v>
      </c>
      <c r="C895" s="2" t="s">
        <v>176</v>
      </c>
      <c r="D895" s="2" t="s">
        <v>32</v>
      </c>
      <c r="E895" s="7" t="s">
        <v>1245</v>
      </c>
      <c r="F895" s="37">
        <v>42415.375</v>
      </c>
      <c r="G895" s="37">
        <v>42415.395833333336</v>
      </c>
      <c r="H895" s="1" t="s">
        <v>6</v>
      </c>
      <c r="I895" s="1" t="s">
        <v>38</v>
      </c>
      <c r="J895" s="1">
        <v>42420.653796296298</v>
      </c>
      <c r="K895" s="1" t="s">
        <v>176</v>
      </c>
      <c r="L895" s="14">
        <f>24*(TblTimeSheet[[#This Row],[End Date and Time]]-TblTimeSheet[[#This Row],[Start Date and Time]])</f>
        <v>0.50000000005820766</v>
      </c>
      <c r="M8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5">
        <f>--(0&gt;(TblTimeSheet[[#This Row],[End Date and Time]]-TblTimeSheet[[#This Row],[Start Date and Time]]))</f>
        <v>0</v>
      </c>
    </row>
    <row r="896" spans="1:14" x14ac:dyDescent="0.25">
      <c r="A896" s="1"/>
      <c r="B896" s="2" t="s">
        <v>909</v>
      </c>
      <c r="C896" s="2" t="s">
        <v>1061</v>
      </c>
      <c r="D896" s="2" t="s">
        <v>32</v>
      </c>
      <c r="E896" s="7" t="s">
        <v>1813</v>
      </c>
      <c r="F896" s="37">
        <v>42420.614583333336</v>
      </c>
      <c r="G896" s="37">
        <v>42420.625</v>
      </c>
      <c r="H896" s="1" t="s">
        <v>6</v>
      </c>
      <c r="I896" s="1" t="s">
        <v>38</v>
      </c>
      <c r="J896" s="1">
        <v>42420.666828703703</v>
      </c>
      <c r="K896" s="1" t="s">
        <v>1061</v>
      </c>
      <c r="L896" s="14">
        <f>24*(TblTimeSheet[[#This Row],[End Date and Time]]-TblTimeSheet[[#This Row],[Start Date and Time]])</f>
        <v>0.24999999994179234</v>
      </c>
      <c r="M8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6">
        <f>--(0&gt;(TblTimeSheet[[#This Row],[End Date and Time]]-TblTimeSheet[[#This Row],[Start Date and Time]]))</f>
        <v>0</v>
      </c>
    </row>
    <row r="897" spans="1:14" x14ac:dyDescent="0.25">
      <c r="A897" s="1"/>
      <c r="B897" s="2" t="s">
        <v>909</v>
      </c>
      <c r="C897" s="2" t="s">
        <v>118</v>
      </c>
      <c r="D897" s="2" t="s">
        <v>32</v>
      </c>
      <c r="E897" s="7" t="s">
        <v>1246</v>
      </c>
      <c r="F897" s="37">
        <v>42420.614583333336</v>
      </c>
      <c r="G897" s="37">
        <v>42420.625</v>
      </c>
      <c r="H897" s="1" t="s">
        <v>6</v>
      </c>
      <c r="I897" s="1" t="s">
        <v>38</v>
      </c>
      <c r="J897" s="1">
        <v>42420.724317129629</v>
      </c>
      <c r="K897" s="1" t="s">
        <v>118</v>
      </c>
      <c r="L897" s="14">
        <f>24*(TblTimeSheet[[#This Row],[End Date and Time]]-TblTimeSheet[[#This Row],[Start Date and Time]])</f>
        <v>0.24999999994179234</v>
      </c>
      <c r="M8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7">
        <f>--(0&gt;(TblTimeSheet[[#This Row],[End Date and Time]]-TblTimeSheet[[#This Row],[Start Date and Time]]))</f>
        <v>0</v>
      </c>
    </row>
    <row r="898" spans="1:14" ht="30" x14ac:dyDescent="0.25">
      <c r="A898" s="1"/>
      <c r="B898" s="2" t="s">
        <v>697</v>
      </c>
      <c r="C898" s="2" t="s">
        <v>116</v>
      </c>
      <c r="D898" s="2" t="s">
        <v>33</v>
      </c>
      <c r="E898" s="7" t="s">
        <v>1247</v>
      </c>
      <c r="F898" s="37">
        <v>42419.5625</v>
      </c>
      <c r="G898" s="37">
        <v>42419.729166666664</v>
      </c>
      <c r="H898" s="1" t="s">
        <v>6</v>
      </c>
      <c r="I898" s="1" t="s">
        <v>38</v>
      </c>
      <c r="J898" s="1">
        <v>42420.728761574072</v>
      </c>
      <c r="K898" s="1" t="s">
        <v>1026</v>
      </c>
      <c r="L898" s="14">
        <f>24*(TblTimeSheet[[#This Row],[End Date and Time]]-TblTimeSheet[[#This Row],[Start Date and Time]])</f>
        <v>3.9999999999417923</v>
      </c>
      <c r="M8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898">
        <f>--(0&gt;(TblTimeSheet[[#This Row],[End Date and Time]]-TblTimeSheet[[#This Row],[Start Date and Time]]))</f>
        <v>0</v>
      </c>
    </row>
    <row r="899" spans="1:14" ht="60" x14ac:dyDescent="0.25">
      <c r="A899" s="1"/>
      <c r="B899" s="2" t="s">
        <v>909</v>
      </c>
      <c r="C899" s="2" t="s">
        <v>1105</v>
      </c>
      <c r="D899" s="2" t="s">
        <v>32</v>
      </c>
      <c r="E899" s="7" t="s">
        <v>1814</v>
      </c>
      <c r="F899" s="37">
        <v>42420.614583333336</v>
      </c>
      <c r="G899" s="37">
        <v>42420.625</v>
      </c>
      <c r="H899" s="1" t="s">
        <v>6</v>
      </c>
      <c r="I899" s="1" t="s">
        <v>38</v>
      </c>
      <c r="J899" s="1">
        <v>42420.731226851851</v>
      </c>
      <c r="K899" s="1" t="s">
        <v>2864</v>
      </c>
      <c r="L899" s="14">
        <f>24*(TblTimeSheet[[#This Row],[End Date and Time]]-TblTimeSheet[[#This Row],[Start Date and Time]])</f>
        <v>0.24999999994179234</v>
      </c>
      <c r="M8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899">
        <f>--(0&gt;(TblTimeSheet[[#This Row],[End Date and Time]]-TblTimeSheet[[#This Row],[Start Date and Time]]))</f>
        <v>0</v>
      </c>
    </row>
    <row r="900" spans="1:14" ht="30" x14ac:dyDescent="0.25">
      <c r="A900" s="1"/>
      <c r="B900" s="2" t="s">
        <v>697</v>
      </c>
      <c r="C900" s="2" t="s">
        <v>116</v>
      </c>
      <c r="D900" s="2" t="s">
        <v>33</v>
      </c>
      <c r="E900" s="7" t="s">
        <v>1248</v>
      </c>
      <c r="F900" s="37">
        <v>42420.375</v>
      </c>
      <c r="G900" s="37">
        <v>42420.541666666664</v>
      </c>
      <c r="H900" s="1" t="s">
        <v>6</v>
      </c>
      <c r="I900" s="1" t="s">
        <v>38</v>
      </c>
      <c r="J900" s="1">
        <v>42420.731238425928</v>
      </c>
      <c r="K900" s="1" t="s">
        <v>1026</v>
      </c>
      <c r="L900" s="14">
        <f>24*(TblTimeSheet[[#This Row],[End Date and Time]]-TblTimeSheet[[#This Row],[Start Date and Time]])</f>
        <v>3.9999999999417923</v>
      </c>
      <c r="M9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0">
        <f>--(0&gt;(TblTimeSheet[[#This Row],[End Date and Time]]-TblTimeSheet[[#This Row],[Start Date and Time]]))</f>
        <v>0</v>
      </c>
    </row>
    <row r="901" spans="1:14" ht="30" x14ac:dyDescent="0.25">
      <c r="A901" s="1"/>
      <c r="B901" s="2" t="s">
        <v>697</v>
      </c>
      <c r="C901" s="2" t="s">
        <v>116</v>
      </c>
      <c r="D901" s="2" t="s">
        <v>33</v>
      </c>
      <c r="E901" s="7" t="s">
        <v>1249</v>
      </c>
      <c r="F901" s="37">
        <v>42420.5625</v>
      </c>
      <c r="G901" s="37">
        <v>42420.729166666664</v>
      </c>
      <c r="H901" s="1" t="s">
        <v>6</v>
      </c>
      <c r="I901" s="1" t="s">
        <v>38</v>
      </c>
      <c r="J901" s="1">
        <v>42420.742314814815</v>
      </c>
      <c r="K901" s="1" t="s">
        <v>1026</v>
      </c>
      <c r="L901" s="14">
        <f>24*(TblTimeSheet[[#This Row],[End Date and Time]]-TblTimeSheet[[#This Row],[Start Date and Time]])</f>
        <v>3.9999999999417923</v>
      </c>
      <c r="M9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1">
        <f>--(0&gt;(TblTimeSheet[[#This Row],[End Date and Time]]-TblTimeSheet[[#This Row],[Start Date and Time]]))</f>
        <v>0</v>
      </c>
    </row>
    <row r="902" spans="1:14" x14ac:dyDescent="0.25">
      <c r="A902" s="1"/>
      <c r="B902" s="2" t="s">
        <v>697</v>
      </c>
      <c r="C902" s="2" t="s">
        <v>116</v>
      </c>
      <c r="D902" s="2" t="s">
        <v>33</v>
      </c>
      <c r="E902" s="7" t="s">
        <v>1815</v>
      </c>
      <c r="F902" s="37">
        <v>42422.666666666664</v>
      </c>
      <c r="G902" s="37">
        <v>42422.6875</v>
      </c>
      <c r="H902" s="1" t="s">
        <v>6</v>
      </c>
      <c r="I902" s="1" t="s">
        <v>38</v>
      </c>
      <c r="J902" s="1">
        <v>42422.710694444446</v>
      </c>
      <c r="K902" s="1" t="s">
        <v>1026</v>
      </c>
      <c r="L902" s="14">
        <f>24*(TblTimeSheet[[#This Row],[End Date and Time]]-TblTimeSheet[[#This Row],[Start Date and Time]])</f>
        <v>0.50000000005820766</v>
      </c>
      <c r="M9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02">
        <f>--(0&gt;(TblTimeSheet[[#This Row],[End Date and Time]]-TblTimeSheet[[#This Row],[Start Date and Time]]))</f>
        <v>0</v>
      </c>
    </row>
    <row r="903" spans="1:14" x14ac:dyDescent="0.25">
      <c r="A903" s="1"/>
      <c r="B903" s="2" t="s">
        <v>697</v>
      </c>
      <c r="C903" s="2" t="s">
        <v>116</v>
      </c>
      <c r="D903" s="2" t="s">
        <v>33</v>
      </c>
      <c r="E903" s="7" t="s">
        <v>1815</v>
      </c>
      <c r="F903" s="37">
        <v>42422.666666666664</v>
      </c>
      <c r="G903" s="37">
        <v>42422.6875</v>
      </c>
      <c r="H903" s="1" t="s">
        <v>6</v>
      </c>
      <c r="I903" s="1" t="s">
        <v>38</v>
      </c>
      <c r="J903" s="1">
        <v>42422.730300925927</v>
      </c>
      <c r="K903" s="1" t="s">
        <v>81</v>
      </c>
      <c r="L903" s="14">
        <f>24*(TblTimeSheet[[#This Row],[End Date and Time]]-TblTimeSheet[[#This Row],[Start Date and Time]])</f>
        <v>0.50000000005820766</v>
      </c>
      <c r="M9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03">
        <f>--(0&gt;(TblTimeSheet[[#This Row],[End Date and Time]]-TblTimeSheet[[#This Row],[Start Date and Time]]))</f>
        <v>0</v>
      </c>
    </row>
    <row r="904" spans="1:14" x14ac:dyDescent="0.25">
      <c r="A904" s="1"/>
      <c r="B904" s="2" t="s">
        <v>909</v>
      </c>
      <c r="C904" s="2" t="s">
        <v>116</v>
      </c>
      <c r="D904" s="2" t="s">
        <v>32</v>
      </c>
      <c r="E904" s="7" t="s">
        <v>1195</v>
      </c>
      <c r="F904" s="37">
        <v>42420.614583333336</v>
      </c>
      <c r="G904" s="37">
        <v>42420.625</v>
      </c>
      <c r="H904" s="1" t="s">
        <v>6</v>
      </c>
      <c r="I904" s="1" t="s">
        <v>38</v>
      </c>
      <c r="J904" s="1">
        <v>42423.387291666666</v>
      </c>
      <c r="K904" s="1" t="s">
        <v>39</v>
      </c>
      <c r="L904" s="14">
        <f>24*(TblTimeSheet[[#This Row],[End Date and Time]]-TblTimeSheet[[#This Row],[Start Date and Time]])</f>
        <v>0.24999999994179234</v>
      </c>
      <c r="M9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04">
        <f>--(0&gt;(TblTimeSheet[[#This Row],[End Date and Time]]-TblTimeSheet[[#This Row],[Start Date and Time]]))</f>
        <v>0</v>
      </c>
    </row>
    <row r="905" spans="1:14" x14ac:dyDescent="0.25">
      <c r="A905" s="1"/>
      <c r="B905" s="2" t="s">
        <v>697</v>
      </c>
      <c r="C905" s="2" t="s">
        <v>116</v>
      </c>
      <c r="D905" s="2" t="s">
        <v>33</v>
      </c>
      <c r="E905" s="7" t="s">
        <v>985</v>
      </c>
      <c r="F905" s="37">
        <v>42422.677083333336</v>
      </c>
      <c r="G905" s="37">
        <v>42422.6875</v>
      </c>
      <c r="H905" s="1" t="s">
        <v>6</v>
      </c>
      <c r="I905" s="1" t="s">
        <v>38</v>
      </c>
      <c r="J905" s="1">
        <v>42423.389016203706</v>
      </c>
      <c r="K905" s="1" t="s">
        <v>39</v>
      </c>
      <c r="L905" s="14">
        <f>24*(TblTimeSheet[[#This Row],[End Date and Time]]-TblTimeSheet[[#This Row],[Start Date and Time]])</f>
        <v>0.24999999994179234</v>
      </c>
      <c r="M9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05">
        <f>--(0&gt;(TblTimeSheet[[#This Row],[End Date and Time]]-TblTimeSheet[[#This Row],[Start Date and Time]]))</f>
        <v>0</v>
      </c>
    </row>
    <row r="906" spans="1:14" x14ac:dyDescent="0.25">
      <c r="A906" s="1"/>
      <c r="B906" s="2" t="s">
        <v>699</v>
      </c>
      <c r="C906" s="2" t="s">
        <v>116</v>
      </c>
      <c r="D906" s="2" t="s">
        <v>32</v>
      </c>
      <c r="E906" s="7" t="s">
        <v>756</v>
      </c>
      <c r="F906" s="37">
        <v>42422.666666666664</v>
      </c>
      <c r="G906" s="37">
        <v>42422.6875</v>
      </c>
      <c r="H906" s="1" t="s">
        <v>6</v>
      </c>
      <c r="I906" s="1" t="s">
        <v>38</v>
      </c>
      <c r="J906" s="1">
        <v>42423.395127314812</v>
      </c>
      <c r="K906" s="1" t="s">
        <v>701</v>
      </c>
      <c r="L906" s="14">
        <f>24*(TblTimeSheet[[#This Row],[End Date and Time]]-TblTimeSheet[[#This Row],[Start Date and Time]])</f>
        <v>0.50000000005820766</v>
      </c>
      <c r="M9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06">
        <f>--(0&gt;(TblTimeSheet[[#This Row],[End Date and Time]]-TblTimeSheet[[#This Row],[Start Date and Time]]))</f>
        <v>0</v>
      </c>
    </row>
    <row r="907" spans="1:14" x14ac:dyDescent="0.25">
      <c r="A907" s="1"/>
      <c r="B907" s="2" t="s">
        <v>911</v>
      </c>
      <c r="C907" s="2" t="s">
        <v>116</v>
      </c>
      <c r="D907" s="2" t="s">
        <v>19</v>
      </c>
      <c r="E907" s="7" t="s">
        <v>1250</v>
      </c>
      <c r="F907" s="37">
        <v>42423.420138888891</v>
      </c>
      <c r="G907" s="37">
        <v>42423.440972222219</v>
      </c>
      <c r="H907" s="1" t="s">
        <v>6</v>
      </c>
      <c r="I907" s="1" t="s">
        <v>38</v>
      </c>
      <c r="J907" s="1">
        <v>42423.441747685189</v>
      </c>
      <c r="K907" s="1" t="s">
        <v>701</v>
      </c>
      <c r="L907" s="14">
        <f>24*(TblTimeSheet[[#This Row],[End Date and Time]]-TblTimeSheet[[#This Row],[Start Date and Time]])</f>
        <v>0.49999999988358468</v>
      </c>
      <c r="M9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7">
        <f>--(0&gt;(TblTimeSheet[[#This Row],[End Date and Time]]-TblTimeSheet[[#This Row],[Start Date and Time]]))</f>
        <v>0</v>
      </c>
    </row>
    <row r="908" spans="1:14" x14ac:dyDescent="0.25">
      <c r="A908" s="1"/>
      <c r="B908" s="2" t="s">
        <v>911</v>
      </c>
      <c r="C908" s="2" t="s">
        <v>116</v>
      </c>
      <c r="D908" s="2" t="s">
        <v>19</v>
      </c>
      <c r="E908" s="7" t="s">
        <v>1816</v>
      </c>
      <c r="F908" s="37">
        <v>42423.645833333336</v>
      </c>
      <c r="G908" s="37">
        <v>42423.708333333336</v>
      </c>
      <c r="H908" s="1" t="s">
        <v>6</v>
      </c>
      <c r="I908" s="1" t="s">
        <v>38</v>
      </c>
      <c r="J908" s="1">
        <v>42423.76185185185</v>
      </c>
      <c r="K908" s="1" t="s">
        <v>81</v>
      </c>
      <c r="L908" s="14">
        <f>24*(TblTimeSheet[[#This Row],[End Date and Time]]-TblTimeSheet[[#This Row],[Start Date and Time]])</f>
        <v>1.5</v>
      </c>
      <c r="M9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8">
        <f>--(0&gt;(TblTimeSheet[[#This Row],[End Date and Time]]-TblTimeSheet[[#This Row],[Start Date and Time]]))</f>
        <v>0</v>
      </c>
    </row>
    <row r="909" spans="1:14" x14ac:dyDescent="0.25">
      <c r="A909" s="1"/>
      <c r="B909" s="2" t="s">
        <v>911</v>
      </c>
      <c r="C909" s="2" t="s">
        <v>41</v>
      </c>
      <c r="D909" s="2" t="s">
        <v>19</v>
      </c>
      <c r="E909" s="7" t="s">
        <v>1251</v>
      </c>
      <c r="F909" s="37">
        <v>42413.458333333336</v>
      </c>
      <c r="G909" s="37">
        <v>42413.479166666664</v>
      </c>
      <c r="H909" s="1" t="s">
        <v>6</v>
      </c>
      <c r="I909" s="1" t="s">
        <v>38</v>
      </c>
      <c r="J909" s="1">
        <v>42423.712384259263</v>
      </c>
      <c r="K909" s="1" t="s">
        <v>41</v>
      </c>
      <c r="L909" s="14">
        <f>24*(TblTimeSheet[[#This Row],[End Date and Time]]-TblTimeSheet[[#This Row],[Start Date and Time]])</f>
        <v>0.49999999988358468</v>
      </c>
      <c r="M9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09">
        <f>--(0&gt;(TblTimeSheet[[#This Row],[End Date and Time]]-TblTimeSheet[[#This Row],[Start Date and Time]]))</f>
        <v>0</v>
      </c>
    </row>
    <row r="910" spans="1:14" x14ac:dyDescent="0.25">
      <c r="A910" s="1"/>
      <c r="B910" s="2" t="s">
        <v>911</v>
      </c>
      <c r="C910" s="2" t="s">
        <v>43</v>
      </c>
      <c r="D910" s="2" t="s">
        <v>19</v>
      </c>
      <c r="E910" s="7" t="s">
        <v>1209</v>
      </c>
      <c r="F910" s="37">
        <v>42413.458333333336</v>
      </c>
      <c r="G910" s="37">
        <v>42413.479166666664</v>
      </c>
      <c r="H910" s="1" t="s">
        <v>6</v>
      </c>
      <c r="I910" s="1" t="s">
        <v>38</v>
      </c>
      <c r="J910" s="1">
        <v>42423.71366898148</v>
      </c>
      <c r="K910" s="1" t="s">
        <v>43</v>
      </c>
      <c r="L910" s="14">
        <f>24*(TblTimeSheet[[#This Row],[End Date and Time]]-TblTimeSheet[[#This Row],[Start Date and Time]])</f>
        <v>0.49999999988358468</v>
      </c>
      <c r="M9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0">
        <f>--(0&gt;(TblTimeSheet[[#This Row],[End Date and Time]]-TblTimeSheet[[#This Row],[Start Date and Time]]))</f>
        <v>0</v>
      </c>
    </row>
    <row r="911" spans="1:14" x14ac:dyDescent="0.25">
      <c r="A911" s="1"/>
      <c r="B911" s="2" t="s">
        <v>909</v>
      </c>
      <c r="C911" s="2" t="s">
        <v>118</v>
      </c>
      <c r="D911" s="2" t="s">
        <v>32</v>
      </c>
      <c r="E911" s="7" t="s">
        <v>1252</v>
      </c>
      <c r="F911" s="37">
        <v>42422.416666666664</v>
      </c>
      <c r="G911" s="37">
        <v>42422.541666666664</v>
      </c>
      <c r="H911" s="1" t="s">
        <v>6</v>
      </c>
      <c r="I911" s="1" t="s">
        <v>38</v>
      </c>
      <c r="J911" s="1">
        <v>42423.71497685185</v>
      </c>
      <c r="K911" s="1" t="s">
        <v>118</v>
      </c>
      <c r="L911" s="14">
        <f>24*(TblTimeSheet[[#This Row],[End Date and Time]]-TblTimeSheet[[#This Row],[Start Date and Time]])</f>
        <v>3</v>
      </c>
      <c r="M9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1">
        <f>--(0&gt;(TblTimeSheet[[#This Row],[End Date and Time]]-TblTimeSheet[[#This Row],[Start Date and Time]]))</f>
        <v>0</v>
      </c>
    </row>
    <row r="912" spans="1:14" x14ac:dyDescent="0.25">
      <c r="A912" s="1"/>
      <c r="B912" s="2" t="s">
        <v>911</v>
      </c>
      <c r="C912" s="2" t="s">
        <v>41</v>
      </c>
      <c r="D912" s="2" t="s">
        <v>19</v>
      </c>
      <c r="E912" s="7" t="s">
        <v>1253</v>
      </c>
      <c r="F912" s="37">
        <v>42423.388888888891</v>
      </c>
      <c r="G912" s="37">
        <v>42423.395833333336</v>
      </c>
      <c r="H912" s="1" t="s">
        <v>6</v>
      </c>
      <c r="I912" s="1" t="s">
        <v>38</v>
      </c>
      <c r="J912" s="1">
        <v>42423.747777777775</v>
      </c>
      <c r="K912" s="1" t="s">
        <v>41</v>
      </c>
      <c r="L912" s="14">
        <f>24*(TblTimeSheet[[#This Row],[End Date and Time]]-TblTimeSheet[[#This Row],[Start Date and Time]])</f>
        <v>0.16666666668606922</v>
      </c>
      <c r="M9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2">
        <f>--(0&gt;(TblTimeSheet[[#This Row],[End Date and Time]]-TblTimeSheet[[#This Row],[Start Date and Time]]))</f>
        <v>0</v>
      </c>
    </row>
    <row r="913" spans="1:14" x14ac:dyDescent="0.25">
      <c r="A913" s="1"/>
      <c r="B913" s="2" t="s">
        <v>911</v>
      </c>
      <c r="C913" s="2" t="s">
        <v>41</v>
      </c>
      <c r="D913" s="2" t="s">
        <v>19</v>
      </c>
      <c r="E913" s="7" t="s">
        <v>1254</v>
      </c>
      <c r="F913" s="37">
        <v>42423.708333333336</v>
      </c>
      <c r="G913" s="37">
        <v>42423.729166666664</v>
      </c>
      <c r="H913" s="1" t="s">
        <v>6</v>
      </c>
      <c r="I913" s="1" t="s">
        <v>38</v>
      </c>
      <c r="J913" s="1">
        <v>42423.78434027778</v>
      </c>
      <c r="K913" s="1" t="s">
        <v>701</v>
      </c>
      <c r="L913" s="14">
        <f>24*(TblTimeSheet[[#This Row],[End Date and Time]]-TblTimeSheet[[#This Row],[Start Date and Time]])</f>
        <v>0.49999999988358468</v>
      </c>
      <c r="M9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3">
        <f>--(0&gt;(TblTimeSheet[[#This Row],[End Date and Time]]-TblTimeSheet[[#This Row],[Start Date and Time]]))</f>
        <v>0</v>
      </c>
    </row>
    <row r="914" spans="1:14" x14ac:dyDescent="0.25">
      <c r="A914" s="1"/>
      <c r="B914" s="2" t="s">
        <v>697</v>
      </c>
      <c r="C914" s="2" t="s">
        <v>124</v>
      </c>
      <c r="D914" s="2" t="s">
        <v>33</v>
      </c>
      <c r="E914" s="7" t="s">
        <v>1255</v>
      </c>
      <c r="F914" s="37">
        <v>42415.375</v>
      </c>
      <c r="G914" s="37">
        <v>42415.541666666664</v>
      </c>
      <c r="H914" s="1" t="s">
        <v>6</v>
      </c>
      <c r="I914" s="1" t="s">
        <v>38</v>
      </c>
      <c r="J914" s="1">
        <v>42424.365358796298</v>
      </c>
      <c r="K914" s="1" t="s">
        <v>2863</v>
      </c>
      <c r="L914" s="14">
        <f>24*(TblTimeSheet[[#This Row],[End Date and Time]]-TblTimeSheet[[#This Row],[Start Date and Time]])</f>
        <v>3.9999999999417923</v>
      </c>
      <c r="M9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4">
        <f>--(0&gt;(TblTimeSheet[[#This Row],[End Date and Time]]-TblTimeSheet[[#This Row],[Start Date and Time]]))</f>
        <v>0</v>
      </c>
    </row>
    <row r="915" spans="1:14" x14ac:dyDescent="0.25">
      <c r="A915" s="1"/>
      <c r="B915" s="2" t="s">
        <v>697</v>
      </c>
      <c r="C915" s="2" t="s">
        <v>124</v>
      </c>
      <c r="D915" s="2" t="s">
        <v>33</v>
      </c>
      <c r="E915" s="7" t="s">
        <v>1255</v>
      </c>
      <c r="F915" s="37">
        <v>42415.625</v>
      </c>
      <c r="G915" s="37">
        <v>42415.708333333336</v>
      </c>
      <c r="H915" s="1" t="s">
        <v>6</v>
      </c>
      <c r="I915" s="1" t="s">
        <v>38</v>
      </c>
      <c r="J915" s="1">
        <v>42424.366099537037</v>
      </c>
      <c r="K915" s="1" t="s">
        <v>2863</v>
      </c>
      <c r="L915" s="14">
        <f>24*(TblTimeSheet[[#This Row],[End Date and Time]]-TblTimeSheet[[#This Row],[Start Date and Time]])</f>
        <v>2.0000000000582077</v>
      </c>
      <c r="M9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5">
        <f>--(0&gt;(TblTimeSheet[[#This Row],[End Date and Time]]-TblTimeSheet[[#This Row],[Start Date and Time]]))</f>
        <v>0</v>
      </c>
    </row>
    <row r="916" spans="1:14" x14ac:dyDescent="0.25">
      <c r="A916" s="1"/>
      <c r="B916" s="2" t="s">
        <v>697</v>
      </c>
      <c r="C916" s="2" t="s">
        <v>124</v>
      </c>
      <c r="D916" s="2" t="s">
        <v>33</v>
      </c>
      <c r="E916" s="7" t="s">
        <v>1255</v>
      </c>
      <c r="F916" s="37">
        <v>42416.375</v>
      </c>
      <c r="G916" s="37">
        <v>42416.541666666664</v>
      </c>
      <c r="H916" s="1" t="s">
        <v>6</v>
      </c>
      <c r="I916" s="1" t="s">
        <v>38</v>
      </c>
      <c r="J916" s="1">
        <v>42424.367604166669</v>
      </c>
      <c r="K916" s="1" t="s">
        <v>2863</v>
      </c>
      <c r="L916" s="14">
        <f>24*(TblTimeSheet[[#This Row],[End Date and Time]]-TblTimeSheet[[#This Row],[Start Date and Time]])</f>
        <v>3.9999999999417923</v>
      </c>
      <c r="M9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6">
        <f>--(0&gt;(TblTimeSheet[[#This Row],[End Date and Time]]-TblTimeSheet[[#This Row],[Start Date and Time]]))</f>
        <v>0</v>
      </c>
    </row>
    <row r="917" spans="1:14" x14ac:dyDescent="0.25">
      <c r="A917" s="1"/>
      <c r="B917" s="2" t="s">
        <v>697</v>
      </c>
      <c r="C917" s="2" t="s">
        <v>124</v>
      </c>
      <c r="D917" s="2" t="s">
        <v>33</v>
      </c>
      <c r="E917" s="7" t="s">
        <v>1255</v>
      </c>
      <c r="F917" s="37">
        <v>42417.375</v>
      </c>
      <c r="G917" s="37">
        <v>42417.541666666664</v>
      </c>
      <c r="H917" s="1" t="s">
        <v>6</v>
      </c>
      <c r="I917" s="1" t="s">
        <v>38</v>
      </c>
      <c r="J917" s="1">
        <v>42424.367071759261</v>
      </c>
      <c r="K917" s="1" t="s">
        <v>2863</v>
      </c>
      <c r="L917" s="14">
        <f>24*(TblTimeSheet[[#This Row],[End Date and Time]]-TblTimeSheet[[#This Row],[Start Date and Time]])</f>
        <v>3.9999999999417923</v>
      </c>
      <c r="M9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7">
        <f>--(0&gt;(TblTimeSheet[[#This Row],[End Date and Time]]-TblTimeSheet[[#This Row],[Start Date and Time]]))</f>
        <v>0</v>
      </c>
    </row>
    <row r="918" spans="1:14" x14ac:dyDescent="0.25">
      <c r="A918" s="1"/>
      <c r="B918" s="2" t="s">
        <v>697</v>
      </c>
      <c r="C918" s="2" t="s">
        <v>124</v>
      </c>
      <c r="D918" s="2" t="s">
        <v>33</v>
      </c>
      <c r="E918" s="7" t="s">
        <v>1256</v>
      </c>
      <c r="F918" s="37">
        <v>42418.375</v>
      </c>
      <c r="G918" s="37">
        <v>42418.541666666664</v>
      </c>
      <c r="H918" s="1" t="s">
        <v>6</v>
      </c>
      <c r="I918" s="1" t="s">
        <v>38</v>
      </c>
      <c r="J918" s="1">
        <v>42424.369027777779</v>
      </c>
      <c r="K918" s="1" t="s">
        <v>2863</v>
      </c>
      <c r="L918" s="14">
        <f>24*(TblTimeSheet[[#This Row],[End Date and Time]]-TblTimeSheet[[#This Row],[Start Date and Time]])</f>
        <v>3.9999999999417923</v>
      </c>
      <c r="M9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8">
        <f>--(0&gt;(TblTimeSheet[[#This Row],[End Date and Time]]-TblTimeSheet[[#This Row],[Start Date and Time]]))</f>
        <v>0</v>
      </c>
    </row>
    <row r="919" spans="1:14" ht="30" x14ac:dyDescent="0.25">
      <c r="A919" s="1"/>
      <c r="B919" s="2" t="s">
        <v>697</v>
      </c>
      <c r="C919" s="2" t="s">
        <v>124</v>
      </c>
      <c r="D919" s="2" t="s">
        <v>33</v>
      </c>
      <c r="E919" s="7" t="s">
        <v>1808</v>
      </c>
      <c r="F919" s="37">
        <v>42418.5625</v>
      </c>
      <c r="G919" s="37">
        <v>42418.708333333336</v>
      </c>
      <c r="H919" s="1" t="s">
        <v>6</v>
      </c>
      <c r="I919" s="1" t="s">
        <v>38</v>
      </c>
      <c r="J919" s="1">
        <v>42424.371203703704</v>
      </c>
      <c r="K919" s="1" t="s">
        <v>2863</v>
      </c>
      <c r="L919" s="14">
        <f>24*(TblTimeSheet[[#This Row],[End Date and Time]]-TblTimeSheet[[#This Row],[Start Date and Time]])</f>
        <v>3.5000000000582077</v>
      </c>
      <c r="M9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19">
        <f>--(0&gt;(TblTimeSheet[[#This Row],[End Date and Time]]-TblTimeSheet[[#This Row],[Start Date and Time]]))</f>
        <v>0</v>
      </c>
    </row>
    <row r="920" spans="1:14" x14ac:dyDescent="0.25">
      <c r="A920" s="1"/>
      <c r="B920" s="2" t="s">
        <v>697</v>
      </c>
      <c r="C920" s="2" t="s">
        <v>124</v>
      </c>
      <c r="D920" s="2" t="s">
        <v>33</v>
      </c>
      <c r="E920" s="7" t="s">
        <v>1257</v>
      </c>
      <c r="F920" s="37">
        <v>42419.375</v>
      </c>
      <c r="G920" s="37">
        <v>42419.5</v>
      </c>
      <c r="H920" s="1" t="s">
        <v>6</v>
      </c>
      <c r="I920" s="1" t="s">
        <v>38</v>
      </c>
      <c r="J920" s="1">
        <v>42424.372187499997</v>
      </c>
      <c r="K920" s="1" t="s">
        <v>2863</v>
      </c>
      <c r="L920" s="14">
        <f>24*(TblTimeSheet[[#This Row],[End Date and Time]]-TblTimeSheet[[#This Row],[Start Date and Time]])</f>
        <v>3</v>
      </c>
      <c r="M9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0">
        <f>--(0&gt;(TblTimeSheet[[#This Row],[End Date and Time]]-TblTimeSheet[[#This Row],[Start Date and Time]]))</f>
        <v>0</v>
      </c>
    </row>
    <row r="921" spans="1:14" ht="30" x14ac:dyDescent="0.25">
      <c r="A921" s="1"/>
      <c r="B921" s="2" t="s">
        <v>697</v>
      </c>
      <c r="C921" s="2" t="s">
        <v>124</v>
      </c>
      <c r="D921" s="2" t="s">
        <v>33</v>
      </c>
      <c r="E921" s="7" t="s">
        <v>1247</v>
      </c>
      <c r="F921" s="37">
        <v>42419.583333333336</v>
      </c>
      <c r="G921" s="37">
        <v>42419.729166666664</v>
      </c>
      <c r="H921" s="1" t="s">
        <v>6</v>
      </c>
      <c r="I921" s="1" t="s">
        <v>38</v>
      </c>
      <c r="J921" s="1">
        <v>42424.373645833337</v>
      </c>
      <c r="K921" s="1" t="s">
        <v>2863</v>
      </c>
      <c r="L921" s="14">
        <f>24*(TblTimeSheet[[#This Row],[End Date and Time]]-TblTimeSheet[[#This Row],[Start Date and Time]])</f>
        <v>3.4999999998835847</v>
      </c>
      <c r="M9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1">
        <f>--(0&gt;(TblTimeSheet[[#This Row],[End Date and Time]]-TblTimeSheet[[#This Row],[Start Date and Time]]))</f>
        <v>0</v>
      </c>
    </row>
    <row r="922" spans="1:14" x14ac:dyDescent="0.25">
      <c r="A922" s="1"/>
      <c r="B922" s="2" t="s">
        <v>697</v>
      </c>
      <c r="C922" s="2" t="s">
        <v>124</v>
      </c>
      <c r="D922" s="2" t="s">
        <v>33</v>
      </c>
      <c r="E922" s="7" t="s">
        <v>1258</v>
      </c>
      <c r="F922" s="37">
        <v>42422.395833333336</v>
      </c>
      <c r="G922" s="37">
        <v>42422.541666666664</v>
      </c>
      <c r="H922" s="1" t="s">
        <v>6</v>
      </c>
      <c r="I922" s="1" t="s">
        <v>38</v>
      </c>
      <c r="J922" s="1">
        <v>42424.375254629631</v>
      </c>
      <c r="K922" s="1" t="s">
        <v>2863</v>
      </c>
      <c r="L922" s="14">
        <f>24*(TblTimeSheet[[#This Row],[End Date and Time]]-TblTimeSheet[[#This Row],[Start Date and Time]])</f>
        <v>3.4999999998835847</v>
      </c>
      <c r="M9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2">
        <f>--(0&gt;(TblTimeSheet[[#This Row],[End Date and Time]]-TblTimeSheet[[#This Row],[Start Date and Time]]))</f>
        <v>0</v>
      </c>
    </row>
    <row r="923" spans="1:14" x14ac:dyDescent="0.25">
      <c r="A923" s="1"/>
      <c r="B923" s="2" t="s">
        <v>697</v>
      </c>
      <c r="C923" s="2" t="s">
        <v>124</v>
      </c>
      <c r="D923" s="2" t="s">
        <v>33</v>
      </c>
      <c r="E923" s="7" t="s">
        <v>1817</v>
      </c>
      <c r="F923" s="37">
        <v>42422.666666666664</v>
      </c>
      <c r="G923" s="37">
        <v>42422.6875</v>
      </c>
      <c r="H923" s="1" t="s">
        <v>6</v>
      </c>
      <c r="I923" s="1" t="s">
        <v>38</v>
      </c>
      <c r="J923" s="1">
        <v>42424.377118055556</v>
      </c>
      <c r="K923" s="1" t="s">
        <v>2863</v>
      </c>
      <c r="L923" s="14">
        <f>24*(TblTimeSheet[[#This Row],[End Date and Time]]-TblTimeSheet[[#This Row],[Start Date and Time]])</f>
        <v>0.50000000005820766</v>
      </c>
      <c r="M9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3">
        <f>--(0&gt;(TblTimeSheet[[#This Row],[End Date and Time]]-TblTimeSheet[[#This Row],[Start Date and Time]]))</f>
        <v>0</v>
      </c>
    </row>
    <row r="924" spans="1:14" x14ac:dyDescent="0.25">
      <c r="A924" s="1"/>
      <c r="B924" s="2" t="s">
        <v>697</v>
      </c>
      <c r="C924" s="2" t="s">
        <v>118</v>
      </c>
      <c r="D924" s="2" t="s">
        <v>33</v>
      </c>
      <c r="E924" s="7" t="s">
        <v>1257</v>
      </c>
      <c r="F924" s="37">
        <v>42415.375</v>
      </c>
      <c r="G924" s="37">
        <v>42415.416666666664</v>
      </c>
      <c r="H924" s="1" t="s">
        <v>6</v>
      </c>
      <c r="I924" s="1" t="s">
        <v>38</v>
      </c>
      <c r="J924" s="1">
        <v>42424.389594907407</v>
      </c>
      <c r="K924" s="1" t="s">
        <v>118</v>
      </c>
      <c r="L924" s="14">
        <f>24*(TblTimeSheet[[#This Row],[End Date and Time]]-TblTimeSheet[[#This Row],[Start Date and Time]])</f>
        <v>0.99999999994179234</v>
      </c>
      <c r="M9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4">
        <f>--(0&gt;(TblTimeSheet[[#This Row],[End Date and Time]]-TblTimeSheet[[#This Row],[Start Date and Time]]))</f>
        <v>0</v>
      </c>
    </row>
    <row r="925" spans="1:14" x14ac:dyDescent="0.25">
      <c r="A925" s="1"/>
      <c r="B925" s="2" t="s">
        <v>697</v>
      </c>
      <c r="C925" s="2" t="s">
        <v>118</v>
      </c>
      <c r="D925" s="2" t="s">
        <v>33</v>
      </c>
      <c r="E925" s="7" t="s">
        <v>1259</v>
      </c>
      <c r="F925" s="37">
        <v>42417.458333333336</v>
      </c>
      <c r="G925" s="37">
        <v>42417.5</v>
      </c>
      <c r="H925" s="1" t="s">
        <v>6</v>
      </c>
      <c r="I925" s="1" t="s">
        <v>38</v>
      </c>
      <c r="J925" s="1">
        <v>42424.390335648146</v>
      </c>
      <c r="K925" s="1" t="s">
        <v>118</v>
      </c>
      <c r="L925" s="14">
        <f>24*(TblTimeSheet[[#This Row],[End Date and Time]]-TblTimeSheet[[#This Row],[Start Date and Time]])</f>
        <v>0.99999999994179234</v>
      </c>
      <c r="M9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5">
        <f>--(0&gt;(TblTimeSheet[[#This Row],[End Date and Time]]-TblTimeSheet[[#This Row],[Start Date and Time]]))</f>
        <v>0</v>
      </c>
    </row>
    <row r="926" spans="1:14" x14ac:dyDescent="0.25">
      <c r="A926" s="1"/>
      <c r="B926" s="2" t="s">
        <v>697</v>
      </c>
      <c r="C926" s="2" t="s">
        <v>118</v>
      </c>
      <c r="D926" s="2" t="s">
        <v>33</v>
      </c>
      <c r="E926" s="7" t="s">
        <v>1260</v>
      </c>
      <c r="F926" s="37">
        <v>42422.666666666664</v>
      </c>
      <c r="G926" s="37">
        <v>42422.6875</v>
      </c>
      <c r="H926" s="1" t="s">
        <v>6</v>
      </c>
      <c r="I926" s="1" t="s">
        <v>38</v>
      </c>
      <c r="J926" s="1">
        <v>42424.393564814818</v>
      </c>
      <c r="K926" s="1" t="s">
        <v>118</v>
      </c>
      <c r="L926" s="14">
        <f>24*(TblTimeSheet[[#This Row],[End Date and Time]]-TblTimeSheet[[#This Row],[Start Date and Time]])</f>
        <v>0.50000000005820766</v>
      </c>
      <c r="M9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6">
        <f>--(0&gt;(TblTimeSheet[[#This Row],[End Date and Time]]-TblTimeSheet[[#This Row],[Start Date and Time]]))</f>
        <v>0</v>
      </c>
    </row>
    <row r="927" spans="1:14" x14ac:dyDescent="0.25">
      <c r="A927" s="1"/>
      <c r="B927" s="2" t="s">
        <v>697</v>
      </c>
      <c r="C927" s="2" t="s">
        <v>116</v>
      </c>
      <c r="D927" s="2" t="s">
        <v>33</v>
      </c>
      <c r="E927" s="7" t="s">
        <v>1261</v>
      </c>
      <c r="F927" s="37">
        <v>42415.375</v>
      </c>
      <c r="G927" s="37">
        <v>42415.416666666664</v>
      </c>
      <c r="H927" s="1" t="s">
        <v>6</v>
      </c>
      <c r="I927" s="1" t="s">
        <v>38</v>
      </c>
      <c r="J927" s="1">
        <v>42424.406701388885</v>
      </c>
      <c r="K927" s="1" t="s">
        <v>701</v>
      </c>
      <c r="L927" s="14">
        <f>24*(TblTimeSheet[[#This Row],[End Date and Time]]-TblTimeSheet[[#This Row],[Start Date and Time]])</f>
        <v>0.99999999994179234</v>
      </c>
      <c r="M9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7">
        <f>--(0&gt;(TblTimeSheet[[#This Row],[End Date and Time]]-TblTimeSheet[[#This Row],[Start Date and Time]]))</f>
        <v>0</v>
      </c>
    </row>
    <row r="928" spans="1:14" x14ac:dyDescent="0.25">
      <c r="A928" s="1"/>
      <c r="B928" s="2" t="s">
        <v>697</v>
      </c>
      <c r="C928" s="2" t="s">
        <v>116</v>
      </c>
      <c r="D928" s="2" t="s">
        <v>33</v>
      </c>
      <c r="E928" s="7" t="s">
        <v>1261</v>
      </c>
      <c r="F928" s="37">
        <v>42417.458333333336</v>
      </c>
      <c r="G928" s="37">
        <v>42417.5</v>
      </c>
      <c r="H928" s="1" t="s">
        <v>6</v>
      </c>
      <c r="I928" s="1" t="s">
        <v>38</v>
      </c>
      <c r="J928" s="1">
        <v>42424.407476851855</v>
      </c>
      <c r="K928" s="1" t="s">
        <v>701</v>
      </c>
      <c r="L928" s="14">
        <f>24*(TblTimeSheet[[#This Row],[End Date and Time]]-TblTimeSheet[[#This Row],[Start Date and Time]])</f>
        <v>0.99999999994179234</v>
      </c>
      <c r="M9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8">
        <f>--(0&gt;(TblTimeSheet[[#This Row],[End Date and Time]]-TblTimeSheet[[#This Row],[Start Date and Time]]))</f>
        <v>0</v>
      </c>
    </row>
    <row r="929" spans="1:14" x14ac:dyDescent="0.25">
      <c r="A929" s="1"/>
      <c r="B929" s="2" t="s">
        <v>911</v>
      </c>
      <c r="C929" s="2" t="s">
        <v>1117</v>
      </c>
      <c r="D929" s="2" t="s">
        <v>19</v>
      </c>
      <c r="E929" s="7" t="s">
        <v>1262</v>
      </c>
      <c r="F929" s="37">
        <v>42423.420138888891</v>
      </c>
      <c r="G929" s="37">
        <v>42423.440972222219</v>
      </c>
      <c r="H929" s="1" t="s">
        <v>6</v>
      </c>
      <c r="I929" s="1" t="s">
        <v>38</v>
      </c>
      <c r="J929" s="1">
        <v>42424.437326388892</v>
      </c>
      <c r="K929" s="1" t="s">
        <v>2865</v>
      </c>
      <c r="L929" s="14">
        <f>24*(TblTimeSheet[[#This Row],[End Date and Time]]-TblTimeSheet[[#This Row],[Start Date and Time]])</f>
        <v>0.49999999988358468</v>
      </c>
      <c r="M9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29">
        <f>--(0&gt;(TblTimeSheet[[#This Row],[End Date and Time]]-TblTimeSheet[[#This Row],[Start Date and Time]]))</f>
        <v>0</v>
      </c>
    </row>
    <row r="930" spans="1:14" x14ac:dyDescent="0.25">
      <c r="A930" s="1"/>
      <c r="B930" s="2" t="s">
        <v>697</v>
      </c>
      <c r="C930" s="2" t="s">
        <v>1105</v>
      </c>
      <c r="D930" s="2" t="s">
        <v>33</v>
      </c>
      <c r="E930" s="7" t="s">
        <v>1818</v>
      </c>
      <c r="F930" s="37">
        <v>42425.416666666664</v>
      </c>
      <c r="G930" s="37">
        <v>42425.458333333336</v>
      </c>
      <c r="H930" s="1" t="s">
        <v>6</v>
      </c>
      <c r="I930" s="1" t="s">
        <v>38</v>
      </c>
      <c r="J930" s="1">
        <v>42444.415694444448</v>
      </c>
      <c r="K930" s="1" t="s">
        <v>2864</v>
      </c>
      <c r="L930" s="14">
        <f>24*(TblTimeSheet[[#This Row],[End Date and Time]]-TblTimeSheet[[#This Row],[Start Date and Time]])</f>
        <v>1.0000000001164153</v>
      </c>
      <c r="M9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0">
        <f>--(0&gt;(TblTimeSheet[[#This Row],[End Date and Time]]-TblTimeSheet[[#This Row],[Start Date and Time]]))</f>
        <v>0</v>
      </c>
    </row>
    <row r="931" spans="1:14" x14ac:dyDescent="0.25">
      <c r="A931" s="1"/>
      <c r="B931" s="2" t="s">
        <v>913</v>
      </c>
      <c r="C931" s="2" t="s">
        <v>1105</v>
      </c>
      <c r="D931" s="2" t="s">
        <v>19</v>
      </c>
      <c r="E931" s="7" t="s">
        <v>1819</v>
      </c>
      <c r="F931" s="37">
        <v>42425.625</v>
      </c>
      <c r="G931" s="37">
        <v>42425.645833333336</v>
      </c>
      <c r="H931" s="1" t="s">
        <v>6</v>
      </c>
      <c r="I931" s="1" t="s">
        <v>38</v>
      </c>
      <c r="J931" s="1">
        <v>42425.64880787037</v>
      </c>
      <c r="K931" s="1" t="s">
        <v>2864</v>
      </c>
      <c r="L931" s="14">
        <f>24*(TblTimeSheet[[#This Row],[End Date and Time]]-TblTimeSheet[[#This Row],[Start Date and Time]])</f>
        <v>0.50000000005820766</v>
      </c>
      <c r="M9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1">
        <f>--(0&gt;(TblTimeSheet[[#This Row],[End Date and Time]]-TblTimeSheet[[#This Row],[Start Date and Time]]))</f>
        <v>0</v>
      </c>
    </row>
    <row r="932" spans="1:14" x14ac:dyDescent="0.25">
      <c r="A932" s="1"/>
      <c r="B932" s="2" t="s">
        <v>697</v>
      </c>
      <c r="C932" s="2" t="s">
        <v>124</v>
      </c>
      <c r="D932" s="2" t="s">
        <v>33</v>
      </c>
      <c r="E932" s="7" t="s">
        <v>1263</v>
      </c>
      <c r="F932" s="37">
        <v>42425.416666666664</v>
      </c>
      <c r="G932" s="37">
        <v>42425.458333333336</v>
      </c>
      <c r="H932" s="1" t="s">
        <v>6</v>
      </c>
      <c r="I932" s="1" t="s">
        <v>38</v>
      </c>
      <c r="J932" s="1">
        <v>42425.654675925929</v>
      </c>
      <c r="K932" s="1" t="s">
        <v>2863</v>
      </c>
      <c r="L932" s="14">
        <f>24*(TblTimeSheet[[#This Row],[End Date and Time]]-TblTimeSheet[[#This Row],[Start Date and Time]])</f>
        <v>1.0000000001164153</v>
      </c>
      <c r="M9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2">
        <f>--(0&gt;(TblTimeSheet[[#This Row],[End Date and Time]]-TblTimeSheet[[#This Row],[Start Date and Time]]))</f>
        <v>0</v>
      </c>
    </row>
    <row r="933" spans="1:14" x14ac:dyDescent="0.25">
      <c r="A933" s="1"/>
      <c r="B933" s="2" t="s">
        <v>697</v>
      </c>
      <c r="C933" s="2" t="s">
        <v>124</v>
      </c>
      <c r="D933" s="2" t="s">
        <v>32</v>
      </c>
      <c r="E933" s="7" t="s">
        <v>1264</v>
      </c>
      <c r="F933" s="37">
        <v>42412.416666666664</v>
      </c>
      <c r="G933" s="37">
        <v>42412.5</v>
      </c>
      <c r="H933" s="1" t="s">
        <v>6</v>
      </c>
      <c r="I933" s="1" t="s">
        <v>38</v>
      </c>
      <c r="J933" s="1">
        <v>42425.657812500001</v>
      </c>
      <c r="K933" s="1" t="s">
        <v>2863</v>
      </c>
      <c r="L933" s="14">
        <f>24*(TblTimeSheet[[#This Row],[End Date and Time]]-TblTimeSheet[[#This Row],[Start Date and Time]])</f>
        <v>2.0000000000582077</v>
      </c>
      <c r="M9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3">
        <f>--(0&gt;(TblTimeSheet[[#This Row],[End Date and Time]]-TblTimeSheet[[#This Row],[Start Date and Time]]))</f>
        <v>0</v>
      </c>
    </row>
    <row r="934" spans="1:14" ht="30" x14ac:dyDescent="0.25">
      <c r="A934" s="1"/>
      <c r="B934" s="2" t="s">
        <v>913</v>
      </c>
      <c r="C934" s="2" t="s">
        <v>36</v>
      </c>
      <c r="D934" s="2" t="s">
        <v>19</v>
      </c>
      <c r="E934" s="7" t="s">
        <v>1265</v>
      </c>
      <c r="F934" s="37">
        <v>42425.625</v>
      </c>
      <c r="G934" s="37">
        <v>42425.645833333336</v>
      </c>
      <c r="H934" s="1" t="s">
        <v>6</v>
      </c>
      <c r="I934" s="1" t="s">
        <v>38</v>
      </c>
      <c r="J934" s="1">
        <v>42425.716990740744</v>
      </c>
      <c r="K934" s="1" t="s">
        <v>36</v>
      </c>
      <c r="L934" s="14">
        <f>24*(TblTimeSheet[[#This Row],[End Date and Time]]-TblTimeSheet[[#This Row],[Start Date and Time]])</f>
        <v>0.50000000005820766</v>
      </c>
      <c r="M9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4">
        <f>--(0&gt;(TblTimeSheet[[#This Row],[End Date and Time]]-TblTimeSheet[[#This Row],[Start Date and Time]]))</f>
        <v>0</v>
      </c>
    </row>
    <row r="935" spans="1:14" x14ac:dyDescent="0.25">
      <c r="A935" s="1"/>
      <c r="B935" s="2" t="s">
        <v>697</v>
      </c>
      <c r="C935" s="2" t="s">
        <v>118</v>
      </c>
      <c r="D935" s="2" t="s">
        <v>32</v>
      </c>
      <c r="E935" s="7" t="s">
        <v>1266</v>
      </c>
      <c r="F935" s="37">
        <v>42406.416666666664</v>
      </c>
      <c r="G935" s="37">
        <v>42406.458333333336</v>
      </c>
      <c r="H935" s="1" t="s">
        <v>6</v>
      </c>
      <c r="I935" s="1" t="s">
        <v>38</v>
      </c>
      <c r="J935" s="1">
        <v>42425.727986111109</v>
      </c>
      <c r="K935" s="1" t="s">
        <v>118</v>
      </c>
      <c r="L935" s="14">
        <f>24*(TblTimeSheet[[#This Row],[End Date and Time]]-TblTimeSheet[[#This Row],[Start Date and Time]])</f>
        <v>1.0000000001164153</v>
      </c>
      <c r="M9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5">
        <f>--(0&gt;(TblTimeSheet[[#This Row],[End Date and Time]]-TblTimeSheet[[#This Row],[Start Date and Time]]))</f>
        <v>0</v>
      </c>
    </row>
    <row r="936" spans="1:14" x14ac:dyDescent="0.25">
      <c r="A936" s="1"/>
      <c r="B936" s="2" t="s">
        <v>697</v>
      </c>
      <c r="C936" s="2" t="s">
        <v>118</v>
      </c>
      <c r="D936" s="2" t="s">
        <v>32</v>
      </c>
      <c r="E936" s="7" t="s">
        <v>1267</v>
      </c>
      <c r="F936" s="37">
        <v>42417.625</v>
      </c>
      <c r="G936" s="37">
        <v>42417.729166666664</v>
      </c>
      <c r="H936" s="1" t="s">
        <v>6</v>
      </c>
      <c r="I936" s="1" t="s">
        <v>38</v>
      </c>
      <c r="J936" s="1">
        <v>42434.615590277775</v>
      </c>
      <c r="K936" s="1" t="s">
        <v>2863</v>
      </c>
      <c r="L936" s="14">
        <f>24*(TblTimeSheet[[#This Row],[End Date and Time]]-TblTimeSheet[[#This Row],[Start Date and Time]])</f>
        <v>2.4999999999417923</v>
      </c>
      <c r="M9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6">
        <f>--(0&gt;(TblTimeSheet[[#This Row],[End Date and Time]]-TblTimeSheet[[#This Row],[Start Date and Time]]))</f>
        <v>0</v>
      </c>
    </row>
    <row r="937" spans="1:14" x14ac:dyDescent="0.25">
      <c r="A937" s="1"/>
      <c r="B937" s="2" t="s">
        <v>697</v>
      </c>
      <c r="C937" s="2" t="s">
        <v>143</v>
      </c>
      <c r="D937" s="2" t="s">
        <v>34</v>
      </c>
      <c r="E937" s="7" t="s">
        <v>1820</v>
      </c>
      <c r="F937" s="37">
        <v>42425.625</v>
      </c>
      <c r="G937" s="37">
        <v>42425.729166666664</v>
      </c>
      <c r="H937" s="1" t="s">
        <v>6</v>
      </c>
      <c r="I937" s="1" t="s">
        <v>38</v>
      </c>
      <c r="J937" s="1">
        <v>42443.718692129631</v>
      </c>
      <c r="K937" s="1" t="s">
        <v>143</v>
      </c>
      <c r="L937" s="14">
        <f>24*(TblTimeSheet[[#This Row],[End Date and Time]]-TblTimeSheet[[#This Row],[Start Date and Time]])</f>
        <v>2.4999999999417923</v>
      </c>
      <c r="M9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7">
        <f>--(0&gt;(TblTimeSheet[[#This Row],[End Date and Time]]-TblTimeSheet[[#This Row],[Start Date and Time]]))</f>
        <v>0</v>
      </c>
    </row>
    <row r="938" spans="1:14" x14ac:dyDescent="0.25">
      <c r="A938" s="1"/>
      <c r="B938" s="2" t="s">
        <v>697</v>
      </c>
      <c r="C938" s="2" t="s">
        <v>118</v>
      </c>
      <c r="D938" s="2" t="s">
        <v>32</v>
      </c>
      <c r="E938" s="7" t="s">
        <v>1268</v>
      </c>
      <c r="F938" s="37">
        <v>42416.708333333336</v>
      </c>
      <c r="G938" s="37">
        <v>42416.729166666664</v>
      </c>
      <c r="H938" s="1" t="s">
        <v>6</v>
      </c>
      <c r="I938" s="1" t="s">
        <v>38</v>
      </c>
      <c r="J938" s="1">
        <v>42434.544652777775</v>
      </c>
      <c r="K938" s="1" t="s">
        <v>2863</v>
      </c>
      <c r="L938" s="14">
        <f>24*(TblTimeSheet[[#This Row],[End Date and Time]]-TblTimeSheet[[#This Row],[Start Date and Time]])</f>
        <v>0.49999999988358468</v>
      </c>
      <c r="M9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8">
        <f>--(0&gt;(TblTimeSheet[[#This Row],[End Date and Time]]-TblTimeSheet[[#This Row],[Start Date and Time]]))</f>
        <v>0</v>
      </c>
    </row>
    <row r="939" spans="1:14" x14ac:dyDescent="0.25">
      <c r="A939" s="1"/>
      <c r="B939" s="2" t="s">
        <v>909</v>
      </c>
      <c r="C939" s="2" t="s">
        <v>1061</v>
      </c>
      <c r="D939" s="2" t="s">
        <v>34</v>
      </c>
      <c r="E939" s="7" t="s">
        <v>1269</v>
      </c>
      <c r="F939" s="37">
        <v>42425.625</v>
      </c>
      <c r="G939" s="37">
        <v>42425.729166666664</v>
      </c>
      <c r="H939" s="1" t="s">
        <v>6</v>
      </c>
      <c r="I939" s="1" t="s">
        <v>38</v>
      </c>
      <c r="J939" s="1">
        <v>42425.737175925926</v>
      </c>
      <c r="K939" s="1" t="s">
        <v>1061</v>
      </c>
      <c r="L939" s="14">
        <f>24*(TblTimeSheet[[#This Row],[End Date and Time]]-TblTimeSheet[[#This Row],[Start Date and Time]])</f>
        <v>2.4999999999417923</v>
      </c>
      <c r="M9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39">
        <f>--(0&gt;(TblTimeSheet[[#This Row],[End Date and Time]]-TblTimeSheet[[#This Row],[Start Date and Time]]))</f>
        <v>0</v>
      </c>
    </row>
    <row r="940" spans="1:14" x14ac:dyDescent="0.25">
      <c r="A940" s="1"/>
      <c r="B940" s="2" t="s">
        <v>913</v>
      </c>
      <c r="C940" s="2" t="s">
        <v>43</v>
      </c>
      <c r="D940" s="2" t="s">
        <v>19</v>
      </c>
      <c r="E940" s="7" t="s">
        <v>1270</v>
      </c>
      <c r="F940" s="37">
        <v>42425.625</v>
      </c>
      <c r="G940" s="37">
        <v>42425.645833333336</v>
      </c>
      <c r="H940" s="1" t="s">
        <v>6</v>
      </c>
      <c r="I940" s="1" t="s">
        <v>38</v>
      </c>
      <c r="J940" s="1">
        <v>42425.747407407405</v>
      </c>
      <c r="K940" s="1" t="s">
        <v>43</v>
      </c>
      <c r="L940" s="14">
        <f>24*(TblTimeSheet[[#This Row],[End Date and Time]]-TblTimeSheet[[#This Row],[Start Date and Time]])</f>
        <v>0.50000000005820766</v>
      </c>
      <c r="M9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0">
        <f>--(0&gt;(TblTimeSheet[[#This Row],[End Date and Time]]-TblTimeSheet[[#This Row],[Start Date and Time]]))</f>
        <v>0</v>
      </c>
    </row>
    <row r="941" spans="1:14" x14ac:dyDescent="0.25">
      <c r="A941" s="1"/>
      <c r="B941" s="2" t="s">
        <v>913</v>
      </c>
      <c r="C941" s="2" t="s">
        <v>43</v>
      </c>
      <c r="D941" s="2" t="s">
        <v>19</v>
      </c>
      <c r="E941" s="7" t="s">
        <v>1271</v>
      </c>
      <c r="F941" s="37">
        <v>42425.645833333336</v>
      </c>
      <c r="G941" s="37">
        <v>42425.666666666664</v>
      </c>
      <c r="H941" s="1" t="s">
        <v>6</v>
      </c>
      <c r="I941" s="1" t="s">
        <v>38</v>
      </c>
      <c r="J941" s="1">
        <v>42425.74827546296</v>
      </c>
      <c r="K941" s="1" t="s">
        <v>43</v>
      </c>
      <c r="L941" s="14">
        <f>24*(TblTimeSheet[[#This Row],[End Date and Time]]-TblTimeSheet[[#This Row],[Start Date and Time]])</f>
        <v>0.49999999988358468</v>
      </c>
      <c r="M9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1">
        <f>--(0&gt;(TblTimeSheet[[#This Row],[End Date and Time]]-TblTimeSheet[[#This Row],[Start Date and Time]]))</f>
        <v>0</v>
      </c>
    </row>
    <row r="942" spans="1:14" ht="30" x14ac:dyDescent="0.25">
      <c r="A942" s="1"/>
      <c r="B942" s="2" t="s">
        <v>913</v>
      </c>
      <c r="C942" s="2" t="s">
        <v>116</v>
      </c>
      <c r="D942" s="2" t="s">
        <v>19</v>
      </c>
      <c r="E942" s="7" t="s">
        <v>1272</v>
      </c>
      <c r="F942" s="37">
        <v>42425.625</v>
      </c>
      <c r="G942" s="37">
        <v>42425.645833333336</v>
      </c>
      <c r="H942" s="1" t="s">
        <v>6</v>
      </c>
      <c r="I942" s="1" t="s">
        <v>38</v>
      </c>
      <c r="J942" s="1">
        <v>42425.752349537041</v>
      </c>
      <c r="K942" s="1" t="s">
        <v>39</v>
      </c>
      <c r="L942" s="14">
        <f>24*(TblTimeSheet[[#This Row],[End Date and Time]]-TblTimeSheet[[#This Row],[Start Date and Time]])</f>
        <v>0.50000000005820766</v>
      </c>
      <c r="M9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2">
        <f>--(0&gt;(TblTimeSheet[[#This Row],[End Date and Time]]-TblTimeSheet[[#This Row],[Start Date and Time]]))</f>
        <v>0</v>
      </c>
    </row>
    <row r="943" spans="1:14" x14ac:dyDescent="0.25">
      <c r="A943" s="1"/>
      <c r="B943" s="2" t="s">
        <v>913</v>
      </c>
      <c r="C943" s="2" t="s">
        <v>116</v>
      </c>
      <c r="D943" s="2" t="s">
        <v>19</v>
      </c>
      <c r="E943" s="7" t="s">
        <v>1273</v>
      </c>
      <c r="F943" s="37">
        <v>42425.645833333336</v>
      </c>
      <c r="G943" s="37">
        <v>42425.666666666664</v>
      </c>
      <c r="H943" s="1" t="s">
        <v>6</v>
      </c>
      <c r="I943" s="1" t="s">
        <v>38</v>
      </c>
      <c r="J943" s="1">
        <v>42425.752916666665</v>
      </c>
      <c r="K943" s="1" t="s">
        <v>39</v>
      </c>
      <c r="L943" s="14">
        <f>24*(TblTimeSheet[[#This Row],[End Date and Time]]-TblTimeSheet[[#This Row],[Start Date and Time]])</f>
        <v>0.49999999988358468</v>
      </c>
      <c r="M9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3">
        <f>--(0&gt;(TblTimeSheet[[#This Row],[End Date and Time]]-TblTimeSheet[[#This Row],[Start Date and Time]]))</f>
        <v>0</v>
      </c>
    </row>
    <row r="944" spans="1:14" x14ac:dyDescent="0.25">
      <c r="A944" s="1"/>
      <c r="B944" s="2" t="s">
        <v>697</v>
      </c>
      <c r="C944" s="2" t="s">
        <v>116</v>
      </c>
      <c r="D944" s="2" t="s">
        <v>32</v>
      </c>
      <c r="E944" s="7" t="s">
        <v>1274</v>
      </c>
      <c r="F944" s="37">
        <v>42406.708333333336</v>
      </c>
      <c r="G944" s="37">
        <v>42406.75</v>
      </c>
      <c r="H944" s="1" t="s">
        <v>6</v>
      </c>
      <c r="I944" s="1" t="s">
        <v>38</v>
      </c>
      <c r="J944" s="1">
        <v>42425.789282407408</v>
      </c>
      <c r="K944" s="1" t="s">
        <v>701</v>
      </c>
      <c r="L944" s="14">
        <f>24*(TblTimeSheet[[#This Row],[End Date and Time]]-TblTimeSheet[[#This Row],[Start Date and Time]])</f>
        <v>0.99999999994179234</v>
      </c>
      <c r="M9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44">
        <f>--(0&gt;(TblTimeSheet[[#This Row],[End Date and Time]]-TblTimeSheet[[#This Row],[Start Date and Time]]))</f>
        <v>0</v>
      </c>
    </row>
    <row r="945" spans="1:14" x14ac:dyDescent="0.25">
      <c r="A945" s="1"/>
      <c r="B945" s="2" t="s">
        <v>697</v>
      </c>
      <c r="C945" s="2" t="s">
        <v>124</v>
      </c>
      <c r="D945" s="2" t="s">
        <v>32</v>
      </c>
      <c r="E945" s="7" t="s">
        <v>1275</v>
      </c>
      <c r="F945" s="37">
        <v>42391.416666666664</v>
      </c>
      <c r="G945" s="37">
        <v>42391.5</v>
      </c>
      <c r="H945" s="1" t="s">
        <v>6</v>
      </c>
      <c r="I945" s="1" t="s">
        <v>38</v>
      </c>
      <c r="J945" s="1">
        <v>42425.79414351852</v>
      </c>
      <c r="K945" s="1" t="s">
        <v>2863</v>
      </c>
      <c r="L945" s="14">
        <f>24*(TblTimeSheet[[#This Row],[End Date and Time]]-TblTimeSheet[[#This Row],[Start Date and Time]])</f>
        <v>2.0000000000582077</v>
      </c>
      <c r="M9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5">
        <f>--(0&gt;(TblTimeSheet[[#This Row],[End Date and Time]]-TblTimeSheet[[#This Row],[Start Date and Time]]))</f>
        <v>0</v>
      </c>
    </row>
    <row r="946" spans="1:14" x14ac:dyDescent="0.25">
      <c r="A946" s="1"/>
      <c r="B946" s="2" t="s">
        <v>697</v>
      </c>
      <c r="C946" s="2" t="s">
        <v>171</v>
      </c>
      <c r="D946" s="2" t="s">
        <v>33</v>
      </c>
      <c r="E946" s="7" t="s">
        <v>1277</v>
      </c>
      <c r="F946" s="37">
        <v>42426.388888888891</v>
      </c>
      <c r="G946" s="37">
        <v>42426.416666666664</v>
      </c>
      <c r="H946" s="1" t="s">
        <v>6</v>
      </c>
      <c r="I946" s="1" t="s">
        <v>38</v>
      </c>
      <c r="J946" s="1">
        <v>42426.410729166666</v>
      </c>
      <c r="K946" s="1" t="s">
        <v>171</v>
      </c>
      <c r="L946" s="14">
        <f>24*(TblTimeSheet[[#This Row],[End Date and Time]]-TblTimeSheet[[#This Row],[Start Date and Time]])</f>
        <v>0.6666666665696539</v>
      </c>
      <c r="M9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6">
        <f>--(0&gt;(TblTimeSheet[[#This Row],[End Date and Time]]-TblTimeSheet[[#This Row],[Start Date and Time]]))</f>
        <v>0</v>
      </c>
    </row>
    <row r="947" spans="1:14" x14ac:dyDescent="0.25">
      <c r="A947" s="1"/>
      <c r="B947" s="2" t="s">
        <v>697</v>
      </c>
      <c r="C947" s="2" t="s">
        <v>116</v>
      </c>
      <c r="D947" s="2" t="s">
        <v>33</v>
      </c>
      <c r="E947" s="7" t="s">
        <v>449</v>
      </c>
      <c r="F947" s="37">
        <v>42426.416666666664</v>
      </c>
      <c r="G947" s="37">
        <v>42426.430555555555</v>
      </c>
      <c r="H947" s="1" t="s">
        <v>6</v>
      </c>
      <c r="I947" s="1" t="s">
        <v>38</v>
      </c>
      <c r="J947" s="1">
        <v>42434.503819444442</v>
      </c>
      <c r="K947" s="1" t="s">
        <v>2863</v>
      </c>
      <c r="L947" s="14">
        <f>24*(TblTimeSheet[[#This Row],[End Date and Time]]-TblTimeSheet[[#This Row],[Start Date and Time]])</f>
        <v>0.33333333337213844</v>
      </c>
      <c r="M9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47">
        <f>--(0&gt;(TblTimeSheet[[#This Row],[End Date and Time]]-TblTimeSheet[[#This Row],[Start Date and Time]]))</f>
        <v>0</v>
      </c>
    </row>
    <row r="948" spans="1:14" x14ac:dyDescent="0.25">
      <c r="A948" s="1"/>
      <c r="B948" s="2" t="s">
        <v>697</v>
      </c>
      <c r="C948" s="2" t="s">
        <v>143</v>
      </c>
      <c r="D948" s="2" t="s">
        <v>33</v>
      </c>
      <c r="E948" s="7" t="s">
        <v>1276</v>
      </c>
      <c r="F948" s="37">
        <v>42426.416666666664</v>
      </c>
      <c r="G948" s="37">
        <v>42426.430555555555</v>
      </c>
      <c r="H948" s="1" t="s">
        <v>6</v>
      </c>
      <c r="I948" s="1" t="s">
        <v>38</v>
      </c>
      <c r="J948" s="1">
        <v>42443.719849537039</v>
      </c>
      <c r="K948" s="1" t="s">
        <v>143</v>
      </c>
      <c r="L948" s="14">
        <f>24*(TblTimeSheet[[#This Row],[End Date and Time]]-TblTimeSheet[[#This Row],[Start Date and Time]])</f>
        <v>0.33333333337213844</v>
      </c>
      <c r="M9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8">
        <f>--(0&gt;(TblTimeSheet[[#This Row],[End Date and Time]]-TblTimeSheet[[#This Row],[Start Date and Time]]))</f>
        <v>0</v>
      </c>
    </row>
    <row r="949" spans="1:14" x14ac:dyDescent="0.25">
      <c r="A949" s="1"/>
      <c r="B949" s="2" t="s">
        <v>697</v>
      </c>
      <c r="C949" s="2" t="s">
        <v>118</v>
      </c>
      <c r="D949" s="2" t="s">
        <v>33</v>
      </c>
      <c r="E949" s="7" t="s">
        <v>1821</v>
      </c>
      <c r="F949" s="37">
        <v>42426.416666666664</v>
      </c>
      <c r="G949" s="37">
        <v>42426.430555555555</v>
      </c>
      <c r="H949" s="1" t="s">
        <v>6</v>
      </c>
      <c r="I949" s="1" t="s">
        <v>38</v>
      </c>
      <c r="J949" s="1">
        <v>42426.431805555556</v>
      </c>
      <c r="K949" s="1" t="s">
        <v>118</v>
      </c>
      <c r="L949" s="14">
        <f>24*(TblTimeSheet[[#This Row],[End Date and Time]]-TblTimeSheet[[#This Row],[Start Date and Time]])</f>
        <v>0.33333333337213844</v>
      </c>
      <c r="M9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49">
        <f>--(0&gt;(TblTimeSheet[[#This Row],[End Date and Time]]-TblTimeSheet[[#This Row],[Start Date and Time]]))</f>
        <v>0</v>
      </c>
    </row>
    <row r="950" spans="1:14" x14ac:dyDescent="0.25">
      <c r="A950" s="1"/>
      <c r="B950" s="2" t="s">
        <v>697</v>
      </c>
      <c r="C950" s="2" t="s">
        <v>116</v>
      </c>
      <c r="D950" s="2" t="s">
        <v>33</v>
      </c>
      <c r="E950" s="7" t="s">
        <v>456</v>
      </c>
      <c r="F950" s="37">
        <v>42426.416666666664</v>
      </c>
      <c r="G950" s="37">
        <v>42426.430555555555</v>
      </c>
      <c r="H950" s="1" t="s">
        <v>6</v>
      </c>
      <c r="I950" s="1" t="s">
        <v>38</v>
      </c>
      <c r="J950" s="1">
        <v>42426.43241898148</v>
      </c>
      <c r="K950" s="1" t="s">
        <v>1026</v>
      </c>
      <c r="L950" s="14">
        <f>24*(TblTimeSheet[[#This Row],[End Date and Time]]-TblTimeSheet[[#This Row],[Start Date and Time]])</f>
        <v>0.33333333337213844</v>
      </c>
      <c r="M9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50">
        <f>--(0&gt;(TblTimeSheet[[#This Row],[End Date and Time]]-TblTimeSheet[[#This Row],[Start Date and Time]]))</f>
        <v>0</v>
      </c>
    </row>
    <row r="951" spans="1:14" x14ac:dyDescent="0.25">
      <c r="A951" s="1"/>
      <c r="B951" s="2" t="s">
        <v>697</v>
      </c>
      <c r="C951" s="2" t="s">
        <v>43</v>
      </c>
      <c r="D951" s="2" t="s">
        <v>33</v>
      </c>
      <c r="E951" s="7" t="s">
        <v>1822</v>
      </c>
      <c r="F951" s="37">
        <v>42426.416666666664</v>
      </c>
      <c r="G951" s="37">
        <v>42426.430555555555</v>
      </c>
      <c r="H951" s="1" t="s">
        <v>6</v>
      </c>
      <c r="I951" s="1" t="s">
        <v>38</v>
      </c>
      <c r="J951" s="1">
        <v>42426.432569444441</v>
      </c>
      <c r="K951" s="1" t="s">
        <v>43</v>
      </c>
      <c r="L951" s="14">
        <f>24*(TblTimeSheet[[#This Row],[End Date and Time]]-TblTimeSheet[[#This Row],[Start Date and Time]])</f>
        <v>0.33333333337213844</v>
      </c>
      <c r="M9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1">
        <f>--(0&gt;(TblTimeSheet[[#This Row],[End Date and Time]]-TblTimeSheet[[#This Row],[Start Date and Time]]))</f>
        <v>0</v>
      </c>
    </row>
    <row r="952" spans="1:14" x14ac:dyDescent="0.25">
      <c r="A952" s="1"/>
      <c r="B952" s="2" t="s">
        <v>697</v>
      </c>
      <c r="C952" s="2" t="s">
        <v>124</v>
      </c>
      <c r="D952" s="2" t="s">
        <v>33</v>
      </c>
      <c r="E952" s="7" t="s">
        <v>1277</v>
      </c>
      <c r="F952" s="37">
        <v>42426.388888888891</v>
      </c>
      <c r="G952" s="37">
        <v>42426.416666666664</v>
      </c>
      <c r="H952" s="1" t="s">
        <v>6</v>
      </c>
      <c r="I952" s="1" t="s">
        <v>38</v>
      </c>
      <c r="J952" s="1">
        <v>42426.432592592595</v>
      </c>
      <c r="K952" s="1" t="s">
        <v>2863</v>
      </c>
      <c r="L952" s="14">
        <f>24*(TblTimeSheet[[#This Row],[End Date and Time]]-TblTimeSheet[[#This Row],[Start Date and Time]])</f>
        <v>0.6666666665696539</v>
      </c>
      <c r="M9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2">
        <f>--(0&gt;(TblTimeSheet[[#This Row],[End Date and Time]]-TblTimeSheet[[#This Row],[Start Date and Time]]))</f>
        <v>0</v>
      </c>
    </row>
    <row r="953" spans="1:14" x14ac:dyDescent="0.25">
      <c r="A953" s="1"/>
      <c r="B953" s="2" t="s">
        <v>697</v>
      </c>
      <c r="C953" s="2" t="s">
        <v>124</v>
      </c>
      <c r="D953" s="2" t="s">
        <v>33</v>
      </c>
      <c r="E953" s="7" t="s">
        <v>1278</v>
      </c>
      <c r="F953" s="37">
        <v>42426.416666666664</v>
      </c>
      <c r="G953" s="37">
        <v>42426.430555555555</v>
      </c>
      <c r="H953" s="1" t="s">
        <v>6</v>
      </c>
      <c r="I953" s="1" t="s">
        <v>38</v>
      </c>
      <c r="J953" s="1">
        <v>42426.433634259258</v>
      </c>
      <c r="K953" s="1" t="s">
        <v>2863</v>
      </c>
      <c r="L953" s="14">
        <f>24*(TblTimeSheet[[#This Row],[End Date and Time]]-TblTimeSheet[[#This Row],[Start Date and Time]])</f>
        <v>0.33333333337213844</v>
      </c>
      <c r="M9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3">
        <f>--(0&gt;(TblTimeSheet[[#This Row],[End Date and Time]]-TblTimeSheet[[#This Row],[Start Date and Time]]))</f>
        <v>0</v>
      </c>
    </row>
    <row r="954" spans="1:14" x14ac:dyDescent="0.25">
      <c r="A954" s="1"/>
      <c r="B954" s="2" t="s">
        <v>697</v>
      </c>
      <c r="C954" s="2" t="s">
        <v>143</v>
      </c>
      <c r="D954" s="2" t="s">
        <v>34</v>
      </c>
      <c r="E954" s="7" t="s">
        <v>1279</v>
      </c>
      <c r="F954" s="37">
        <v>42426.385416666664</v>
      </c>
      <c r="G954" s="37">
        <v>42426.416666666664</v>
      </c>
      <c r="H954" s="1" t="s">
        <v>6</v>
      </c>
      <c r="I954" s="1" t="s">
        <v>38</v>
      </c>
      <c r="J954" s="1">
        <v>42443.718888888892</v>
      </c>
      <c r="K954" s="1" t="s">
        <v>143</v>
      </c>
      <c r="L954" s="14">
        <f>24*(TblTimeSheet[[#This Row],[End Date and Time]]-TblTimeSheet[[#This Row],[Start Date and Time]])</f>
        <v>0.75</v>
      </c>
      <c r="M9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4">
        <f>--(0&gt;(TblTimeSheet[[#This Row],[End Date and Time]]-TblTimeSheet[[#This Row],[Start Date and Time]]))</f>
        <v>0</v>
      </c>
    </row>
    <row r="955" spans="1:14" x14ac:dyDescent="0.25">
      <c r="A955" s="1"/>
      <c r="B955" s="2" t="s">
        <v>911</v>
      </c>
      <c r="C955" s="2" t="s">
        <v>116</v>
      </c>
      <c r="D955" s="2" t="s">
        <v>20</v>
      </c>
      <c r="E955" s="7" t="s">
        <v>1280</v>
      </c>
      <c r="F955" s="37">
        <v>42426.496527777781</v>
      </c>
      <c r="G955" s="37">
        <v>42426.510416666664</v>
      </c>
      <c r="H955" s="1" t="s">
        <v>6</v>
      </c>
      <c r="I955" s="1" t="s">
        <v>38</v>
      </c>
      <c r="J955" s="1">
        <v>42426.511122685188</v>
      </c>
      <c r="K955" s="1" t="s">
        <v>701</v>
      </c>
      <c r="L955" s="14">
        <f>24*(TblTimeSheet[[#This Row],[End Date and Time]]-TblTimeSheet[[#This Row],[Start Date and Time]])</f>
        <v>0.33333333319751546</v>
      </c>
      <c r="M9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55">
        <f>--(0&gt;(TblTimeSheet[[#This Row],[End Date and Time]]-TblTimeSheet[[#This Row],[Start Date and Time]]))</f>
        <v>0</v>
      </c>
    </row>
    <row r="956" spans="1:14" x14ac:dyDescent="0.25">
      <c r="A956" s="1"/>
      <c r="B956" s="2" t="s">
        <v>913</v>
      </c>
      <c r="C956" s="2" t="s">
        <v>43</v>
      </c>
      <c r="D956" s="2" t="s">
        <v>19</v>
      </c>
      <c r="E956" s="7" t="s">
        <v>1281</v>
      </c>
      <c r="F956" s="37">
        <v>42426.479166666664</v>
      </c>
      <c r="G956" s="37">
        <v>42426.486111111109</v>
      </c>
      <c r="H956" s="1" t="s">
        <v>6</v>
      </c>
      <c r="I956" s="1" t="s">
        <v>38</v>
      </c>
      <c r="J956" s="1">
        <v>42426.519247685188</v>
      </c>
      <c r="K956" s="1" t="s">
        <v>43</v>
      </c>
      <c r="L956" s="14">
        <f>24*(TblTimeSheet[[#This Row],[End Date and Time]]-TblTimeSheet[[#This Row],[Start Date and Time]])</f>
        <v>0.16666666668606922</v>
      </c>
      <c r="M9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6">
        <f>--(0&gt;(TblTimeSheet[[#This Row],[End Date and Time]]-TblTimeSheet[[#This Row],[Start Date and Time]]))</f>
        <v>0</v>
      </c>
    </row>
    <row r="957" spans="1:14" x14ac:dyDescent="0.25">
      <c r="A957" s="1"/>
      <c r="B957" s="2" t="s">
        <v>913</v>
      </c>
      <c r="C957" s="2" t="s">
        <v>116</v>
      </c>
      <c r="D957" s="2" t="s">
        <v>19</v>
      </c>
      <c r="E957" s="7" t="s">
        <v>1282</v>
      </c>
      <c r="F957" s="37">
        <v>42426.479166666664</v>
      </c>
      <c r="G957" s="37">
        <v>42426.486111111109</v>
      </c>
      <c r="H957" s="1" t="s">
        <v>6</v>
      </c>
      <c r="I957" s="1" t="s">
        <v>38</v>
      </c>
      <c r="J957" s="1">
        <v>42426.519270833334</v>
      </c>
      <c r="K957" s="1" t="s">
        <v>39</v>
      </c>
      <c r="L957" s="14">
        <f>24*(TblTimeSheet[[#This Row],[End Date and Time]]-TblTimeSheet[[#This Row],[Start Date and Time]])</f>
        <v>0.16666666668606922</v>
      </c>
      <c r="M9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7">
        <f>--(0&gt;(TblTimeSheet[[#This Row],[End Date and Time]]-TblTimeSheet[[#This Row],[Start Date and Time]]))</f>
        <v>0</v>
      </c>
    </row>
    <row r="958" spans="1:14" x14ac:dyDescent="0.25">
      <c r="A958" s="1"/>
      <c r="B958" s="2" t="s">
        <v>913</v>
      </c>
      <c r="C958" s="2" t="s">
        <v>43</v>
      </c>
      <c r="D958" s="2" t="s">
        <v>19</v>
      </c>
      <c r="E958" s="7" t="s">
        <v>1283</v>
      </c>
      <c r="F958" s="37">
        <v>42426.506944444445</v>
      </c>
      <c r="G958" s="37">
        <v>42426.520833333336</v>
      </c>
      <c r="H958" s="1" t="s">
        <v>6</v>
      </c>
      <c r="I958" s="1" t="s">
        <v>38</v>
      </c>
      <c r="J958" s="1">
        <v>42426.524293981478</v>
      </c>
      <c r="K958" s="1" t="s">
        <v>43</v>
      </c>
      <c r="L958" s="14">
        <f>24*(TblTimeSheet[[#This Row],[End Date and Time]]-TblTimeSheet[[#This Row],[Start Date and Time]])</f>
        <v>0.33333333337213844</v>
      </c>
      <c r="M9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58">
        <f>--(0&gt;(TblTimeSheet[[#This Row],[End Date and Time]]-TblTimeSheet[[#This Row],[Start Date and Time]]))</f>
        <v>0</v>
      </c>
    </row>
    <row r="959" spans="1:14" x14ac:dyDescent="0.25">
      <c r="A959" s="1"/>
      <c r="B959" s="2" t="s">
        <v>913</v>
      </c>
      <c r="C959" s="2" t="s">
        <v>116</v>
      </c>
      <c r="D959" s="2" t="s">
        <v>19</v>
      </c>
      <c r="E959" s="7" t="s">
        <v>1284</v>
      </c>
      <c r="F959" s="37">
        <v>42426.506944444445</v>
      </c>
      <c r="G959" s="37">
        <v>42426.520833333336</v>
      </c>
      <c r="H959" s="1" t="s">
        <v>6</v>
      </c>
      <c r="I959" s="1" t="s">
        <v>38</v>
      </c>
      <c r="J959" s="1">
        <v>42426.524502314816</v>
      </c>
      <c r="K959" s="1" t="s">
        <v>39</v>
      </c>
      <c r="L959" s="14">
        <f>24*(TblTimeSheet[[#This Row],[End Date and Time]]-TblTimeSheet[[#This Row],[Start Date and Time]])</f>
        <v>0.33333333337213844</v>
      </c>
      <c r="M9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59">
        <f>--(0&gt;(TblTimeSheet[[#This Row],[End Date and Time]]-TblTimeSheet[[#This Row],[Start Date and Time]]))</f>
        <v>0</v>
      </c>
    </row>
    <row r="960" spans="1:14" x14ac:dyDescent="0.25">
      <c r="A960" s="1"/>
      <c r="B960" s="2" t="s">
        <v>913</v>
      </c>
      <c r="C960" s="2" t="s">
        <v>36</v>
      </c>
      <c r="D960" s="2" t="s">
        <v>19</v>
      </c>
      <c r="E960" s="7" t="s">
        <v>1823</v>
      </c>
      <c r="F960" s="37">
        <v>42426.479166666664</v>
      </c>
      <c r="G960" s="37">
        <v>42426.486111111109</v>
      </c>
      <c r="H960" s="1" t="s">
        <v>6</v>
      </c>
      <c r="I960" s="1" t="s">
        <v>38</v>
      </c>
      <c r="J960" s="1">
        <v>42426.52684027778</v>
      </c>
      <c r="K960" s="1" t="s">
        <v>36</v>
      </c>
      <c r="L960" s="14">
        <f>24*(TblTimeSheet[[#This Row],[End Date and Time]]-TblTimeSheet[[#This Row],[Start Date and Time]])</f>
        <v>0.16666666668606922</v>
      </c>
      <c r="M9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0">
        <f>--(0&gt;(TblTimeSheet[[#This Row],[End Date and Time]]-TblTimeSheet[[#This Row],[Start Date and Time]]))</f>
        <v>0</v>
      </c>
    </row>
    <row r="961" spans="1:14" x14ac:dyDescent="0.25">
      <c r="A961" s="1"/>
      <c r="B961" s="2" t="s">
        <v>911</v>
      </c>
      <c r="C961" s="2" t="s">
        <v>171</v>
      </c>
      <c r="D961" s="2" t="s">
        <v>20</v>
      </c>
      <c r="E961" s="7" t="s">
        <v>1142</v>
      </c>
      <c r="F961" s="37">
        <v>42426.513888888891</v>
      </c>
      <c r="G961" s="37">
        <v>42426.527777777781</v>
      </c>
      <c r="H961" s="1" t="s">
        <v>6</v>
      </c>
      <c r="I961" s="1" t="s">
        <v>38</v>
      </c>
      <c r="J961" s="1">
        <v>42426.530057870368</v>
      </c>
      <c r="K961" s="1" t="s">
        <v>171</v>
      </c>
      <c r="L961" s="14">
        <f>24*(TblTimeSheet[[#This Row],[End Date and Time]]-TblTimeSheet[[#This Row],[Start Date and Time]])</f>
        <v>0.33333333337213844</v>
      </c>
      <c r="M9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1">
        <f>--(0&gt;(TblTimeSheet[[#This Row],[End Date and Time]]-TblTimeSheet[[#This Row],[Start Date and Time]]))</f>
        <v>0</v>
      </c>
    </row>
    <row r="962" spans="1:14" x14ac:dyDescent="0.25">
      <c r="A962" s="1"/>
      <c r="B962" s="2" t="s">
        <v>911</v>
      </c>
      <c r="C962" s="2" t="s">
        <v>1117</v>
      </c>
      <c r="D962" s="2" t="s">
        <v>20</v>
      </c>
      <c r="E962" s="7" t="s">
        <v>1285</v>
      </c>
      <c r="F962" s="37">
        <v>42426.496527777781</v>
      </c>
      <c r="G962" s="37">
        <v>42426.510416666664</v>
      </c>
      <c r="H962" s="1" t="s">
        <v>6</v>
      </c>
      <c r="I962" s="1" t="s">
        <v>38</v>
      </c>
      <c r="J962" s="1">
        <v>42426.532557870371</v>
      </c>
      <c r="K962" s="1" t="s">
        <v>2865</v>
      </c>
      <c r="L962" s="14">
        <f>24*(TblTimeSheet[[#This Row],[End Date and Time]]-TblTimeSheet[[#This Row],[Start Date and Time]])</f>
        <v>0.33333333319751546</v>
      </c>
      <c r="M9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2">
        <f>--(0&gt;(TblTimeSheet[[#This Row],[End Date and Time]]-TblTimeSheet[[#This Row],[Start Date and Time]]))</f>
        <v>0</v>
      </c>
    </row>
    <row r="963" spans="1:14" x14ac:dyDescent="0.25">
      <c r="A963" s="1"/>
      <c r="B963" s="2" t="s">
        <v>911</v>
      </c>
      <c r="C963" s="2" t="s">
        <v>1117</v>
      </c>
      <c r="D963" s="2" t="s">
        <v>20</v>
      </c>
      <c r="E963" s="7" t="s">
        <v>1824</v>
      </c>
      <c r="F963" s="37">
        <v>42426.375</v>
      </c>
      <c r="G963" s="37">
        <v>42426.395833333336</v>
      </c>
      <c r="H963" s="1" t="s">
        <v>6</v>
      </c>
      <c r="I963" s="1" t="s">
        <v>38</v>
      </c>
      <c r="J963" s="1">
        <v>42426.533090277779</v>
      </c>
      <c r="K963" s="1" t="s">
        <v>2865</v>
      </c>
      <c r="L963" s="14">
        <f>24*(TblTimeSheet[[#This Row],[End Date and Time]]-TblTimeSheet[[#This Row],[Start Date and Time]])</f>
        <v>0.50000000005820766</v>
      </c>
      <c r="M9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3">
        <f>--(0&gt;(TblTimeSheet[[#This Row],[End Date and Time]]-TblTimeSheet[[#This Row],[Start Date and Time]]))</f>
        <v>0</v>
      </c>
    </row>
    <row r="964" spans="1:14" x14ac:dyDescent="0.25">
      <c r="A964" s="1"/>
      <c r="B964" s="2" t="s">
        <v>913</v>
      </c>
      <c r="C964" s="2" t="s">
        <v>171</v>
      </c>
      <c r="D964" s="2" t="s">
        <v>19</v>
      </c>
      <c r="E964" s="7" t="s">
        <v>1286</v>
      </c>
      <c r="F964" s="37">
        <v>42426.479166666664</v>
      </c>
      <c r="G964" s="37">
        <v>42426.486111111109</v>
      </c>
      <c r="H964" s="1" t="s">
        <v>6</v>
      </c>
      <c r="I964" s="1" t="s">
        <v>38</v>
      </c>
      <c r="J964" s="1">
        <v>42426.533113425925</v>
      </c>
      <c r="K964" s="1" t="s">
        <v>171</v>
      </c>
      <c r="L964" s="14">
        <f>24*(TblTimeSheet[[#This Row],[End Date and Time]]-TblTimeSheet[[#This Row],[Start Date and Time]])</f>
        <v>0.16666666668606922</v>
      </c>
      <c r="M9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4">
        <f>--(0&gt;(TblTimeSheet[[#This Row],[End Date and Time]]-TblTimeSheet[[#This Row],[Start Date and Time]]))</f>
        <v>0</v>
      </c>
    </row>
    <row r="965" spans="1:14" ht="30" x14ac:dyDescent="0.25">
      <c r="A965" s="1"/>
      <c r="B965" s="2" t="s">
        <v>911</v>
      </c>
      <c r="C965" s="2" t="s">
        <v>1117</v>
      </c>
      <c r="D965" s="2" t="s">
        <v>20</v>
      </c>
      <c r="E965" s="7" t="s">
        <v>1287</v>
      </c>
      <c r="F965" s="37">
        <v>42426.513888888891</v>
      </c>
      <c r="G965" s="37">
        <v>42426.541666666664</v>
      </c>
      <c r="H965" s="1" t="s">
        <v>6</v>
      </c>
      <c r="I965" s="1" t="s">
        <v>38</v>
      </c>
      <c r="J965" s="1">
        <v>42450.389224537037</v>
      </c>
      <c r="K965" s="1" t="s">
        <v>2865</v>
      </c>
      <c r="L965" s="14">
        <f>24*(TblTimeSheet[[#This Row],[End Date and Time]]-TblTimeSheet[[#This Row],[Start Date and Time]])</f>
        <v>0.6666666665696539</v>
      </c>
      <c r="M9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5">
        <f>--(0&gt;(TblTimeSheet[[#This Row],[End Date and Time]]-TblTimeSheet[[#This Row],[Start Date and Time]]))</f>
        <v>0</v>
      </c>
    </row>
    <row r="966" spans="1:14" x14ac:dyDescent="0.25">
      <c r="A966" s="1"/>
      <c r="B966" s="2" t="s">
        <v>911</v>
      </c>
      <c r="C966" s="2" t="s">
        <v>116</v>
      </c>
      <c r="D966" s="2" t="s">
        <v>20</v>
      </c>
      <c r="E966" s="7" t="s">
        <v>1288</v>
      </c>
      <c r="F966" s="37">
        <v>42426.513888888891</v>
      </c>
      <c r="G966" s="37">
        <v>42426.534722222219</v>
      </c>
      <c r="H966" s="1" t="s">
        <v>6</v>
      </c>
      <c r="I966" s="1" t="s">
        <v>38</v>
      </c>
      <c r="J966" s="1">
        <v>42426.535752314812</v>
      </c>
      <c r="K966" s="1" t="s">
        <v>701</v>
      </c>
      <c r="L966" s="14">
        <f>24*(TblTimeSheet[[#This Row],[End Date and Time]]-TblTimeSheet[[#This Row],[Start Date and Time]])</f>
        <v>0.49999999988358468</v>
      </c>
      <c r="M9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66">
        <f>--(0&gt;(TblTimeSheet[[#This Row],[End Date and Time]]-TblTimeSheet[[#This Row],[Start Date and Time]]))</f>
        <v>0</v>
      </c>
    </row>
    <row r="967" spans="1:14" x14ac:dyDescent="0.25">
      <c r="A967" s="1"/>
      <c r="B967" s="2" t="s">
        <v>697</v>
      </c>
      <c r="C967" s="2" t="s">
        <v>143</v>
      </c>
      <c r="D967" s="2" t="s">
        <v>34</v>
      </c>
      <c r="E967" s="7" t="s">
        <v>1289</v>
      </c>
      <c r="F967" s="37">
        <v>42426.4375</v>
      </c>
      <c r="G967" s="37">
        <v>42426.541666666664</v>
      </c>
      <c r="H967" s="1" t="s">
        <v>6</v>
      </c>
      <c r="I967" s="1" t="s">
        <v>38</v>
      </c>
      <c r="J967" s="1">
        <v>42443.719305555554</v>
      </c>
      <c r="K967" s="1" t="s">
        <v>143</v>
      </c>
      <c r="L967" s="14">
        <f>24*(TblTimeSheet[[#This Row],[End Date and Time]]-TblTimeSheet[[#This Row],[Start Date and Time]])</f>
        <v>2.4999999999417923</v>
      </c>
      <c r="M9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7">
        <f>--(0&gt;(TblTimeSheet[[#This Row],[End Date and Time]]-TblTimeSheet[[#This Row],[Start Date and Time]]))</f>
        <v>0</v>
      </c>
    </row>
    <row r="968" spans="1:14" x14ac:dyDescent="0.25">
      <c r="A968" s="1"/>
      <c r="B968" s="2" t="s">
        <v>911</v>
      </c>
      <c r="C968" s="2" t="s">
        <v>116</v>
      </c>
      <c r="D968" s="2" t="s">
        <v>20</v>
      </c>
      <c r="E968" s="7" t="s">
        <v>1290</v>
      </c>
      <c r="F968" s="37">
        <v>42426.541666666664</v>
      </c>
      <c r="G968" s="37">
        <v>42426.572916666664</v>
      </c>
      <c r="H968" s="1" t="s">
        <v>6</v>
      </c>
      <c r="I968" s="1" t="s">
        <v>38</v>
      </c>
      <c r="J968" s="1">
        <v>42448.481226851851</v>
      </c>
      <c r="K968" s="1" t="s">
        <v>39</v>
      </c>
      <c r="L968" s="14">
        <f>24*(TblTimeSheet[[#This Row],[End Date and Time]]-TblTimeSheet[[#This Row],[Start Date and Time]])</f>
        <v>0.75</v>
      </c>
      <c r="M9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68">
        <f>--(0&gt;(TblTimeSheet[[#This Row],[End Date and Time]]-TblTimeSheet[[#This Row],[Start Date and Time]]))</f>
        <v>0</v>
      </c>
    </row>
    <row r="969" spans="1:14" x14ac:dyDescent="0.25">
      <c r="A969" s="1"/>
      <c r="B969" s="2" t="s">
        <v>911</v>
      </c>
      <c r="C969" s="2" t="s">
        <v>1105</v>
      </c>
      <c r="D969" s="2" t="s">
        <v>19</v>
      </c>
      <c r="E969" s="7" t="s">
        <v>1291</v>
      </c>
      <c r="F969" s="37">
        <v>42423.729166666664</v>
      </c>
      <c r="G969" s="37">
        <v>42423.743055555555</v>
      </c>
      <c r="H969" s="1" t="s">
        <v>6</v>
      </c>
      <c r="I969" s="1" t="s">
        <v>38</v>
      </c>
      <c r="J969" s="1">
        <v>42447.530914351853</v>
      </c>
      <c r="K969" s="1" t="s">
        <v>2864</v>
      </c>
      <c r="L969" s="14">
        <f>24*(TblTimeSheet[[#This Row],[End Date and Time]]-TblTimeSheet[[#This Row],[Start Date and Time]])</f>
        <v>0.33333333337213844</v>
      </c>
      <c r="M9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69">
        <f>--(0&gt;(TblTimeSheet[[#This Row],[End Date and Time]]-TblTimeSheet[[#This Row],[Start Date and Time]]))</f>
        <v>0</v>
      </c>
    </row>
    <row r="970" spans="1:14" x14ac:dyDescent="0.25">
      <c r="A970" s="1"/>
      <c r="B970" s="2" t="s">
        <v>911</v>
      </c>
      <c r="C970" s="2" t="s">
        <v>41</v>
      </c>
      <c r="D970" s="2" t="s">
        <v>19</v>
      </c>
      <c r="E970" s="7" t="s">
        <v>1292</v>
      </c>
      <c r="F970" s="37">
        <v>42423.729166666664</v>
      </c>
      <c r="G970" s="37">
        <v>42423.743055555555</v>
      </c>
      <c r="H970" s="1" t="s">
        <v>6</v>
      </c>
      <c r="I970" s="1" t="s">
        <v>38</v>
      </c>
      <c r="J970" s="1">
        <v>42447.530185185184</v>
      </c>
      <c r="K970" s="1" t="s">
        <v>41</v>
      </c>
      <c r="L970" s="14">
        <f>24*(TblTimeSheet[[#This Row],[End Date and Time]]-TblTimeSheet[[#This Row],[Start Date and Time]])</f>
        <v>0.33333333337213844</v>
      </c>
      <c r="M9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0">
        <f>--(0&gt;(TblTimeSheet[[#This Row],[End Date and Time]]-TblTimeSheet[[#This Row],[Start Date and Time]]))</f>
        <v>0</v>
      </c>
    </row>
    <row r="971" spans="1:14" x14ac:dyDescent="0.25">
      <c r="A971" s="1"/>
      <c r="B971" s="2" t="s">
        <v>915</v>
      </c>
      <c r="C971" s="2" t="s">
        <v>116</v>
      </c>
      <c r="D971" s="2" t="s">
        <v>19</v>
      </c>
      <c r="E971" s="7" t="s">
        <v>1293</v>
      </c>
      <c r="F971" s="37">
        <v>42426.604166666664</v>
      </c>
      <c r="G971" s="37">
        <v>42426.625</v>
      </c>
      <c r="H971" s="1" t="s">
        <v>6</v>
      </c>
      <c r="I971" s="1" t="s">
        <v>38</v>
      </c>
      <c r="J971" s="1">
        <v>42426.626087962963</v>
      </c>
      <c r="K971" s="1" t="s">
        <v>39</v>
      </c>
      <c r="L971" s="14">
        <f>24*(TblTimeSheet[[#This Row],[End Date and Time]]-TblTimeSheet[[#This Row],[Start Date and Time]])</f>
        <v>0.50000000005820766</v>
      </c>
      <c r="M9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71">
        <f>--(0&gt;(TblTimeSheet[[#This Row],[End Date and Time]]-TblTimeSheet[[#This Row],[Start Date and Time]]))</f>
        <v>0</v>
      </c>
    </row>
    <row r="972" spans="1:14" x14ac:dyDescent="0.25">
      <c r="A972" s="1"/>
      <c r="B972" s="2" t="s">
        <v>915</v>
      </c>
      <c r="C972" s="2" t="s">
        <v>1117</v>
      </c>
      <c r="D972" s="2" t="s">
        <v>19</v>
      </c>
      <c r="E972" s="7" t="s">
        <v>1294</v>
      </c>
      <c r="F972" s="37">
        <v>42426.604166666664</v>
      </c>
      <c r="G972" s="37">
        <v>42426.625</v>
      </c>
      <c r="H972" s="1" t="s">
        <v>6</v>
      </c>
      <c r="I972" s="1" t="s">
        <v>38</v>
      </c>
      <c r="J972" s="1">
        <v>42426.628495370373</v>
      </c>
      <c r="K972" s="1" t="s">
        <v>2865</v>
      </c>
      <c r="L972" s="14">
        <f>24*(TblTimeSheet[[#This Row],[End Date and Time]]-TblTimeSheet[[#This Row],[Start Date and Time]])</f>
        <v>0.50000000005820766</v>
      </c>
      <c r="M9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2">
        <f>--(0&gt;(TblTimeSheet[[#This Row],[End Date and Time]]-TblTimeSheet[[#This Row],[Start Date and Time]]))</f>
        <v>0</v>
      </c>
    </row>
    <row r="973" spans="1:14" x14ac:dyDescent="0.25">
      <c r="A973" s="1"/>
      <c r="B973" s="2" t="s">
        <v>915</v>
      </c>
      <c r="C973" s="2" t="s">
        <v>116</v>
      </c>
      <c r="D973" s="2" t="s">
        <v>19</v>
      </c>
      <c r="E973" s="7" t="s">
        <v>1295</v>
      </c>
      <c r="F973" s="37">
        <v>42426.604166666664</v>
      </c>
      <c r="G973" s="37">
        <v>42426.625</v>
      </c>
      <c r="H973" s="1" t="s">
        <v>6</v>
      </c>
      <c r="I973" s="1" t="s">
        <v>38</v>
      </c>
      <c r="J973" s="1">
        <v>42426.640856481485</v>
      </c>
      <c r="K973" s="1" t="s">
        <v>701</v>
      </c>
      <c r="L973" s="14">
        <f>24*(TblTimeSheet[[#This Row],[End Date and Time]]-TblTimeSheet[[#This Row],[Start Date and Time]])</f>
        <v>0.50000000005820766</v>
      </c>
      <c r="M9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73">
        <f>--(0&gt;(TblTimeSheet[[#This Row],[End Date and Time]]-TblTimeSheet[[#This Row],[Start Date and Time]]))</f>
        <v>0</v>
      </c>
    </row>
    <row r="974" spans="1:14" x14ac:dyDescent="0.25">
      <c r="A974" s="1"/>
      <c r="B974" s="2" t="s">
        <v>911</v>
      </c>
      <c r="C974" s="2" t="s">
        <v>116</v>
      </c>
      <c r="D974" s="2" t="s">
        <v>20</v>
      </c>
      <c r="E974" s="7" t="s">
        <v>1296</v>
      </c>
      <c r="F974" s="37">
        <v>42426.541666666664</v>
      </c>
      <c r="G974" s="37">
        <v>42426.572916666664</v>
      </c>
      <c r="H974" s="1" t="s">
        <v>6</v>
      </c>
      <c r="I974" s="1" t="s">
        <v>38</v>
      </c>
      <c r="J974" s="1">
        <v>42448.482037037036</v>
      </c>
      <c r="K974" s="1" t="s">
        <v>701</v>
      </c>
      <c r="L974" s="14">
        <f>24*(TblTimeSheet[[#This Row],[End Date and Time]]-TblTimeSheet[[#This Row],[Start Date and Time]])</f>
        <v>0.75</v>
      </c>
      <c r="M9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74">
        <f>--(0&gt;(TblTimeSheet[[#This Row],[End Date and Time]]-TblTimeSheet[[#This Row],[Start Date and Time]]))</f>
        <v>0</v>
      </c>
    </row>
    <row r="975" spans="1:14" x14ac:dyDescent="0.25">
      <c r="A975" s="1"/>
      <c r="B975" s="2" t="s">
        <v>915</v>
      </c>
      <c r="C975" s="2" t="s">
        <v>116</v>
      </c>
      <c r="D975" s="2" t="s">
        <v>19</v>
      </c>
      <c r="E975" s="7" t="s">
        <v>1825</v>
      </c>
      <c r="F975" s="37">
        <v>42426.604166666664</v>
      </c>
      <c r="G975" s="37">
        <v>42426.625</v>
      </c>
      <c r="H975" s="1" t="s">
        <v>6</v>
      </c>
      <c r="I975" s="1" t="s">
        <v>38</v>
      </c>
      <c r="J975" s="1">
        <v>42426.649652777778</v>
      </c>
      <c r="K975" s="1" t="s">
        <v>81</v>
      </c>
      <c r="L975" s="14">
        <f>24*(TblTimeSheet[[#This Row],[End Date and Time]]-TblTimeSheet[[#This Row],[Start Date and Time]])</f>
        <v>0.50000000005820766</v>
      </c>
      <c r="M9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75">
        <f>--(0&gt;(TblTimeSheet[[#This Row],[End Date and Time]]-TblTimeSheet[[#This Row],[Start Date and Time]]))</f>
        <v>0</v>
      </c>
    </row>
    <row r="976" spans="1:14" x14ac:dyDescent="0.25">
      <c r="A976" s="1"/>
      <c r="B976" s="2" t="s">
        <v>697</v>
      </c>
      <c r="C976" s="2" t="s">
        <v>124</v>
      </c>
      <c r="D976" s="2" t="s">
        <v>33</v>
      </c>
      <c r="E976" s="7" t="s">
        <v>1297</v>
      </c>
      <c r="F976" s="37">
        <v>42426.4375</v>
      </c>
      <c r="G976" s="37">
        <v>42426.541666666664</v>
      </c>
      <c r="H976" s="1" t="s">
        <v>6</v>
      </c>
      <c r="I976" s="1" t="s">
        <v>38</v>
      </c>
      <c r="J976" s="1">
        <v>42426.710266203707</v>
      </c>
      <c r="K976" s="1" t="s">
        <v>2863</v>
      </c>
      <c r="L976" s="14">
        <f>24*(TblTimeSheet[[#This Row],[End Date and Time]]-TblTimeSheet[[#This Row],[Start Date and Time]])</f>
        <v>2.4999999999417923</v>
      </c>
      <c r="M9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6">
        <f>--(0&gt;(TblTimeSheet[[#This Row],[End Date and Time]]-TblTimeSheet[[#This Row],[Start Date and Time]]))</f>
        <v>0</v>
      </c>
    </row>
    <row r="977" spans="1:14" ht="30" x14ac:dyDescent="0.25">
      <c r="A977" s="1"/>
      <c r="B977" s="2" t="s">
        <v>697</v>
      </c>
      <c r="C977" s="2" t="s">
        <v>124</v>
      </c>
      <c r="D977" s="2" t="s">
        <v>33</v>
      </c>
      <c r="E977" s="7" t="s">
        <v>1298</v>
      </c>
      <c r="F977" s="37">
        <v>42426.583333333336</v>
      </c>
      <c r="G977" s="37">
        <v>42426.708333333336</v>
      </c>
      <c r="H977" s="1" t="s">
        <v>6</v>
      </c>
      <c r="I977" s="1" t="s">
        <v>38</v>
      </c>
      <c r="J977" s="1">
        <v>42426.712083333332</v>
      </c>
      <c r="K977" s="1" t="s">
        <v>2863</v>
      </c>
      <c r="L977" s="14">
        <f>24*(TblTimeSheet[[#This Row],[End Date and Time]]-TblTimeSheet[[#This Row],[Start Date and Time]])</f>
        <v>3</v>
      </c>
      <c r="M9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7">
        <f>--(0&gt;(TblTimeSheet[[#This Row],[End Date and Time]]-TblTimeSheet[[#This Row],[Start Date and Time]]))</f>
        <v>0</v>
      </c>
    </row>
    <row r="978" spans="1:14" x14ac:dyDescent="0.25">
      <c r="A978" s="1"/>
      <c r="B978" s="2" t="s">
        <v>909</v>
      </c>
      <c r="C978" s="2" t="s">
        <v>118</v>
      </c>
      <c r="D978" s="2" t="s">
        <v>32</v>
      </c>
      <c r="E978" s="7" t="s">
        <v>1299</v>
      </c>
      <c r="F978" s="37">
        <v>42426.625</v>
      </c>
      <c r="G978" s="37">
        <v>42426.631944444445</v>
      </c>
      <c r="H978" s="1" t="s">
        <v>6</v>
      </c>
      <c r="I978" s="1" t="s">
        <v>38</v>
      </c>
      <c r="J978" s="1">
        <v>42426.715115740742</v>
      </c>
      <c r="K978" s="1" t="s">
        <v>118</v>
      </c>
      <c r="L978" s="14">
        <f>24*(TblTimeSheet[[#This Row],[End Date and Time]]-TblTimeSheet[[#This Row],[Start Date and Time]])</f>
        <v>0.16666666668606922</v>
      </c>
      <c r="M9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8">
        <f>--(0&gt;(TblTimeSheet[[#This Row],[End Date and Time]]-TblTimeSheet[[#This Row],[Start Date and Time]]))</f>
        <v>0</v>
      </c>
    </row>
    <row r="979" spans="1:14" x14ac:dyDescent="0.25">
      <c r="A979" s="1"/>
      <c r="B979" s="2" t="s">
        <v>913</v>
      </c>
      <c r="C979" s="2" t="s">
        <v>36</v>
      </c>
      <c r="D979" s="2" t="s">
        <v>19</v>
      </c>
      <c r="E979" s="7" t="s">
        <v>1300</v>
      </c>
      <c r="F979" s="37">
        <v>42426.645833333336</v>
      </c>
      <c r="G979" s="37">
        <v>42426.666666666664</v>
      </c>
      <c r="H979" s="1" t="s">
        <v>6</v>
      </c>
      <c r="I979" s="1" t="s">
        <v>38</v>
      </c>
      <c r="J979" s="1">
        <v>42426.729479166665</v>
      </c>
      <c r="K979" s="1" t="s">
        <v>36</v>
      </c>
      <c r="L979" s="14">
        <f>24*(TblTimeSheet[[#This Row],[End Date and Time]]-TblTimeSheet[[#This Row],[Start Date and Time]])</f>
        <v>0.49999999988358468</v>
      </c>
      <c r="M9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79">
        <f>--(0&gt;(TblTimeSheet[[#This Row],[End Date and Time]]-TblTimeSheet[[#This Row],[Start Date and Time]]))</f>
        <v>0</v>
      </c>
    </row>
    <row r="980" spans="1:14" x14ac:dyDescent="0.25">
      <c r="A980" s="1"/>
      <c r="B980" s="2" t="s">
        <v>915</v>
      </c>
      <c r="C980" s="2" t="s">
        <v>36</v>
      </c>
      <c r="D980" s="2" t="s">
        <v>19</v>
      </c>
      <c r="E980" s="7" t="s">
        <v>1301</v>
      </c>
      <c r="F980" s="37">
        <v>42426.604166666664</v>
      </c>
      <c r="G980" s="37">
        <v>42426.625</v>
      </c>
      <c r="H980" s="1" t="s">
        <v>6</v>
      </c>
      <c r="I980" s="1" t="s">
        <v>38</v>
      </c>
      <c r="J980" s="1">
        <v>42426.737187500003</v>
      </c>
      <c r="K980" s="1" t="s">
        <v>36</v>
      </c>
      <c r="L980" s="14">
        <f>24*(TblTimeSheet[[#This Row],[End Date and Time]]-TblTimeSheet[[#This Row],[Start Date and Time]])</f>
        <v>0.50000000005820766</v>
      </c>
      <c r="M9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0">
        <f>--(0&gt;(TblTimeSheet[[#This Row],[End Date and Time]]-TblTimeSheet[[#This Row],[Start Date and Time]]))</f>
        <v>0</v>
      </c>
    </row>
    <row r="981" spans="1:14" x14ac:dyDescent="0.25">
      <c r="A981" s="1"/>
      <c r="B981" s="2" t="s">
        <v>911</v>
      </c>
      <c r="C981" s="2" t="s">
        <v>118</v>
      </c>
      <c r="D981" s="2" t="s">
        <v>20</v>
      </c>
      <c r="E981" s="7" t="s">
        <v>1826</v>
      </c>
      <c r="F981" s="37">
        <v>42426.708333333336</v>
      </c>
      <c r="G981" s="37">
        <v>42426.729166666664</v>
      </c>
      <c r="H981" s="1" t="s">
        <v>6</v>
      </c>
      <c r="I981" s="1" t="s">
        <v>38</v>
      </c>
      <c r="J981" s="1">
        <v>42426.732951388891</v>
      </c>
      <c r="K981" s="1" t="s">
        <v>118</v>
      </c>
      <c r="L981" s="14">
        <f>24*(TblTimeSheet[[#This Row],[End Date and Time]]-TblTimeSheet[[#This Row],[Start Date and Time]])</f>
        <v>0.49999999988358468</v>
      </c>
      <c r="M9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1">
        <f>--(0&gt;(TblTimeSheet[[#This Row],[End Date and Time]]-TblTimeSheet[[#This Row],[Start Date and Time]]))</f>
        <v>0</v>
      </c>
    </row>
    <row r="982" spans="1:14" x14ac:dyDescent="0.25">
      <c r="A982" s="1"/>
      <c r="B982" s="2" t="s">
        <v>911</v>
      </c>
      <c r="C982" s="2" t="s">
        <v>43</v>
      </c>
      <c r="D982" s="2" t="s">
        <v>20</v>
      </c>
      <c r="E982" s="7" t="s">
        <v>1302</v>
      </c>
      <c r="F982" s="37">
        <v>42426.722222222219</v>
      </c>
      <c r="G982" s="37">
        <v>42426.729166666664</v>
      </c>
      <c r="H982" s="1" t="s">
        <v>6</v>
      </c>
      <c r="I982" s="1" t="s">
        <v>38</v>
      </c>
      <c r="J982" s="1">
        <v>42426.733761574076</v>
      </c>
      <c r="K982" s="1" t="s">
        <v>43</v>
      </c>
      <c r="L982" s="14">
        <f>24*(TblTimeSheet[[#This Row],[End Date and Time]]-TblTimeSheet[[#This Row],[Start Date and Time]])</f>
        <v>0.16666666668606922</v>
      </c>
      <c r="M9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2">
        <f>--(0&gt;(TblTimeSheet[[#This Row],[End Date and Time]]-TblTimeSheet[[#This Row],[Start Date and Time]]))</f>
        <v>0</v>
      </c>
    </row>
    <row r="983" spans="1:14" x14ac:dyDescent="0.25">
      <c r="A983" s="1"/>
      <c r="B983" s="2" t="s">
        <v>915</v>
      </c>
      <c r="C983" s="2" t="s">
        <v>43</v>
      </c>
      <c r="D983" s="2" t="s">
        <v>19</v>
      </c>
      <c r="E983" s="7" t="s">
        <v>1303</v>
      </c>
      <c r="F983" s="37">
        <v>42426.604166666664</v>
      </c>
      <c r="G983" s="37">
        <v>42426.625</v>
      </c>
      <c r="H983" s="1" t="s">
        <v>6</v>
      </c>
      <c r="I983" s="1" t="s">
        <v>38</v>
      </c>
      <c r="J983" s="1">
        <v>42426.737337962964</v>
      </c>
      <c r="K983" s="1" t="s">
        <v>43</v>
      </c>
      <c r="L983" s="14">
        <f>24*(TblTimeSheet[[#This Row],[End Date and Time]]-TblTimeSheet[[#This Row],[Start Date and Time]])</f>
        <v>0.50000000005820766</v>
      </c>
      <c r="M9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3">
        <f>--(0&gt;(TblTimeSheet[[#This Row],[End Date and Time]]-TblTimeSheet[[#This Row],[Start Date and Time]]))</f>
        <v>0</v>
      </c>
    </row>
    <row r="984" spans="1:14" x14ac:dyDescent="0.25">
      <c r="A984" s="1"/>
      <c r="B984" s="2" t="s">
        <v>913</v>
      </c>
      <c r="C984" s="2" t="s">
        <v>43</v>
      </c>
      <c r="D984" s="2" t="s">
        <v>19</v>
      </c>
      <c r="E984" s="7" t="s">
        <v>1304</v>
      </c>
      <c r="F984" s="37">
        <v>42426.645833333336</v>
      </c>
      <c r="G984" s="37">
        <v>42426.666666666664</v>
      </c>
      <c r="H984" s="1" t="s">
        <v>6</v>
      </c>
      <c r="I984" s="1" t="s">
        <v>38</v>
      </c>
      <c r="J984" s="1">
        <v>42426.740682870368</v>
      </c>
      <c r="K984" s="1" t="s">
        <v>43</v>
      </c>
      <c r="L984" s="14">
        <f>24*(TblTimeSheet[[#This Row],[End Date and Time]]-TblTimeSheet[[#This Row],[Start Date and Time]])</f>
        <v>0.49999999988358468</v>
      </c>
      <c r="M9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4">
        <f>--(0&gt;(TblTimeSheet[[#This Row],[End Date and Time]]-TblTimeSheet[[#This Row],[Start Date and Time]]))</f>
        <v>0</v>
      </c>
    </row>
    <row r="985" spans="1:14" ht="30" x14ac:dyDescent="0.25">
      <c r="A985" s="1"/>
      <c r="B985" s="2" t="s">
        <v>909</v>
      </c>
      <c r="C985" s="2" t="s">
        <v>78</v>
      </c>
      <c r="D985" s="2" t="s">
        <v>32</v>
      </c>
      <c r="E985" s="7" t="s">
        <v>1827</v>
      </c>
      <c r="F985" s="37">
        <v>42425.583333333336</v>
      </c>
      <c r="G985" s="37">
        <v>42425.729166666664</v>
      </c>
      <c r="H985" s="1" t="s">
        <v>6</v>
      </c>
      <c r="I985" s="1" t="s">
        <v>38</v>
      </c>
      <c r="J985" s="1">
        <v>42426.742824074077</v>
      </c>
      <c r="K985" s="1" t="s">
        <v>41</v>
      </c>
      <c r="L985" s="14">
        <f>24*(TblTimeSheet[[#This Row],[End Date and Time]]-TblTimeSheet[[#This Row],[Start Date and Time]])</f>
        <v>3.4999999998835847</v>
      </c>
      <c r="M9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5">
        <f>--(0&gt;(TblTimeSheet[[#This Row],[End Date and Time]]-TblTimeSheet[[#This Row],[Start Date and Time]]))</f>
        <v>0</v>
      </c>
    </row>
    <row r="986" spans="1:14" x14ac:dyDescent="0.25">
      <c r="A986" s="1"/>
      <c r="B986" s="2" t="s">
        <v>909</v>
      </c>
      <c r="C986" s="2" t="s">
        <v>41</v>
      </c>
      <c r="D986" s="2" t="s">
        <v>32</v>
      </c>
      <c r="E986" s="7" t="s">
        <v>1305</v>
      </c>
      <c r="F986" s="37">
        <v>42426.725694444445</v>
      </c>
      <c r="G986" s="37">
        <v>42426.739583333336</v>
      </c>
      <c r="H986" s="1" t="s">
        <v>6</v>
      </c>
      <c r="I986" s="1" t="s">
        <v>38</v>
      </c>
      <c r="J986" s="1">
        <v>42426.745081018518</v>
      </c>
      <c r="K986" s="1" t="s">
        <v>41</v>
      </c>
      <c r="L986" s="14">
        <f>24*(TblTimeSheet[[#This Row],[End Date and Time]]-TblTimeSheet[[#This Row],[Start Date and Time]])</f>
        <v>0.33333333337213844</v>
      </c>
      <c r="M9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6">
        <f>--(0&gt;(TblTimeSheet[[#This Row],[End Date and Time]]-TblTimeSheet[[#This Row],[Start Date and Time]]))</f>
        <v>0</v>
      </c>
    </row>
    <row r="987" spans="1:14" x14ac:dyDescent="0.25">
      <c r="A987" s="1"/>
      <c r="B987" s="2" t="s">
        <v>913</v>
      </c>
      <c r="C987" s="2" t="s">
        <v>43</v>
      </c>
      <c r="D987" s="2" t="s">
        <v>19</v>
      </c>
      <c r="E987" s="7" t="s">
        <v>1306</v>
      </c>
      <c r="F987" s="37">
        <v>42426.729166666664</v>
      </c>
      <c r="G987" s="37">
        <v>42426.75</v>
      </c>
      <c r="H987" s="1" t="s">
        <v>6</v>
      </c>
      <c r="I987" s="1" t="s">
        <v>38</v>
      </c>
      <c r="J987" s="1">
        <v>42426.750358796293</v>
      </c>
      <c r="K987" s="1" t="s">
        <v>43</v>
      </c>
      <c r="L987" s="14">
        <f>24*(TblTimeSheet[[#This Row],[End Date and Time]]-TblTimeSheet[[#This Row],[Start Date and Time]])</f>
        <v>0.50000000005820766</v>
      </c>
      <c r="M9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7">
        <f>--(0&gt;(TblTimeSheet[[#This Row],[End Date and Time]]-TblTimeSheet[[#This Row],[Start Date and Time]]))</f>
        <v>0</v>
      </c>
    </row>
    <row r="988" spans="1:14" x14ac:dyDescent="0.25">
      <c r="A988" s="1"/>
      <c r="B988" s="2" t="s">
        <v>909</v>
      </c>
      <c r="C988" s="2" t="s">
        <v>961</v>
      </c>
      <c r="D988" s="2" t="s">
        <v>32</v>
      </c>
      <c r="E988" s="7" t="s">
        <v>1307</v>
      </c>
      <c r="F988" s="37">
        <v>42426.458333333336</v>
      </c>
      <c r="G988" s="37">
        <v>42426.520833333336</v>
      </c>
      <c r="H988" s="1" t="s">
        <v>6</v>
      </c>
      <c r="I988" s="1" t="s">
        <v>38</v>
      </c>
      <c r="J988" s="1">
        <v>42426.752384259256</v>
      </c>
      <c r="K988" s="1" t="s">
        <v>961</v>
      </c>
      <c r="L988" s="14">
        <f>24*(TblTimeSheet[[#This Row],[End Date and Time]]-TblTimeSheet[[#This Row],[Start Date and Time]])</f>
        <v>1.5</v>
      </c>
      <c r="M9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8">
        <f>--(0&gt;(TblTimeSheet[[#This Row],[End Date and Time]]-TblTimeSheet[[#This Row],[Start Date and Time]]))</f>
        <v>0</v>
      </c>
    </row>
    <row r="989" spans="1:14" x14ac:dyDescent="0.25">
      <c r="A989" s="1"/>
      <c r="B989" s="2" t="s">
        <v>913</v>
      </c>
      <c r="C989" s="2" t="s">
        <v>36</v>
      </c>
      <c r="D989" s="2" t="s">
        <v>19</v>
      </c>
      <c r="E989" s="7" t="s">
        <v>1308</v>
      </c>
      <c r="F989" s="37">
        <v>42426.753472222219</v>
      </c>
      <c r="G989" s="37">
        <v>42426.760416666664</v>
      </c>
      <c r="H989" s="1" t="s">
        <v>6</v>
      </c>
      <c r="I989" s="1" t="s">
        <v>38</v>
      </c>
      <c r="J989" s="1">
        <v>42426.760312500002</v>
      </c>
      <c r="K989" s="1" t="s">
        <v>36</v>
      </c>
      <c r="L989" s="14">
        <f>24*(TblTimeSheet[[#This Row],[End Date and Time]]-TblTimeSheet[[#This Row],[Start Date and Time]])</f>
        <v>0.16666666668606922</v>
      </c>
      <c r="M9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89">
        <f>--(0&gt;(TblTimeSheet[[#This Row],[End Date and Time]]-TblTimeSheet[[#This Row],[Start Date and Time]]))</f>
        <v>0</v>
      </c>
    </row>
    <row r="990" spans="1:14" x14ac:dyDescent="0.25">
      <c r="A990" s="1"/>
      <c r="B990" s="2" t="s">
        <v>915</v>
      </c>
      <c r="C990" s="2" t="s">
        <v>1117</v>
      </c>
      <c r="D990" s="2" t="s">
        <v>19</v>
      </c>
      <c r="E990" s="7" t="s">
        <v>1828</v>
      </c>
      <c r="F990" s="37">
        <v>42426.6875</v>
      </c>
      <c r="G990" s="37">
        <v>42426.729166666664</v>
      </c>
      <c r="H990" s="1" t="s">
        <v>6</v>
      </c>
      <c r="I990" s="1" t="s">
        <v>38</v>
      </c>
      <c r="J990" s="1">
        <v>42427.448229166665</v>
      </c>
      <c r="K990" s="1" t="s">
        <v>2865</v>
      </c>
      <c r="L990" s="14">
        <f>24*(TblTimeSheet[[#This Row],[End Date and Time]]-TblTimeSheet[[#This Row],[Start Date and Time]])</f>
        <v>0.99999999994179234</v>
      </c>
      <c r="M9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0">
        <f>--(0&gt;(TblTimeSheet[[#This Row],[End Date and Time]]-TblTimeSheet[[#This Row],[Start Date and Time]]))</f>
        <v>0</v>
      </c>
    </row>
    <row r="991" spans="1:14" x14ac:dyDescent="0.25">
      <c r="A991" s="1"/>
      <c r="B991" s="2" t="s">
        <v>915</v>
      </c>
      <c r="C991" s="2" t="s">
        <v>116</v>
      </c>
      <c r="D991" s="2" t="s">
        <v>19</v>
      </c>
      <c r="E991" s="7" t="s">
        <v>1309</v>
      </c>
      <c r="F991" s="37">
        <v>42426.6875</v>
      </c>
      <c r="G991" s="37">
        <v>42426.729166666664</v>
      </c>
      <c r="H991" s="1" t="s">
        <v>6</v>
      </c>
      <c r="I991" s="1" t="s">
        <v>38</v>
      </c>
      <c r="J991" s="1">
        <v>42427.45516203704</v>
      </c>
      <c r="K991" s="1" t="s">
        <v>39</v>
      </c>
      <c r="L991" s="14">
        <f>24*(TblTimeSheet[[#This Row],[End Date and Time]]-TblTimeSheet[[#This Row],[Start Date and Time]])</f>
        <v>0.99999999994179234</v>
      </c>
      <c r="M9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1">
        <f>--(0&gt;(TblTimeSheet[[#This Row],[End Date and Time]]-TblTimeSheet[[#This Row],[Start Date and Time]]))</f>
        <v>0</v>
      </c>
    </row>
    <row r="992" spans="1:14" x14ac:dyDescent="0.25">
      <c r="A992" s="1"/>
      <c r="B992" s="2" t="s">
        <v>697</v>
      </c>
      <c r="C992" s="2" t="s">
        <v>43</v>
      </c>
      <c r="D992" s="2" t="s">
        <v>33</v>
      </c>
      <c r="E992" s="7" t="s">
        <v>1310</v>
      </c>
      <c r="F992" s="37">
        <v>42427.447916666664</v>
      </c>
      <c r="G992" s="37">
        <v>42427.458333333336</v>
      </c>
      <c r="H992" s="1" t="s">
        <v>6</v>
      </c>
      <c r="I992" s="1" t="s">
        <v>38</v>
      </c>
      <c r="J992" s="1">
        <v>42427.459722222222</v>
      </c>
      <c r="K992" s="1" t="s">
        <v>43</v>
      </c>
      <c r="L992" s="14">
        <f>24*(TblTimeSheet[[#This Row],[End Date and Time]]-TblTimeSheet[[#This Row],[Start Date and Time]])</f>
        <v>0.25000000011641532</v>
      </c>
      <c r="M9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2">
        <f>--(0&gt;(TblTimeSheet[[#This Row],[End Date and Time]]-TblTimeSheet[[#This Row],[Start Date and Time]]))</f>
        <v>0</v>
      </c>
    </row>
    <row r="993" spans="1:14" x14ac:dyDescent="0.25">
      <c r="A993" s="1"/>
      <c r="B993" s="2" t="s">
        <v>697</v>
      </c>
      <c r="C993" s="2" t="s">
        <v>118</v>
      </c>
      <c r="D993" s="2" t="s">
        <v>33</v>
      </c>
      <c r="E993" s="7" t="s">
        <v>1311</v>
      </c>
      <c r="F993" s="37">
        <v>42427.395833333336</v>
      </c>
      <c r="G993" s="37">
        <v>42427.40625</v>
      </c>
      <c r="H993" s="1" t="s">
        <v>6</v>
      </c>
      <c r="I993" s="1" t="s">
        <v>38</v>
      </c>
      <c r="J993" s="1">
        <v>42427.460486111115</v>
      </c>
      <c r="K993" s="1" t="s">
        <v>118</v>
      </c>
      <c r="L993" s="14">
        <f>24*(TblTimeSheet[[#This Row],[End Date and Time]]-TblTimeSheet[[#This Row],[Start Date and Time]])</f>
        <v>0.24999999994179234</v>
      </c>
      <c r="M9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3">
        <f>--(0&gt;(TblTimeSheet[[#This Row],[End Date and Time]]-TblTimeSheet[[#This Row],[Start Date and Time]]))</f>
        <v>0</v>
      </c>
    </row>
    <row r="994" spans="1:14" x14ac:dyDescent="0.25">
      <c r="A994" s="1"/>
      <c r="B994" s="2" t="s">
        <v>915</v>
      </c>
      <c r="C994" s="2" t="s">
        <v>116</v>
      </c>
      <c r="D994" s="2" t="s">
        <v>19</v>
      </c>
      <c r="E994" s="7" t="s">
        <v>1829</v>
      </c>
      <c r="F994" s="37">
        <v>42427.458333333336</v>
      </c>
      <c r="G994" s="37">
        <v>42427.479166666664</v>
      </c>
      <c r="H994" s="1" t="s">
        <v>6</v>
      </c>
      <c r="I994" s="1" t="s">
        <v>38</v>
      </c>
      <c r="J994" s="1">
        <v>42427.489166666666</v>
      </c>
      <c r="K994" s="1" t="s">
        <v>701</v>
      </c>
      <c r="L994" s="14">
        <f>24*(TblTimeSheet[[#This Row],[End Date and Time]]-TblTimeSheet[[#This Row],[Start Date and Time]])</f>
        <v>0.49999999988358468</v>
      </c>
      <c r="M9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94">
        <f>--(0&gt;(TblTimeSheet[[#This Row],[End Date and Time]]-TblTimeSheet[[#This Row],[Start Date and Time]]))</f>
        <v>0</v>
      </c>
    </row>
    <row r="995" spans="1:14" x14ac:dyDescent="0.25">
      <c r="A995" s="1"/>
      <c r="B995" s="2" t="s">
        <v>909</v>
      </c>
      <c r="C995" s="2" t="s">
        <v>41</v>
      </c>
      <c r="D995" s="2" t="s">
        <v>33</v>
      </c>
      <c r="E995" s="7" t="s">
        <v>1312</v>
      </c>
      <c r="F995" s="37">
        <v>42427.458333333336</v>
      </c>
      <c r="G995" s="37">
        <v>42427.5</v>
      </c>
      <c r="H995" s="1" t="s">
        <v>6</v>
      </c>
      <c r="I995" s="1" t="s">
        <v>38</v>
      </c>
      <c r="J995" s="1">
        <v>42427.501759259256</v>
      </c>
      <c r="K995" s="1" t="s">
        <v>41</v>
      </c>
      <c r="L995" s="14">
        <f>24*(TblTimeSheet[[#This Row],[End Date and Time]]-TblTimeSheet[[#This Row],[Start Date and Time]])</f>
        <v>0.99999999994179234</v>
      </c>
      <c r="M9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5">
        <f>--(0&gt;(TblTimeSheet[[#This Row],[End Date and Time]]-TblTimeSheet[[#This Row],[Start Date and Time]]))</f>
        <v>0</v>
      </c>
    </row>
    <row r="996" spans="1:14" x14ac:dyDescent="0.25">
      <c r="A996" s="1"/>
      <c r="B996" s="2" t="s">
        <v>915</v>
      </c>
      <c r="C996" s="2" t="s">
        <v>1117</v>
      </c>
      <c r="D996" s="2" t="s">
        <v>19</v>
      </c>
      <c r="E996" s="7" t="s">
        <v>1313</v>
      </c>
      <c r="F996" s="37">
        <v>42427.395833333336</v>
      </c>
      <c r="G996" s="37">
        <v>42427.458333333336</v>
      </c>
      <c r="H996" s="1" t="s">
        <v>6</v>
      </c>
      <c r="I996" s="1" t="s">
        <v>38</v>
      </c>
      <c r="J996" s="1">
        <v>42427.590474537035</v>
      </c>
      <c r="K996" s="1" t="s">
        <v>2865</v>
      </c>
      <c r="L996" s="14">
        <f>24*(TblTimeSheet[[#This Row],[End Date and Time]]-TblTimeSheet[[#This Row],[Start Date and Time]])</f>
        <v>1.5</v>
      </c>
      <c r="M9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6">
        <f>--(0&gt;(TblTimeSheet[[#This Row],[End Date and Time]]-TblTimeSheet[[#This Row],[Start Date and Time]]))</f>
        <v>0</v>
      </c>
    </row>
    <row r="997" spans="1:14" ht="30" x14ac:dyDescent="0.25">
      <c r="A997" s="1"/>
      <c r="B997" s="2" t="s">
        <v>697</v>
      </c>
      <c r="C997" s="2" t="s">
        <v>124</v>
      </c>
      <c r="D997" s="2" t="s">
        <v>33</v>
      </c>
      <c r="E997" s="7" t="s">
        <v>1314</v>
      </c>
      <c r="F997" s="37">
        <v>42427.458333333336</v>
      </c>
      <c r="G997" s="37">
        <v>42427.541666666664</v>
      </c>
      <c r="H997" s="1" t="s">
        <v>6</v>
      </c>
      <c r="I997" s="1" t="s">
        <v>38</v>
      </c>
      <c r="J997" s="1">
        <v>42427.599212962959</v>
      </c>
      <c r="K997" s="1" t="s">
        <v>2863</v>
      </c>
      <c r="L997" s="14">
        <f>24*(TblTimeSheet[[#This Row],[End Date and Time]]-TblTimeSheet[[#This Row],[Start Date and Time]])</f>
        <v>1.9999999998835847</v>
      </c>
      <c r="M9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7">
        <f>--(0&gt;(TblTimeSheet[[#This Row],[End Date and Time]]-TblTimeSheet[[#This Row],[Start Date and Time]]))</f>
        <v>0</v>
      </c>
    </row>
    <row r="998" spans="1:14" x14ac:dyDescent="0.25">
      <c r="A998" s="1"/>
      <c r="B998" s="2" t="s">
        <v>915</v>
      </c>
      <c r="C998" s="2" t="s">
        <v>116</v>
      </c>
      <c r="D998" s="2" t="s">
        <v>19</v>
      </c>
      <c r="E998" s="7" t="s">
        <v>1830</v>
      </c>
      <c r="F998" s="37">
        <v>42427.395833333336</v>
      </c>
      <c r="G998" s="37">
        <v>42427.458333333336</v>
      </c>
      <c r="H998" s="1" t="s">
        <v>6</v>
      </c>
      <c r="I998" s="1" t="s">
        <v>38</v>
      </c>
      <c r="J998" s="1">
        <v>42427.618333333332</v>
      </c>
      <c r="K998" s="1" t="s">
        <v>39</v>
      </c>
      <c r="L998" s="14">
        <f>24*(TblTimeSheet[[#This Row],[End Date and Time]]-TblTimeSheet[[#This Row],[Start Date and Time]])</f>
        <v>1.5</v>
      </c>
      <c r="M9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998">
        <f>--(0&gt;(TblTimeSheet[[#This Row],[End Date and Time]]-TblTimeSheet[[#This Row],[Start Date and Time]]))</f>
        <v>0</v>
      </c>
    </row>
    <row r="999" spans="1:14" x14ac:dyDescent="0.25">
      <c r="A999" s="1"/>
      <c r="B999" s="2" t="s">
        <v>697</v>
      </c>
      <c r="C999" s="2" t="s">
        <v>143</v>
      </c>
      <c r="D999" s="2" t="s">
        <v>34</v>
      </c>
      <c r="E999" s="7" t="s">
        <v>1315</v>
      </c>
      <c r="F999" s="37">
        <v>42427.395833333336</v>
      </c>
      <c r="G999" s="37">
        <v>42427.520833333336</v>
      </c>
      <c r="H999" s="1" t="s">
        <v>6</v>
      </c>
      <c r="I999" s="1" t="s">
        <v>38</v>
      </c>
      <c r="J999" s="1">
        <v>42443.720243055555</v>
      </c>
      <c r="K999" s="1" t="s">
        <v>143</v>
      </c>
      <c r="L999" s="14">
        <f>24*(TblTimeSheet[[#This Row],[End Date and Time]]-TblTimeSheet[[#This Row],[Start Date and Time]])</f>
        <v>3</v>
      </c>
      <c r="M9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999">
        <f>--(0&gt;(TblTimeSheet[[#This Row],[End Date and Time]]-TblTimeSheet[[#This Row],[Start Date and Time]]))</f>
        <v>0</v>
      </c>
    </row>
    <row r="1000" spans="1:14" x14ac:dyDescent="0.25">
      <c r="A1000" s="1"/>
      <c r="B1000" s="2" t="s">
        <v>909</v>
      </c>
      <c r="C1000" s="2" t="s">
        <v>116</v>
      </c>
      <c r="D1000" s="2" t="s">
        <v>32</v>
      </c>
      <c r="E1000" s="7" t="s">
        <v>1383</v>
      </c>
      <c r="F1000" s="37">
        <v>42427.5</v>
      </c>
      <c r="G1000" s="37">
        <v>42427.5625</v>
      </c>
      <c r="H1000" s="1" t="s">
        <v>6</v>
      </c>
      <c r="I1000" s="1" t="s">
        <v>38</v>
      </c>
      <c r="J1000" s="1">
        <v>42427.679490740738</v>
      </c>
      <c r="K1000" s="1" t="s">
        <v>701</v>
      </c>
      <c r="L1000" s="14">
        <f>24*(TblTimeSheet[[#This Row],[End Date and Time]]-TblTimeSheet[[#This Row],[Start Date and Time]])</f>
        <v>1.5</v>
      </c>
      <c r="M10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00">
        <f>--(0&gt;(TblTimeSheet[[#This Row],[End Date and Time]]-TblTimeSheet[[#This Row],[Start Date and Time]]))</f>
        <v>0</v>
      </c>
    </row>
    <row r="1001" spans="1:14" x14ac:dyDescent="0.25">
      <c r="A1001" s="1"/>
      <c r="B1001" s="2" t="s">
        <v>909</v>
      </c>
      <c r="C1001" s="2" t="s">
        <v>41</v>
      </c>
      <c r="D1001" s="2" t="s">
        <v>33</v>
      </c>
      <c r="E1001" s="7" t="s">
        <v>1316</v>
      </c>
      <c r="F1001" s="37">
        <v>42427.5</v>
      </c>
      <c r="G1001" s="37">
        <v>42427.5625</v>
      </c>
      <c r="H1001" s="1" t="s">
        <v>6</v>
      </c>
      <c r="I1001" s="1" t="s">
        <v>38</v>
      </c>
      <c r="J1001" s="1">
        <v>42427.685520833336</v>
      </c>
      <c r="K1001" s="1" t="s">
        <v>961</v>
      </c>
      <c r="L1001" s="14">
        <f>24*(TblTimeSheet[[#This Row],[End Date and Time]]-TblTimeSheet[[#This Row],[Start Date and Time]])</f>
        <v>1.5</v>
      </c>
      <c r="M10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1">
        <f>--(0&gt;(TblTimeSheet[[#This Row],[End Date and Time]]-TblTimeSheet[[#This Row],[Start Date and Time]]))</f>
        <v>0</v>
      </c>
    </row>
    <row r="1002" spans="1:14" x14ac:dyDescent="0.25">
      <c r="A1002" s="1"/>
      <c r="B1002" s="2" t="s">
        <v>909</v>
      </c>
      <c r="C1002" s="2" t="s">
        <v>961</v>
      </c>
      <c r="D1002" s="2" t="s">
        <v>32</v>
      </c>
      <c r="E1002" s="7" t="s">
        <v>1831</v>
      </c>
      <c r="F1002" s="37">
        <v>42427.5</v>
      </c>
      <c r="G1002" s="37">
        <v>42427.5625</v>
      </c>
      <c r="H1002" s="1" t="s">
        <v>6</v>
      </c>
      <c r="I1002" s="1" t="s">
        <v>38</v>
      </c>
      <c r="J1002" s="1">
        <v>42427.680266203701</v>
      </c>
      <c r="K1002" s="1" t="s">
        <v>961</v>
      </c>
      <c r="L1002" s="14">
        <f>24*(TblTimeSheet[[#This Row],[End Date and Time]]-TblTimeSheet[[#This Row],[Start Date and Time]])</f>
        <v>1.5</v>
      </c>
      <c r="M10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2">
        <f>--(0&gt;(TblTimeSheet[[#This Row],[End Date and Time]]-TblTimeSheet[[#This Row],[Start Date and Time]]))</f>
        <v>0</v>
      </c>
    </row>
    <row r="1003" spans="1:14" x14ac:dyDescent="0.25">
      <c r="A1003" s="1"/>
      <c r="B1003" s="2" t="s">
        <v>909</v>
      </c>
      <c r="C1003" s="2" t="s">
        <v>961</v>
      </c>
      <c r="D1003" s="2" t="s">
        <v>33</v>
      </c>
      <c r="E1003" s="7" t="s">
        <v>1317</v>
      </c>
      <c r="F1003" s="37">
        <v>42427.375</v>
      </c>
      <c r="G1003" s="37">
        <v>42427.458333333336</v>
      </c>
      <c r="H1003" s="1" t="s">
        <v>6</v>
      </c>
      <c r="I1003" s="1" t="s">
        <v>38</v>
      </c>
      <c r="J1003" s="1">
        <v>42427.681319444448</v>
      </c>
      <c r="K1003" s="1" t="s">
        <v>961</v>
      </c>
      <c r="L1003" s="14">
        <f>24*(TblTimeSheet[[#This Row],[End Date and Time]]-TblTimeSheet[[#This Row],[Start Date and Time]])</f>
        <v>2.0000000000582077</v>
      </c>
      <c r="M10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3">
        <f>--(0&gt;(TblTimeSheet[[#This Row],[End Date and Time]]-TblTimeSheet[[#This Row],[Start Date and Time]]))</f>
        <v>0</v>
      </c>
    </row>
    <row r="1004" spans="1:14" x14ac:dyDescent="0.25">
      <c r="A1004" s="1"/>
      <c r="B1004" s="2" t="s">
        <v>909</v>
      </c>
      <c r="C1004" s="2" t="s">
        <v>961</v>
      </c>
      <c r="D1004" s="2" t="s">
        <v>33</v>
      </c>
      <c r="E1004" s="7" t="s">
        <v>1832</v>
      </c>
      <c r="F1004" s="37">
        <v>42427.583333333336</v>
      </c>
      <c r="G1004" s="37">
        <v>42427.645833333336</v>
      </c>
      <c r="H1004" s="1" t="s">
        <v>6</v>
      </c>
      <c r="I1004" s="1" t="s">
        <v>38</v>
      </c>
      <c r="J1004" s="1">
        <v>42427.68173611111</v>
      </c>
      <c r="K1004" s="1" t="s">
        <v>961</v>
      </c>
      <c r="L1004" s="14">
        <f>24*(TblTimeSheet[[#This Row],[End Date and Time]]-TblTimeSheet[[#This Row],[Start Date and Time]])</f>
        <v>1.5</v>
      </c>
      <c r="M10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4">
        <f>--(0&gt;(TblTimeSheet[[#This Row],[End Date and Time]]-TblTimeSheet[[#This Row],[Start Date and Time]]))</f>
        <v>0</v>
      </c>
    </row>
    <row r="1005" spans="1:14" x14ac:dyDescent="0.25">
      <c r="A1005" s="1"/>
      <c r="B1005" s="2" t="s">
        <v>909</v>
      </c>
      <c r="C1005" s="2" t="s">
        <v>41</v>
      </c>
      <c r="D1005" s="2" t="s">
        <v>33</v>
      </c>
      <c r="E1005" s="7" t="s">
        <v>1318</v>
      </c>
      <c r="F1005" s="37">
        <v>42426.666666666664</v>
      </c>
      <c r="G1005" s="37">
        <v>42426.708333333336</v>
      </c>
      <c r="H1005" s="1" t="s">
        <v>6</v>
      </c>
      <c r="I1005" s="1" t="s">
        <v>38</v>
      </c>
      <c r="J1005" s="1">
        <v>42427.684293981481</v>
      </c>
      <c r="K1005" s="1" t="s">
        <v>961</v>
      </c>
      <c r="L1005" s="14">
        <f>24*(TblTimeSheet[[#This Row],[End Date and Time]]-TblTimeSheet[[#This Row],[Start Date and Time]])</f>
        <v>1.0000000001164153</v>
      </c>
      <c r="M10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5">
        <f>--(0&gt;(TblTimeSheet[[#This Row],[End Date and Time]]-TblTimeSheet[[#This Row],[Start Date and Time]]))</f>
        <v>0</v>
      </c>
    </row>
    <row r="1006" spans="1:14" x14ac:dyDescent="0.25">
      <c r="A1006" s="1"/>
      <c r="B1006" s="2" t="s">
        <v>909</v>
      </c>
      <c r="C1006" s="2" t="s">
        <v>171</v>
      </c>
      <c r="D1006" s="2" t="s">
        <v>33</v>
      </c>
      <c r="E1006" s="7" t="s">
        <v>1833</v>
      </c>
      <c r="F1006" s="37">
        <v>42425.708333333336</v>
      </c>
      <c r="G1006" s="37">
        <v>42425.729166666664</v>
      </c>
      <c r="H1006" s="1" t="s">
        <v>6</v>
      </c>
      <c r="I1006" s="1" t="s">
        <v>38</v>
      </c>
      <c r="J1006" s="1">
        <v>42427.69971064815</v>
      </c>
      <c r="K1006" s="1" t="s">
        <v>171</v>
      </c>
      <c r="L1006" s="14">
        <f>24*(TblTimeSheet[[#This Row],[End Date and Time]]-TblTimeSheet[[#This Row],[Start Date and Time]])</f>
        <v>0.49999999988358468</v>
      </c>
      <c r="M10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6">
        <f>--(0&gt;(TblTimeSheet[[#This Row],[End Date and Time]]-TblTimeSheet[[#This Row],[Start Date and Time]]))</f>
        <v>0</v>
      </c>
    </row>
    <row r="1007" spans="1:14" x14ac:dyDescent="0.25">
      <c r="A1007" s="1"/>
      <c r="B1007" s="2" t="s">
        <v>909</v>
      </c>
      <c r="C1007" s="2" t="s">
        <v>116</v>
      </c>
      <c r="D1007" s="2" t="s">
        <v>32</v>
      </c>
      <c r="E1007" s="7" t="s">
        <v>1319</v>
      </c>
      <c r="F1007" s="37">
        <v>42427.416666666664</v>
      </c>
      <c r="G1007" s="37">
        <v>42427.541666666664</v>
      </c>
      <c r="H1007" s="1" t="s">
        <v>6</v>
      </c>
      <c r="I1007" s="1" t="s">
        <v>38</v>
      </c>
      <c r="J1007" s="1">
        <v>42427.709907407407</v>
      </c>
      <c r="K1007" s="1" t="s">
        <v>149</v>
      </c>
      <c r="L1007" s="14">
        <f>24*(TblTimeSheet[[#This Row],[End Date and Time]]-TblTimeSheet[[#This Row],[Start Date and Time]])</f>
        <v>3</v>
      </c>
      <c r="M10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07">
        <f>--(0&gt;(TblTimeSheet[[#This Row],[End Date and Time]]-TblTimeSheet[[#This Row],[Start Date and Time]]))</f>
        <v>0</v>
      </c>
    </row>
    <row r="1008" spans="1:14" x14ac:dyDescent="0.25">
      <c r="A1008" s="1"/>
      <c r="B1008" s="2" t="s">
        <v>913</v>
      </c>
      <c r="C1008" s="2" t="s">
        <v>116</v>
      </c>
      <c r="D1008" s="2" t="s">
        <v>19</v>
      </c>
      <c r="E1008" s="7" t="s">
        <v>1320</v>
      </c>
      <c r="F1008" s="37">
        <v>42427.59375</v>
      </c>
      <c r="G1008" s="37">
        <v>42427.604166666664</v>
      </c>
      <c r="H1008" s="1" t="s">
        <v>6</v>
      </c>
      <c r="I1008" s="1" t="s">
        <v>38</v>
      </c>
      <c r="J1008" s="1">
        <v>42429.398912037039</v>
      </c>
      <c r="K1008" s="1" t="s">
        <v>39</v>
      </c>
      <c r="L1008" s="14">
        <f>24*(TblTimeSheet[[#This Row],[End Date and Time]]-TblTimeSheet[[#This Row],[Start Date and Time]])</f>
        <v>0.24999999994179234</v>
      </c>
      <c r="M10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8">
        <f>--(0&gt;(TblTimeSheet[[#This Row],[End Date and Time]]-TblTimeSheet[[#This Row],[Start Date and Time]]))</f>
        <v>0</v>
      </c>
    </row>
    <row r="1009" spans="1:14" x14ac:dyDescent="0.25">
      <c r="A1009" s="1"/>
      <c r="B1009" s="2" t="s">
        <v>913</v>
      </c>
      <c r="C1009" s="2" t="s">
        <v>43</v>
      </c>
      <c r="D1009" s="2" t="s">
        <v>19</v>
      </c>
      <c r="E1009" s="7" t="s">
        <v>1320</v>
      </c>
      <c r="F1009" s="37">
        <v>42427.59375</v>
      </c>
      <c r="G1009" s="37">
        <v>42427.604166666664</v>
      </c>
      <c r="H1009" s="1" t="s">
        <v>6</v>
      </c>
      <c r="I1009" s="1" t="s">
        <v>38</v>
      </c>
      <c r="J1009" s="1">
        <v>42429.416990740741</v>
      </c>
      <c r="K1009" s="1" t="s">
        <v>43</v>
      </c>
      <c r="L1009" s="14">
        <f>24*(TblTimeSheet[[#This Row],[End Date and Time]]-TblTimeSheet[[#This Row],[Start Date and Time]])</f>
        <v>0.24999999994179234</v>
      </c>
      <c r="M10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09">
        <f>--(0&gt;(TblTimeSheet[[#This Row],[End Date and Time]]-TblTimeSheet[[#This Row],[Start Date and Time]]))</f>
        <v>0</v>
      </c>
    </row>
    <row r="1010" spans="1:14" x14ac:dyDescent="0.25">
      <c r="A1010" s="1"/>
      <c r="B1010" s="2" t="s">
        <v>913</v>
      </c>
      <c r="C1010" s="2" t="s">
        <v>171</v>
      </c>
      <c r="D1010" s="2" t="s">
        <v>19</v>
      </c>
      <c r="E1010" s="7" t="s">
        <v>1321</v>
      </c>
      <c r="F1010" s="37">
        <v>42427.59375</v>
      </c>
      <c r="G1010" s="37">
        <v>42427.604166666664</v>
      </c>
      <c r="H1010" s="1" t="s">
        <v>6</v>
      </c>
      <c r="I1010" s="1" t="s">
        <v>38</v>
      </c>
      <c r="J1010" s="1">
        <v>42429.485081018516</v>
      </c>
      <c r="K1010" s="1" t="s">
        <v>171</v>
      </c>
      <c r="L1010" s="14">
        <f>24*(TblTimeSheet[[#This Row],[End Date and Time]]-TblTimeSheet[[#This Row],[Start Date and Time]])</f>
        <v>0.24999999994179234</v>
      </c>
      <c r="M10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0">
        <f>--(0&gt;(TblTimeSheet[[#This Row],[End Date and Time]]-TblTimeSheet[[#This Row],[Start Date and Time]]))</f>
        <v>0</v>
      </c>
    </row>
    <row r="1011" spans="1:14" x14ac:dyDescent="0.25">
      <c r="A1011" s="1"/>
      <c r="B1011" s="2" t="s">
        <v>913</v>
      </c>
      <c r="C1011" s="2" t="s">
        <v>36</v>
      </c>
      <c r="D1011" s="2" t="s">
        <v>19</v>
      </c>
      <c r="E1011" s="7" t="s">
        <v>1322</v>
      </c>
      <c r="F1011" s="37">
        <v>42429.489583333336</v>
      </c>
      <c r="G1011" s="37">
        <v>42429.5</v>
      </c>
      <c r="H1011" s="1" t="s">
        <v>6</v>
      </c>
      <c r="I1011" s="1" t="s">
        <v>38</v>
      </c>
      <c r="J1011" s="1">
        <v>42429.50340277778</v>
      </c>
      <c r="K1011" s="1" t="s">
        <v>36</v>
      </c>
      <c r="L1011" s="14">
        <f>24*(TblTimeSheet[[#This Row],[End Date and Time]]-TblTimeSheet[[#This Row],[Start Date and Time]])</f>
        <v>0.24999999994179234</v>
      </c>
      <c r="M10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1">
        <f>--(0&gt;(TblTimeSheet[[#This Row],[End Date and Time]]-TblTimeSheet[[#This Row],[Start Date and Time]]))</f>
        <v>0</v>
      </c>
    </row>
    <row r="1012" spans="1:14" x14ac:dyDescent="0.25">
      <c r="A1012" s="1"/>
      <c r="B1012" s="2" t="s">
        <v>913</v>
      </c>
      <c r="C1012" s="2" t="s">
        <v>1105</v>
      </c>
      <c r="D1012" s="2" t="s">
        <v>19</v>
      </c>
      <c r="E1012" s="7" t="s">
        <v>1834</v>
      </c>
      <c r="F1012" s="37">
        <v>42429.489583333336</v>
      </c>
      <c r="G1012" s="37">
        <v>42429.5</v>
      </c>
      <c r="H1012" s="1" t="s">
        <v>6</v>
      </c>
      <c r="I1012" s="1" t="s">
        <v>38</v>
      </c>
      <c r="J1012" s="1">
        <v>42429.503784722219</v>
      </c>
      <c r="K1012" s="1" t="s">
        <v>2864</v>
      </c>
      <c r="L1012" s="14">
        <f>24*(TblTimeSheet[[#This Row],[End Date and Time]]-TblTimeSheet[[#This Row],[Start Date and Time]])</f>
        <v>0.24999999994179234</v>
      </c>
      <c r="M10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2">
        <f>--(0&gt;(TblTimeSheet[[#This Row],[End Date and Time]]-TblTimeSheet[[#This Row],[Start Date and Time]]))</f>
        <v>0</v>
      </c>
    </row>
    <row r="1013" spans="1:14" x14ac:dyDescent="0.25">
      <c r="A1013" s="1"/>
      <c r="B1013" s="2" t="s">
        <v>909</v>
      </c>
      <c r="C1013" s="2" t="s">
        <v>41</v>
      </c>
      <c r="D1013" s="2" t="s">
        <v>33</v>
      </c>
      <c r="E1013" s="7" t="s">
        <v>449</v>
      </c>
      <c r="F1013" s="37">
        <v>42429.520833333336</v>
      </c>
      <c r="G1013" s="37">
        <v>42429.53125</v>
      </c>
      <c r="H1013" s="1" t="s">
        <v>6</v>
      </c>
      <c r="I1013" s="1" t="s">
        <v>38</v>
      </c>
      <c r="J1013" s="1">
        <v>42429.535763888889</v>
      </c>
      <c r="K1013" s="1" t="s">
        <v>41</v>
      </c>
      <c r="L1013" s="14">
        <f>24*(TblTimeSheet[[#This Row],[End Date and Time]]-TblTimeSheet[[#This Row],[Start Date and Time]])</f>
        <v>0.24999999994179234</v>
      </c>
      <c r="M10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3">
        <f>--(0&gt;(TblTimeSheet[[#This Row],[End Date and Time]]-TblTimeSheet[[#This Row],[Start Date and Time]]))</f>
        <v>0</v>
      </c>
    </row>
    <row r="1014" spans="1:14" x14ac:dyDescent="0.25">
      <c r="A1014" s="1"/>
      <c r="B1014" s="2" t="s">
        <v>909</v>
      </c>
      <c r="C1014" s="2" t="s">
        <v>118</v>
      </c>
      <c r="D1014" s="2" t="s">
        <v>33</v>
      </c>
      <c r="E1014" s="7" t="s">
        <v>1323</v>
      </c>
      <c r="F1014" s="37">
        <v>42429.520833333336</v>
      </c>
      <c r="G1014" s="37">
        <v>42429.53125</v>
      </c>
      <c r="H1014" s="1" t="s">
        <v>6</v>
      </c>
      <c r="I1014" s="1" t="s">
        <v>38</v>
      </c>
      <c r="J1014" s="1">
        <v>42441.741203703707</v>
      </c>
      <c r="K1014" s="1" t="s">
        <v>41</v>
      </c>
      <c r="L1014" s="14">
        <f>24*(TblTimeSheet[[#This Row],[End Date and Time]]-TblTimeSheet[[#This Row],[Start Date and Time]])</f>
        <v>0.24999999994179234</v>
      </c>
      <c r="M10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4">
        <f>--(0&gt;(TblTimeSheet[[#This Row],[End Date and Time]]-TblTimeSheet[[#This Row],[Start Date and Time]]))</f>
        <v>0</v>
      </c>
    </row>
    <row r="1015" spans="1:14" x14ac:dyDescent="0.25">
      <c r="A1015" s="1"/>
      <c r="B1015" s="2" t="s">
        <v>909</v>
      </c>
      <c r="C1015" s="2" t="s">
        <v>1061</v>
      </c>
      <c r="D1015" s="2" t="s">
        <v>33</v>
      </c>
      <c r="E1015" s="7" t="s">
        <v>1324</v>
      </c>
      <c r="F1015" s="37">
        <v>42429.520833333336</v>
      </c>
      <c r="G1015" s="37">
        <v>42429.53125</v>
      </c>
      <c r="H1015" s="1" t="s">
        <v>6</v>
      </c>
      <c r="I1015" s="1" t="s">
        <v>38</v>
      </c>
      <c r="J1015" s="1">
        <v>42429.537418981483</v>
      </c>
      <c r="K1015" s="1" t="s">
        <v>1061</v>
      </c>
      <c r="L1015" s="14">
        <f>24*(TblTimeSheet[[#This Row],[End Date and Time]]-TblTimeSheet[[#This Row],[Start Date and Time]])</f>
        <v>0.24999999994179234</v>
      </c>
      <c r="M10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5">
        <f>--(0&gt;(TblTimeSheet[[#This Row],[End Date and Time]]-TblTimeSheet[[#This Row],[Start Date and Time]]))</f>
        <v>0</v>
      </c>
    </row>
    <row r="1016" spans="1:14" x14ac:dyDescent="0.25">
      <c r="A1016" s="1"/>
      <c r="B1016" s="2" t="s">
        <v>909</v>
      </c>
      <c r="C1016" s="2" t="s">
        <v>1105</v>
      </c>
      <c r="D1016" s="2" t="s">
        <v>33</v>
      </c>
      <c r="E1016" s="7" t="s">
        <v>1325</v>
      </c>
      <c r="F1016" s="37">
        <v>42429.520833333336</v>
      </c>
      <c r="G1016" s="37">
        <v>42429.53125</v>
      </c>
      <c r="H1016" s="1" t="s">
        <v>6</v>
      </c>
      <c r="I1016" s="1" t="s">
        <v>38</v>
      </c>
      <c r="J1016" s="1">
        <v>42441.740937499999</v>
      </c>
      <c r="K1016" s="1" t="s">
        <v>41</v>
      </c>
      <c r="L1016" s="14">
        <f>24*(TblTimeSheet[[#This Row],[End Date and Time]]-TblTimeSheet[[#This Row],[Start Date and Time]])</f>
        <v>0.24999999994179234</v>
      </c>
      <c r="M10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6">
        <f>--(0&gt;(TblTimeSheet[[#This Row],[End Date and Time]]-TblTimeSheet[[#This Row],[Start Date and Time]]))</f>
        <v>0</v>
      </c>
    </row>
    <row r="1017" spans="1:14" x14ac:dyDescent="0.25">
      <c r="A1017" s="1"/>
      <c r="B1017" s="2" t="s">
        <v>909</v>
      </c>
      <c r="C1017" s="2" t="s">
        <v>176</v>
      </c>
      <c r="D1017" s="2" t="s">
        <v>33</v>
      </c>
      <c r="E1017" s="7" t="s">
        <v>1326</v>
      </c>
      <c r="F1017" s="37">
        <v>42429.520833333336</v>
      </c>
      <c r="G1017" s="37">
        <v>42429.53125</v>
      </c>
      <c r="H1017" s="1" t="s">
        <v>6</v>
      </c>
      <c r="I1017" s="1" t="s">
        <v>38</v>
      </c>
      <c r="J1017" s="1">
        <v>42429.538703703707</v>
      </c>
      <c r="K1017" s="1" t="s">
        <v>176</v>
      </c>
      <c r="L1017" s="14">
        <f>24*(TblTimeSheet[[#This Row],[End Date and Time]]-TblTimeSheet[[#This Row],[Start Date and Time]])</f>
        <v>0.24999999994179234</v>
      </c>
      <c r="M10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7">
        <f>--(0&gt;(TblTimeSheet[[#This Row],[End Date and Time]]-TblTimeSheet[[#This Row],[Start Date and Time]]))</f>
        <v>0</v>
      </c>
    </row>
    <row r="1018" spans="1:14" ht="30" x14ac:dyDescent="0.25">
      <c r="A1018" s="1"/>
      <c r="B1018" s="2" t="s">
        <v>909</v>
      </c>
      <c r="C1018" s="2" t="s">
        <v>961</v>
      </c>
      <c r="D1018" s="2" t="s">
        <v>33</v>
      </c>
      <c r="E1018" s="7" t="s">
        <v>1835</v>
      </c>
      <c r="F1018" s="37">
        <v>42429.375</v>
      </c>
      <c r="G1018" s="37">
        <v>42429.517361111109</v>
      </c>
      <c r="H1018" s="1" t="s">
        <v>6</v>
      </c>
      <c r="I1018" s="1" t="s">
        <v>38</v>
      </c>
      <c r="J1018" s="1">
        <v>42429.540173611109</v>
      </c>
      <c r="K1018" s="1" t="s">
        <v>961</v>
      </c>
      <c r="L1018" s="14">
        <f>24*(TblTimeSheet[[#This Row],[End Date and Time]]-TblTimeSheet[[#This Row],[Start Date and Time]])</f>
        <v>3.4166666666278616</v>
      </c>
      <c r="M10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8">
        <f>--(0&gt;(TblTimeSheet[[#This Row],[End Date and Time]]-TblTimeSheet[[#This Row],[Start Date and Time]]))</f>
        <v>0</v>
      </c>
    </row>
    <row r="1019" spans="1:14" x14ac:dyDescent="0.25">
      <c r="A1019" s="1"/>
      <c r="B1019" s="2" t="s">
        <v>697</v>
      </c>
      <c r="C1019" s="2" t="s">
        <v>78</v>
      </c>
      <c r="D1019" s="2" t="s">
        <v>33</v>
      </c>
      <c r="E1019" s="7" t="s">
        <v>1327</v>
      </c>
      <c r="F1019" s="37">
        <v>42429.583333333336</v>
      </c>
      <c r="G1019" s="37">
        <v>42429.597222222219</v>
      </c>
      <c r="H1019" s="1" t="s">
        <v>6</v>
      </c>
      <c r="I1019" s="1" t="s">
        <v>38</v>
      </c>
      <c r="J1019" s="1">
        <v>42429.595347222225</v>
      </c>
      <c r="K1019" s="1" t="s">
        <v>78</v>
      </c>
      <c r="L1019" s="14">
        <f>24*(TblTimeSheet[[#This Row],[End Date and Time]]-TblTimeSheet[[#This Row],[Start Date and Time]])</f>
        <v>0.33333333319751546</v>
      </c>
      <c r="M10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19">
        <f>--(0&gt;(TblTimeSheet[[#This Row],[End Date and Time]]-TblTimeSheet[[#This Row],[Start Date and Time]]))</f>
        <v>0</v>
      </c>
    </row>
    <row r="1020" spans="1:14" x14ac:dyDescent="0.25">
      <c r="A1020" s="1"/>
      <c r="B1020" s="2" t="s">
        <v>697</v>
      </c>
      <c r="C1020" s="2" t="s">
        <v>124</v>
      </c>
      <c r="D1020" s="2" t="s">
        <v>33</v>
      </c>
      <c r="E1020" s="7" t="s">
        <v>1328</v>
      </c>
      <c r="F1020" s="37">
        <v>42429.583333333336</v>
      </c>
      <c r="G1020" s="37">
        <v>42429.597222222219</v>
      </c>
      <c r="H1020" s="1" t="s">
        <v>6</v>
      </c>
      <c r="I1020" s="1" t="s">
        <v>38</v>
      </c>
      <c r="J1020" s="1">
        <v>42429.597754629627</v>
      </c>
      <c r="K1020" s="1" t="s">
        <v>2863</v>
      </c>
      <c r="L1020" s="14">
        <f>24*(TblTimeSheet[[#This Row],[End Date and Time]]-TblTimeSheet[[#This Row],[Start Date and Time]])</f>
        <v>0.33333333319751546</v>
      </c>
      <c r="M10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0">
        <f>--(0&gt;(TblTimeSheet[[#This Row],[End Date and Time]]-TblTimeSheet[[#This Row],[Start Date and Time]]))</f>
        <v>0</v>
      </c>
    </row>
    <row r="1021" spans="1:14" x14ac:dyDescent="0.25">
      <c r="A1021" s="1"/>
      <c r="B1021" s="2" t="s">
        <v>915</v>
      </c>
      <c r="C1021" s="2" t="s">
        <v>116</v>
      </c>
      <c r="D1021" s="2" t="s">
        <v>19</v>
      </c>
      <c r="E1021" s="7" t="s">
        <v>1836</v>
      </c>
      <c r="F1021" s="37">
        <v>42429.4375</v>
      </c>
      <c r="G1021" s="37">
        <v>42429.458333333336</v>
      </c>
      <c r="H1021" s="1" t="s">
        <v>6</v>
      </c>
      <c r="I1021" s="1" t="s">
        <v>38</v>
      </c>
      <c r="J1021" s="1">
        <v>42429.599189814813</v>
      </c>
      <c r="K1021" s="1" t="s">
        <v>701</v>
      </c>
      <c r="L1021" s="14">
        <f>24*(TblTimeSheet[[#This Row],[End Date and Time]]-TblTimeSheet[[#This Row],[Start Date and Time]])</f>
        <v>0.50000000005820766</v>
      </c>
      <c r="M10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21">
        <f>--(0&gt;(TblTimeSheet[[#This Row],[End Date and Time]]-TblTimeSheet[[#This Row],[Start Date and Time]]))</f>
        <v>0</v>
      </c>
    </row>
    <row r="1022" spans="1:14" x14ac:dyDescent="0.25">
      <c r="A1022" s="1"/>
      <c r="B1022" s="2" t="s">
        <v>913</v>
      </c>
      <c r="C1022" s="2" t="s">
        <v>36</v>
      </c>
      <c r="D1022" s="2" t="s">
        <v>20</v>
      </c>
      <c r="E1022" s="7" t="s">
        <v>1837</v>
      </c>
      <c r="F1022" s="37">
        <v>42429.59375</v>
      </c>
      <c r="G1022" s="37">
        <v>42429.604166666664</v>
      </c>
      <c r="H1022" s="1" t="s">
        <v>6</v>
      </c>
      <c r="I1022" s="1" t="s">
        <v>38</v>
      </c>
      <c r="J1022" s="1">
        <v>42431.390092592592</v>
      </c>
      <c r="K1022" s="1" t="s">
        <v>36</v>
      </c>
      <c r="L1022" s="14">
        <f>24*(TblTimeSheet[[#This Row],[End Date and Time]]-TblTimeSheet[[#This Row],[Start Date and Time]])</f>
        <v>0.24999999994179234</v>
      </c>
      <c r="M10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2">
        <f>--(0&gt;(TblTimeSheet[[#This Row],[End Date and Time]]-TblTimeSheet[[#This Row],[Start Date and Time]]))</f>
        <v>0</v>
      </c>
    </row>
    <row r="1023" spans="1:14" x14ac:dyDescent="0.25">
      <c r="A1023" s="1"/>
      <c r="B1023" s="2" t="s">
        <v>913</v>
      </c>
      <c r="C1023" s="2" t="s">
        <v>36</v>
      </c>
      <c r="D1023" s="2" t="s">
        <v>20</v>
      </c>
      <c r="E1023" s="7" t="s">
        <v>1329</v>
      </c>
      <c r="F1023" s="37">
        <v>42429.611111111109</v>
      </c>
      <c r="G1023" s="37">
        <v>42429.614583333336</v>
      </c>
      <c r="H1023" s="1" t="s">
        <v>6</v>
      </c>
      <c r="I1023" s="1" t="s">
        <v>38</v>
      </c>
      <c r="J1023" s="1">
        <v>42429.614293981482</v>
      </c>
      <c r="K1023" s="1" t="s">
        <v>36</v>
      </c>
      <c r="L1023" s="14">
        <f>24*(TblTimeSheet[[#This Row],[End Date and Time]]-TblTimeSheet[[#This Row],[Start Date and Time]])</f>
        <v>8.3333333430346102E-2</v>
      </c>
      <c r="M10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3">
        <f>--(0&gt;(TblTimeSheet[[#This Row],[End Date and Time]]-TblTimeSheet[[#This Row],[Start Date and Time]]))</f>
        <v>0</v>
      </c>
    </row>
    <row r="1024" spans="1:14" x14ac:dyDescent="0.25">
      <c r="A1024" s="1"/>
      <c r="B1024" s="2" t="s">
        <v>913</v>
      </c>
      <c r="C1024" s="2" t="s">
        <v>1105</v>
      </c>
      <c r="D1024" s="2" t="s">
        <v>20</v>
      </c>
      <c r="E1024" s="7" t="s">
        <v>1838</v>
      </c>
      <c r="F1024" s="37">
        <v>42429.611111111109</v>
      </c>
      <c r="G1024" s="37">
        <v>42429.614583333336</v>
      </c>
      <c r="H1024" s="1" t="s">
        <v>6</v>
      </c>
      <c r="I1024" s="1" t="s">
        <v>38</v>
      </c>
      <c r="J1024" s="1">
        <v>42430.658854166664</v>
      </c>
      <c r="K1024" s="1" t="s">
        <v>36</v>
      </c>
      <c r="L1024" s="14">
        <f>24*(TblTimeSheet[[#This Row],[End Date and Time]]-TblTimeSheet[[#This Row],[Start Date and Time]])</f>
        <v>8.3333333430346102E-2</v>
      </c>
      <c r="M10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4">
        <f>--(0&gt;(TblTimeSheet[[#This Row],[End Date and Time]]-TblTimeSheet[[#This Row],[Start Date and Time]]))</f>
        <v>0</v>
      </c>
    </row>
    <row r="1025" spans="1:14" ht="45" x14ac:dyDescent="0.25">
      <c r="A1025" s="1"/>
      <c r="B1025" s="2" t="s">
        <v>915</v>
      </c>
      <c r="C1025" s="2" t="s">
        <v>116</v>
      </c>
      <c r="D1025" s="2" t="s">
        <v>19</v>
      </c>
      <c r="E1025" s="7" t="s">
        <v>1839</v>
      </c>
      <c r="F1025" s="37">
        <v>42429.4375</v>
      </c>
      <c r="G1025" s="37">
        <v>42429.479166666664</v>
      </c>
      <c r="H1025" s="1" t="s">
        <v>6</v>
      </c>
      <c r="I1025" s="1" t="s">
        <v>38</v>
      </c>
      <c r="J1025" s="1">
        <v>42429.634548611109</v>
      </c>
      <c r="K1025" s="1" t="s">
        <v>39</v>
      </c>
      <c r="L1025" s="14">
        <f>24*(TblTimeSheet[[#This Row],[End Date and Time]]-TblTimeSheet[[#This Row],[Start Date and Time]])</f>
        <v>0.99999999994179234</v>
      </c>
      <c r="M10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25">
        <f>--(0&gt;(TblTimeSheet[[#This Row],[End Date and Time]]-TblTimeSheet[[#This Row],[Start Date and Time]]))</f>
        <v>0</v>
      </c>
    </row>
    <row r="1026" spans="1:14" x14ac:dyDescent="0.25">
      <c r="A1026" s="1"/>
      <c r="B1026" s="2" t="s">
        <v>915</v>
      </c>
      <c r="C1026" s="2" t="s">
        <v>116</v>
      </c>
      <c r="D1026" s="2" t="s">
        <v>19</v>
      </c>
      <c r="E1026" s="7" t="s">
        <v>1330</v>
      </c>
      <c r="F1026" s="37">
        <v>42429.583333333336</v>
      </c>
      <c r="G1026" s="37">
        <v>42429.625</v>
      </c>
      <c r="H1026" s="1" t="s">
        <v>6</v>
      </c>
      <c r="I1026" s="1" t="s">
        <v>38</v>
      </c>
      <c r="J1026" s="1">
        <v>42429.635115740741</v>
      </c>
      <c r="K1026" s="1" t="s">
        <v>39</v>
      </c>
      <c r="L1026" s="14">
        <f>24*(TblTimeSheet[[#This Row],[End Date and Time]]-TblTimeSheet[[#This Row],[Start Date and Time]])</f>
        <v>0.99999999994179234</v>
      </c>
      <c r="M10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6">
        <f>--(0&gt;(TblTimeSheet[[#This Row],[End Date and Time]]-TblTimeSheet[[#This Row],[Start Date and Time]]))</f>
        <v>0</v>
      </c>
    </row>
    <row r="1027" spans="1:14" x14ac:dyDescent="0.25">
      <c r="A1027" s="1"/>
      <c r="B1027" s="2" t="s">
        <v>915</v>
      </c>
      <c r="C1027" s="2" t="s">
        <v>43</v>
      </c>
      <c r="D1027" s="2" t="s">
        <v>19</v>
      </c>
      <c r="E1027" s="7" t="s">
        <v>1331</v>
      </c>
      <c r="F1027" s="37">
        <v>42429.416666666664</v>
      </c>
      <c r="G1027" s="37">
        <v>42429.458333333336</v>
      </c>
      <c r="H1027" s="1" t="s">
        <v>6</v>
      </c>
      <c r="I1027" s="1" t="s">
        <v>38</v>
      </c>
      <c r="J1027" s="1">
        <v>42429.643368055556</v>
      </c>
      <c r="K1027" s="1" t="s">
        <v>43</v>
      </c>
      <c r="L1027" s="14">
        <f>24*(TblTimeSheet[[#This Row],[End Date and Time]]-TblTimeSheet[[#This Row],[Start Date and Time]])</f>
        <v>1.0000000001164153</v>
      </c>
      <c r="M10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7">
        <f>--(0&gt;(TblTimeSheet[[#This Row],[End Date and Time]]-TblTimeSheet[[#This Row],[Start Date and Time]]))</f>
        <v>0</v>
      </c>
    </row>
    <row r="1028" spans="1:14" x14ac:dyDescent="0.25">
      <c r="A1028" s="1"/>
      <c r="B1028" s="2" t="s">
        <v>915</v>
      </c>
      <c r="C1028" s="2" t="s">
        <v>43</v>
      </c>
      <c r="D1028" s="2" t="s">
        <v>19</v>
      </c>
      <c r="E1028" s="7" t="s">
        <v>1332</v>
      </c>
      <c r="F1028" s="37">
        <v>42429.583333333336</v>
      </c>
      <c r="G1028" s="37">
        <v>42429.625</v>
      </c>
      <c r="H1028" s="1" t="s">
        <v>6</v>
      </c>
      <c r="I1028" s="1" t="s">
        <v>38</v>
      </c>
      <c r="J1028" s="1">
        <v>42429.64466435185</v>
      </c>
      <c r="K1028" s="1" t="s">
        <v>43</v>
      </c>
      <c r="L1028" s="14">
        <f>24*(TblTimeSheet[[#This Row],[End Date and Time]]-TblTimeSheet[[#This Row],[Start Date and Time]])</f>
        <v>0.99999999994179234</v>
      </c>
      <c r="M10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8">
        <f>--(0&gt;(TblTimeSheet[[#This Row],[End Date and Time]]-TblTimeSheet[[#This Row],[Start Date and Time]]))</f>
        <v>0</v>
      </c>
    </row>
    <row r="1029" spans="1:14" x14ac:dyDescent="0.25">
      <c r="A1029" s="1"/>
      <c r="B1029" s="2" t="s">
        <v>909</v>
      </c>
      <c r="C1029" s="2" t="s">
        <v>961</v>
      </c>
      <c r="D1029" s="2" t="s">
        <v>33</v>
      </c>
      <c r="E1029" s="7" t="s">
        <v>1840</v>
      </c>
      <c r="F1029" s="37">
        <v>42429.583333333336</v>
      </c>
      <c r="G1029" s="37">
        <v>42429.760416666664</v>
      </c>
      <c r="H1029" s="1" t="s">
        <v>6</v>
      </c>
      <c r="I1029" s="1" t="s">
        <v>38</v>
      </c>
      <c r="J1029" s="1">
        <v>42429.775497685187</v>
      </c>
      <c r="K1029" s="1" t="s">
        <v>961</v>
      </c>
      <c r="L1029" s="14">
        <f>24*(TblTimeSheet[[#This Row],[End Date and Time]]-TblTimeSheet[[#This Row],[Start Date and Time]])</f>
        <v>4.2499999998835847</v>
      </c>
      <c r="M10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29">
        <f>--(0&gt;(TblTimeSheet[[#This Row],[End Date and Time]]-TblTimeSheet[[#This Row],[Start Date and Time]]))</f>
        <v>0</v>
      </c>
    </row>
    <row r="1030" spans="1:14" x14ac:dyDescent="0.25">
      <c r="A1030" s="1"/>
      <c r="B1030" s="2" t="s">
        <v>915</v>
      </c>
      <c r="C1030" s="2" t="s">
        <v>116</v>
      </c>
      <c r="D1030" s="2" t="s">
        <v>19</v>
      </c>
      <c r="E1030" s="7" t="s">
        <v>1333</v>
      </c>
      <c r="F1030" s="37">
        <v>42430.385416666664</v>
      </c>
      <c r="G1030" s="37">
        <v>42430.40625</v>
      </c>
      <c r="H1030" s="1" t="s">
        <v>6</v>
      </c>
      <c r="I1030" s="1" t="s">
        <v>38</v>
      </c>
      <c r="J1030" s="1">
        <v>42430.424722222226</v>
      </c>
      <c r="K1030" s="1" t="s">
        <v>701</v>
      </c>
      <c r="L1030" s="14">
        <f>24*(TblTimeSheet[[#This Row],[End Date and Time]]-TblTimeSheet[[#This Row],[Start Date and Time]])</f>
        <v>0.50000000005820766</v>
      </c>
      <c r="M10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30">
        <f>--(0&gt;(TblTimeSheet[[#This Row],[End Date and Time]]-TblTimeSheet[[#This Row],[Start Date and Time]]))</f>
        <v>0</v>
      </c>
    </row>
    <row r="1031" spans="1:14" x14ac:dyDescent="0.25">
      <c r="A1031" s="1"/>
      <c r="B1031" s="2" t="s">
        <v>913</v>
      </c>
      <c r="C1031" s="2" t="s">
        <v>118</v>
      </c>
      <c r="D1031" s="2" t="s">
        <v>20</v>
      </c>
      <c r="E1031" s="7" t="s">
        <v>451</v>
      </c>
      <c r="F1031" s="37">
        <v>42430.416666666664</v>
      </c>
      <c r="G1031" s="37">
        <v>42430.423611111109</v>
      </c>
      <c r="H1031" s="1" t="s">
        <v>6</v>
      </c>
      <c r="I1031" s="1" t="s">
        <v>38</v>
      </c>
      <c r="J1031" s="1">
        <v>42431.393275462964</v>
      </c>
      <c r="K1031" s="1" t="s">
        <v>118</v>
      </c>
      <c r="L1031" s="14">
        <f>24*(TblTimeSheet[[#This Row],[End Date and Time]]-TblTimeSheet[[#This Row],[Start Date and Time]])</f>
        <v>0.16666666668606922</v>
      </c>
      <c r="M10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1">
        <f>--(0&gt;(TblTimeSheet[[#This Row],[End Date and Time]]-TblTimeSheet[[#This Row],[Start Date and Time]]))</f>
        <v>0</v>
      </c>
    </row>
    <row r="1032" spans="1:14" x14ac:dyDescent="0.25">
      <c r="A1032" s="1"/>
      <c r="B1032" s="2" t="s">
        <v>913</v>
      </c>
      <c r="C1032" s="2" t="s">
        <v>36</v>
      </c>
      <c r="D1032" s="2" t="s">
        <v>20</v>
      </c>
      <c r="E1032" s="7" t="s">
        <v>1334</v>
      </c>
      <c r="F1032" s="37">
        <v>42430.416666666664</v>
      </c>
      <c r="G1032" s="37">
        <v>42430.423611111109</v>
      </c>
      <c r="H1032" s="1" t="s">
        <v>6</v>
      </c>
      <c r="I1032" s="1" t="s">
        <v>38</v>
      </c>
      <c r="J1032" s="1">
        <v>42431.392557870371</v>
      </c>
      <c r="K1032" s="1" t="s">
        <v>36</v>
      </c>
      <c r="L1032" s="14">
        <f>24*(TblTimeSheet[[#This Row],[End Date and Time]]-TblTimeSheet[[#This Row],[Start Date and Time]])</f>
        <v>0.16666666668606922</v>
      </c>
      <c r="M10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2">
        <f>--(0&gt;(TblTimeSheet[[#This Row],[End Date and Time]]-TblTimeSheet[[#This Row],[Start Date and Time]]))</f>
        <v>0</v>
      </c>
    </row>
    <row r="1033" spans="1:14" x14ac:dyDescent="0.25">
      <c r="A1033" s="1"/>
      <c r="B1033" s="2" t="s">
        <v>913</v>
      </c>
      <c r="C1033" s="2" t="s">
        <v>1105</v>
      </c>
      <c r="D1033" s="2" t="s">
        <v>20</v>
      </c>
      <c r="E1033" s="7" t="s">
        <v>1841</v>
      </c>
      <c r="F1033" s="37">
        <v>42430.416666666664</v>
      </c>
      <c r="G1033" s="37">
        <v>42430.423611111109</v>
      </c>
      <c r="H1033" s="1" t="s">
        <v>6</v>
      </c>
      <c r="I1033" s="1" t="s">
        <v>38</v>
      </c>
      <c r="J1033" s="1">
        <v>42431.395879629628</v>
      </c>
      <c r="K1033" s="1" t="s">
        <v>2864</v>
      </c>
      <c r="L1033" s="14">
        <f>24*(TblTimeSheet[[#This Row],[End Date and Time]]-TblTimeSheet[[#This Row],[Start Date and Time]])</f>
        <v>0.16666666668606922</v>
      </c>
      <c r="M10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3">
        <f>--(0&gt;(TblTimeSheet[[#This Row],[End Date and Time]]-TblTimeSheet[[#This Row],[Start Date and Time]]))</f>
        <v>0</v>
      </c>
    </row>
    <row r="1034" spans="1:14" x14ac:dyDescent="0.25">
      <c r="A1034" s="1"/>
      <c r="B1034" s="2" t="s">
        <v>913</v>
      </c>
      <c r="C1034" s="2" t="s">
        <v>171</v>
      </c>
      <c r="D1034" s="2" t="s">
        <v>20</v>
      </c>
      <c r="E1034" s="7" t="s">
        <v>1842</v>
      </c>
      <c r="F1034" s="37">
        <v>42430.416666666664</v>
      </c>
      <c r="G1034" s="37">
        <v>42430.423611111109</v>
      </c>
      <c r="H1034" s="1" t="s">
        <v>6</v>
      </c>
      <c r="I1034" s="1" t="s">
        <v>38</v>
      </c>
      <c r="J1034" s="1">
        <v>42431.394467592596</v>
      </c>
      <c r="K1034" s="1" t="s">
        <v>171</v>
      </c>
      <c r="L1034" s="14">
        <f>24*(TblTimeSheet[[#This Row],[End Date and Time]]-TblTimeSheet[[#This Row],[Start Date and Time]])</f>
        <v>0.16666666668606922</v>
      </c>
      <c r="M10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4">
        <f>--(0&gt;(TblTimeSheet[[#This Row],[End Date and Time]]-TblTimeSheet[[#This Row],[Start Date and Time]]))</f>
        <v>0</v>
      </c>
    </row>
    <row r="1035" spans="1:14" x14ac:dyDescent="0.25">
      <c r="A1035" s="1"/>
      <c r="B1035" s="2" t="s">
        <v>697</v>
      </c>
      <c r="C1035" s="2" t="s">
        <v>143</v>
      </c>
      <c r="D1035" s="2" t="s">
        <v>34</v>
      </c>
      <c r="E1035" s="7" t="s">
        <v>1335</v>
      </c>
      <c r="F1035" s="37">
        <v>42429.395833333336</v>
      </c>
      <c r="G1035" s="37">
        <v>42429.520833333336</v>
      </c>
      <c r="H1035" s="1" t="s">
        <v>6</v>
      </c>
      <c r="I1035" s="1" t="s">
        <v>38</v>
      </c>
      <c r="J1035" s="1">
        <v>42443.720451388886</v>
      </c>
      <c r="K1035" s="1" t="s">
        <v>143</v>
      </c>
      <c r="L1035" s="14">
        <f>24*(TblTimeSheet[[#This Row],[End Date and Time]]-TblTimeSheet[[#This Row],[Start Date and Time]])</f>
        <v>3</v>
      </c>
      <c r="M10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5">
        <f>--(0&gt;(TblTimeSheet[[#This Row],[End Date and Time]]-TblTimeSheet[[#This Row],[Start Date and Time]]))</f>
        <v>0</v>
      </c>
    </row>
    <row r="1036" spans="1:14" ht="30" x14ac:dyDescent="0.25">
      <c r="A1036" s="1"/>
      <c r="B1036" s="2" t="s">
        <v>909</v>
      </c>
      <c r="C1036" s="2" t="s">
        <v>116</v>
      </c>
      <c r="D1036" s="2" t="s">
        <v>33</v>
      </c>
      <c r="E1036" s="7" t="s">
        <v>1843</v>
      </c>
      <c r="F1036" s="37">
        <v>42430.4375</v>
      </c>
      <c r="G1036" s="37">
        <v>42430.479166666664</v>
      </c>
      <c r="H1036" s="1" t="s">
        <v>6</v>
      </c>
      <c r="I1036" s="1" t="s">
        <v>38</v>
      </c>
      <c r="J1036" s="1">
        <v>42430.481874999998</v>
      </c>
      <c r="K1036" s="1" t="s">
        <v>36</v>
      </c>
      <c r="L1036" s="14">
        <f>24*(TblTimeSheet[[#This Row],[End Date and Time]]-TblTimeSheet[[#This Row],[Start Date and Time]])</f>
        <v>0.99999999994179234</v>
      </c>
      <c r="M10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6">
        <f>--(0&gt;(TblTimeSheet[[#This Row],[End Date and Time]]-TblTimeSheet[[#This Row],[Start Date and Time]]))</f>
        <v>0</v>
      </c>
    </row>
    <row r="1037" spans="1:14" x14ac:dyDescent="0.25">
      <c r="A1037" s="1"/>
      <c r="B1037" s="2" t="s">
        <v>909</v>
      </c>
      <c r="C1037" s="2" t="s">
        <v>116</v>
      </c>
      <c r="D1037" s="2" t="s">
        <v>33</v>
      </c>
      <c r="E1037" s="7" t="s">
        <v>1336</v>
      </c>
      <c r="F1037" s="37">
        <v>42430.479166666664</v>
      </c>
      <c r="G1037" s="37">
        <v>42430.493055555555</v>
      </c>
      <c r="H1037" s="1" t="s">
        <v>6</v>
      </c>
      <c r="I1037" s="1" t="s">
        <v>38</v>
      </c>
      <c r="J1037" s="1">
        <v>42430.492708333331</v>
      </c>
      <c r="K1037" s="1" t="s">
        <v>36</v>
      </c>
      <c r="L1037" s="14">
        <f>24*(TblTimeSheet[[#This Row],[End Date and Time]]-TblTimeSheet[[#This Row],[Start Date and Time]])</f>
        <v>0.33333333337213844</v>
      </c>
      <c r="M10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7">
        <f>--(0&gt;(TblTimeSheet[[#This Row],[End Date and Time]]-TblTimeSheet[[#This Row],[Start Date and Time]]))</f>
        <v>0</v>
      </c>
    </row>
    <row r="1038" spans="1:14" x14ac:dyDescent="0.25">
      <c r="A1038" s="1"/>
      <c r="B1038" s="2" t="s">
        <v>913</v>
      </c>
      <c r="C1038" s="2" t="s">
        <v>36</v>
      </c>
      <c r="D1038" s="2" t="s">
        <v>20</v>
      </c>
      <c r="E1038" s="7" t="s">
        <v>1337</v>
      </c>
      <c r="F1038" s="37">
        <v>42430.517361111109</v>
      </c>
      <c r="G1038" s="37">
        <v>42430.520833333336</v>
      </c>
      <c r="H1038" s="1" t="s">
        <v>6</v>
      </c>
      <c r="I1038" s="1" t="s">
        <v>38</v>
      </c>
      <c r="J1038" s="1">
        <v>42431.399189814816</v>
      </c>
      <c r="K1038" s="1" t="s">
        <v>36</v>
      </c>
      <c r="L1038" s="14">
        <f>24*(TblTimeSheet[[#This Row],[End Date and Time]]-TblTimeSheet[[#This Row],[Start Date and Time]])</f>
        <v>8.3333333430346102E-2</v>
      </c>
      <c r="M10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8">
        <f>--(0&gt;(TblTimeSheet[[#This Row],[End Date and Time]]-TblTimeSheet[[#This Row],[Start Date and Time]]))</f>
        <v>0</v>
      </c>
    </row>
    <row r="1039" spans="1:14" ht="30" x14ac:dyDescent="0.25">
      <c r="A1039" s="1"/>
      <c r="B1039" s="2" t="s">
        <v>913</v>
      </c>
      <c r="C1039" s="2" t="s">
        <v>116</v>
      </c>
      <c r="D1039" s="2" t="s">
        <v>20</v>
      </c>
      <c r="E1039" s="7" t="s">
        <v>1338</v>
      </c>
      <c r="F1039" s="37">
        <v>42430.416666666664</v>
      </c>
      <c r="G1039" s="37">
        <v>42430.423611111109</v>
      </c>
      <c r="H1039" s="1" t="s">
        <v>6</v>
      </c>
      <c r="I1039" s="1" t="s">
        <v>38</v>
      </c>
      <c r="J1039" s="1">
        <v>42431.396828703706</v>
      </c>
      <c r="K1039" s="1" t="s">
        <v>39</v>
      </c>
      <c r="L1039" s="14">
        <f>24*(TblTimeSheet[[#This Row],[End Date and Time]]-TblTimeSheet[[#This Row],[Start Date and Time]])</f>
        <v>0.16666666668606922</v>
      </c>
      <c r="M10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39">
        <f>--(0&gt;(TblTimeSheet[[#This Row],[End Date and Time]]-TblTimeSheet[[#This Row],[Start Date and Time]]))</f>
        <v>0</v>
      </c>
    </row>
    <row r="1040" spans="1:14" x14ac:dyDescent="0.25">
      <c r="A1040" s="1"/>
      <c r="B1040" s="2" t="s">
        <v>915</v>
      </c>
      <c r="C1040" s="2" t="s">
        <v>116</v>
      </c>
      <c r="D1040" s="2" t="s">
        <v>19</v>
      </c>
      <c r="E1040" s="7" t="s">
        <v>1339</v>
      </c>
      <c r="F1040" s="37">
        <v>42430.385416666664</v>
      </c>
      <c r="G1040" s="37">
        <v>42430.40625</v>
      </c>
      <c r="H1040" s="1" t="s">
        <v>6</v>
      </c>
      <c r="I1040" s="1" t="s">
        <v>38</v>
      </c>
      <c r="J1040" s="1">
        <v>42430.521307870367</v>
      </c>
      <c r="K1040" s="1" t="s">
        <v>39</v>
      </c>
      <c r="L1040" s="14">
        <f>24*(TblTimeSheet[[#This Row],[End Date and Time]]-TblTimeSheet[[#This Row],[Start Date and Time]])</f>
        <v>0.50000000005820766</v>
      </c>
      <c r="M10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40">
        <f>--(0&gt;(TblTimeSheet[[#This Row],[End Date and Time]]-TblTimeSheet[[#This Row],[Start Date and Time]]))</f>
        <v>0</v>
      </c>
    </row>
    <row r="1041" spans="1:14" x14ac:dyDescent="0.25">
      <c r="A1041" s="1"/>
      <c r="B1041" s="2" t="s">
        <v>913</v>
      </c>
      <c r="C1041" s="2" t="s">
        <v>171</v>
      </c>
      <c r="D1041" s="2" t="s">
        <v>20</v>
      </c>
      <c r="E1041" s="7" t="s">
        <v>1340</v>
      </c>
      <c r="F1041" s="37">
        <v>42430.472222222219</v>
      </c>
      <c r="G1041" s="37">
        <v>42430.486111111109</v>
      </c>
      <c r="H1041" s="1" t="s">
        <v>6</v>
      </c>
      <c r="I1041" s="1" t="s">
        <v>38</v>
      </c>
      <c r="J1041" s="1">
        <v>42431.405775462961</v>
      </c>
      <c r="K1041" s="1" t="s">
        <v>171</v>
      </c>
      <c r="L1041" s="14">
        <f>24*(TblTimeSheet[[#This Row],[End Date and Time]]-TblTimeSheet[[#This Row],[Start Date and Time]])</f>
        <v>0.33333333337213844</v>
      </c>
      <c r="M10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1">
        <f>--(0&gt;(TblTimeSheet[[#This Row],[End Date and Time]]-TblTimeSheet[[#This Row],[Start Date and Time]]))</f>
        <v>0</v>
      </c>
    </row>
    <row r="1042" spans="1:14" x14ac:dyDescent="0.25">
      <c r="A1042" s="1"/>
      <c r="B1042" s="2" t="s">
        <v>913</v>
      </c>
      <c r="C1042" s="2" t="s">
        <v>171</v>
      </c>
      <c r="D1042" s="2" t="s">
        <v>20</v>
      </c>
      <c r="E1042" s="7" t="s">
        <v>1142</v>
      </c>
      <c r="F1042" s="37">
        <v>42430.506944444445</v>
      </c>
      <c r="G1042" s="37">
        <v>42430.517361111109</v>
      </c>
      <c r="H1042" s="1" t="s">
        <v>6</v>
      </c>
      <c r="I1042" s="1" t="s">
        <v>38</v>
      </c>
      <c r="J1042" s="1">
        <v>42431.409814814811</v>
      </c>
      <c r="K1042" s="1" t="s">
        <v>171</v>
      </c>
      <c r="L1042" s="14">
        <f>24*(TblTimeSheet[[#This Row],[End Date and Time]]-TblTimeSheet[[#This Row],[Start Date and Time]])</f>
        <v>0.24999999994179234</v>
      </c>
      <c r="M10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2">
        <f>--(0&gt;(TblTimeSheet[[#This Row],[End Date and Time]]-TblTimeSheet[[#This Row],[Start Date and Time]]))</f>
        <v>0</v>
      </c>
    </row>
    <row r="1043" spans="1:14" x14ac:dyDescent="0.25">
      <c r="A1043" s="1"/>
      <c r="B1043" s="2" t="s">
        <v>913</v>
      </c>
      <c r="C1043" s="2" t="s">
        <v>41</v>
      </c>
      <c r="D1043" s="2" t="s">
        <v>20</v>
      </c>
      <c r="E1043" s="7" t="s">
        <v>1341</v>
      </c>
      <c r="F1043" s="37">
        <v>42430.506944444445</v>
      </c>
      <c r="G1043" s="37">
        <v>42430.517361111109</v>
      </c>
      <c r="H1043" s="1" t="s">
        <v>6</v>
      </c>
      <c r="I1043" s="1" t="s">
        <v>38</v>
      </c>
      <c r="J1043" s="1">
        <v>42431.409409722219</v>
      </c>
      <c r="K1043" s="1" t="s">
        <v>41</v>
      </c>
      <c r="L1043" s="14">
        <f>24*(TblTimeSheet[[#This Row],[End Date and Time]]-TblTimeSheet[[#This Row],[Start Date and Time]])</f>
        <v>0.24999999994179234</v>
      </c>
      <c r="M10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3">
        <f>--(0&gt;(TblTimeSheet[[#This Row],[End Date and Time]]-TblTimeSheet[[#This Row],[Start Date and Time]]))</f>
        <v>0</v>
      </c>
    </row>
    <row r="1044" spans="1:14" x14ac:dyDescent="0.25">
      <c r="A1044" s="1"/>
      <c r="B1044" s="2" t="s">
        <v>913</v>
      </c>
      <c r="C1044" s="2" t="s">
        <v>143</v>
      </c>
      <c r="D1044" s="2" t="s">
        <v>20</v>
      </c>
      <c r="E1044" s="7" t="s">
        <v>1844</v>
      </c>
      <c r="F1044" s="37">
        <v>42430.506944444445</v>
      </c>
      <c r="G1044" s="37">
        <v>42430.517361111109</v>
      </c>
      <c r="H1044" s="1" t="s">
        <v>6</v>
      </c>
      <c r="I1044" s="1" t="s">
        <v>38</v>
      </c>
      <c r="J1044" s="1">
        <v>42431.408993055556</v>
      </c>
      <c r="K1044" s="1" t="s">
        <v>143</v>
      </c>
      <c r="L1044" s="14">
        <f>24*(TblTimeSheet[[#This Row],[End Date and Time]]-TblTimeSheet[[#This Row],[Start Date and Time]])</f>
        <v>0.24999999994179234</v>
      </c>
      <c r="M10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4">
        <f>--(0&gt;(TblTimeSheet[[#This Row],[End Date and Time]]-TblTimeSheet[[#This Row],[Start Date and Time]]))</f>
        <v>0</v>
      </c>
    </row>
    <row r="1045" spans="1:14" x14ac:dyDescent="0.25">
      <c r="A1045" s="1"/>
      <c r="B1045" s="2" t="s">
        <v>913</v>
      </c>
      <c r="C1045" s="2" t="s">
        <v>171</v>
      </c>
      <c r="D1045" s="2" t="s">
        <v>20</v>
      </c>
      <c r="E1045" s="7" t="s">
        <v>180</v>
      </c>
      <c r="F1045" s="37">
        <v>42430.538194444445</v>
      </c>
      <c r="G1045" s="37">
        <v>42430.541666666664</v>
      </c>
      <c r="H1045" s="1" t="s">
        <v>6</v>
      </c>
      <c r="I1045" s="1" t="s">
        <v>38</v>
      </c>
      <c r="J1045" s="1">
        <v>42431.410069444442</v>
      </c>
      <c r="K1045" s="1" t="s">
        <v>171</v>
      </c>
      <c r="L1045" s="14">
        <f>24*(TblTimeSheet[[#This Row],[End Date and Time]]-TblTimeSheet[[#This Row],[Start Date and Time]])</f>
        <v>8.3333333255723119E-2</v>
      </c>
      <c r="M10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5">
        <f>--(0&gt;(TblTimeSheet[[#This Row],[End Date and Time]]-TblTimeSheet[[#This Row],[Start Date and Time]]))</f>
        <v>0</v>
      </c>
    </row>
    <row r="1046" spans="1:14" x14ac:dyDescent="0.25">
      <c r="A1046" s="1"/>
      <c r="B1046" s="2" t="s">
        <v>915</v>
      </c>
      <c r="C1046" s="2" t="s">
        <v>116</v>
      </c>
      <c r="D1046" s="2" t="s">
        <v>19</v>
      </c>
      <c r="E1046" s="7" t="s">
        <v>1342</v>
      </c>
      <c r="F1046" s="37">
        <v>42430.520833333336</v>
      </c>
      <c r="G1046" s="37">
        <v>42430.53125</v>
      </c>
      <c r="H1046" s="1" t="s">
        <v>6</v>
      </c>
      <c r="I1046" s="1" t="s">
        <v>38</v>
      </c>
      <c r="J1046" s="1">
        <v>42430.545740740738</v>
      </c>
      <c r="K1046" s="1" t="s">
        <v>39</v>
      </c>
      <c r="L1046" s="14">
        <f>24*(TblTimeSheet[[#This Row],[End Date and Time]]-TblTimeSheet[[#This Row],[Start Date and Time]])</f>
        <v>0.24999999994179234</v>
      </c>
      <c r="M10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6">
        <f>--(0&gt;(TblTimeSheet[[#This Row],[End Date and Time]]-TblTimeSheet[[#This Row],[Start Date and Time]]))</f>
        <v>0</v>
      </c>
    </row>
    <row r="1047" spans="1:14" x14ac:dyDescent="0.25">
      <c r="A1047" s="1"/>
      <c r="B1047" s="2" t="s">
        <v>913</v>
      </c>
      <c r="C1047" s="2" t="s">
        <v>118</v>
      </c>
      <c r="D1047" s="2" t="s">
        <v>20</v>
      </c>
      <c r="E1047" s="7" t="s">
        <v>1845</v>
      </c>
      <c r="F1047" s="37">
        <v>42430.493055555555</v>
      </c>
      <c r="G1047" s="37">
        <v>42430.506944444445</v>
      </c>
      <c r="H1047" s="1" t="s">
        <v>6</v>
      </c>
      <c r="I1047" s="1" t="s">
        <v>38</v>
      </c>
      <c r="J1047" s="1">
        <v>42431.400995370372</v>
      </c>
      <c r="K1047" s="1" t="s">
        <v>118</v>
      </c>
      <c r="L1047" s="14">
        <f>24*(TblTimeSheet[[#This Row],[End Date and Time]]-TblTimeSheet[[#This Row],[Start Date and Time]])</f>
        <v>0.33333333337213844</v>
      </c>
      <c r="M10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7">
        <f>--(0&gt;(TblTimeSheet[[#This Row],[End Date and Time]]-TblTimeSheet[[#This Row],[Start Date and Time]]))</f>
        <v>0</v>
      </c>
    </row>
    <row r="1048" spans="1:14" x14ac:dyDescent="0.25">
      <c r="A1048" s="1"/>
      <c r="B1048" s="2" t="s">
        <v>913</v>
      </c>
      <c r="C1048" s="2" t="s">
        <v>118</v>
      </c>
      <c r="D1048" s="2" t="s">
        <v>20</v>
      </c>
      <c r="E1048" s="7" t="s">
        <v>1343</v>
      </c>
      <c r="F1048" s="37">
        <v>42430.520833333336</v>
      </c>
      <c r="G1048" s="37">
        <v>42430.534722222219</v>
      </c>
      <c r="H1048" s="1" t="s">
        <v>6</v>
      </c>
      <c r="I1048" s="1" t="s">
        <v>38</v>
      </c>
      <c r="J1048" s="1">
        <v>42431.402708333335</v>
      </c>
      <c r="K1048" s="1" t="s">
        <v>118</v>
      </c>
      <c r="L1048" s="14">
        <f>24*(TblTimeSheet[[#This Row],[End Date and Time]]-TblTimeSheet[[#This Row],[Start Date and Time]])</f>
        <v>0.33333333319751546</v>
      </c>
      <c r="M10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8">
        <f>--(0&gt;(TblTimeSheet[[#This Row],[End Date and Time]]-TblTimeSheet[[#This Row],[Start Date and Time]]))</f>
        <v>0</v>
      </c>
    </row>
    <row r="1049" spans="1:14" x14ac:dyDescent="0.25">
      <c r="A1049" s="1"/>
      <c r="B1049" s="2" t="s">
        <v>913</v>
      </c>
      <c r="C1049" s="2" t="s">
        <v>118</v>
      </c>
      <c r="D1049" s="2" t="s">
        <v>20</v>
      </c>
      <c r="E1049" s="7" t="s">
        <v>1344</v>
      </c>
      <c r="F1049" s="37">
        <v>42430.611111111109</v>
      </c>
      <c r="G1049" s="37">
        <v>42430.614583333336</v>
      </c>
      <c r="H1049" s="1" t="s">
        <v>6</v>
      </c>
      <c r="I1049" s="1" t="s">
        <v>38</v>
      </c>
      <c r="J1049" s="1">
        <v>42431.402928240743</v>
      </c>
      <c r="K1049" s="1" t="s">
        <v>118</v>
      </c>
      <c r="L1049" s="14">
        <f>24*(TblTimeSheet[[#This Row],[End Date and Time]]-TblTimeSheet[[#This Row],[Start Date and Time]])</f>
        <v>8.3333333430346102E-2</v>
      </c>
      <c r="M10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49">
        <f>--(0&gt;(TblTimeSheet[[#This Row],[End Date and Time]]-TblTimeSheet[[#This Row],[Start Date and Time]]))</f>
        <v>0</v>
      </c>
    </row>
    <row r="1050" spans="1:14" x14ac:dyDescent="0.25">
      <c r="A1050" s="1"/>
      <c r="B1050" s="2" t="s">
        <v>913</v>
      </c>
      <c r="C1050" s="2" t="s">
        <v>43</v>
      </c>
      <c r="D1050" s="2" t="s">
        <v>20</v>
      </c>
      <c r="E1050" s="7" t="s">
        <v>1345</v>
      </c>
      <c r="F1050" s="37">
        <v>42430.520833333336</v>
      </c>
      <c r="G1050" s="37">
        <v>42430.534722222219</v>
      </c>
      <c r="H1050" s="1" t="s">
        <v>6</v>
      </c>
      <c r="I1050" s="1" t="s">
        <v>38</v>
      </c>
      <c r="J1050" s="1">
        <v>42431.403344907405</v>
      </c>
      <c r="K1050" s="1" t="s">
        <v>43</v>
      </c>
      <c r="L1050" s="14">
        <f>24*(TblTimeSheet[[#This Row],[End Date and Time]]-TblTimeSheet[[#This Row],[Start Date and Time]])</f>
        <v>0.33333333319751546</v>
      </c>
      <c r="M10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0">
        <f>--(0&gt;(TblTimeSheet[[#This Row],[End Date and Time]]-TblTimeSheet[[#This Row],[Start Date and Time]]))</f>
        <v>0</v>
      </c>
    </row>
    <row r="1051" spans="1:14" x14ac:dyDescent="0.25">
      <c r="A1051" s="1"/>
      <c r="B1051" s="2" t="s">
        <v>913</v>
      </c>
      <c r="C1051" s="2" t="s">
        <v>116</v>
      </c>
      <c r="D1051" s="2" t="s">
        <v>20</v>
      </c>
      <c r="E1051" s="7" t="s">
        <v>1346</v>
      </c>
      <c r="F1051" s="37">
        <v>42430.65625</v>
      </c>
      <c r="G1051" s="37">
        <v>42430.680555555555</v>
      </c>
      <c r="H1051" s="1" t="s">
        <v>6</v>
      </c>
      <c r="I1051" s="1" t="s">
        <v>38</v>
      </c>
      <c r="J1051" s="1">
        <v>42430.683703703704</v>
      </c>
      <c r="K1051" s="1" t="s">
        <v>39</v>
      </c>
      <c r="L1051" s="14">
        <f>24*(TblTimeSheet[[#This Row],[End Date and Time]]-TblTimeSheet[[#This Row],[Start Date and Time]])</f>
        <v>0.58333333331393078</v>
      </c>
      <c r="M10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1">
        <f>--(0&gt;(TblTimeSheet[[#This Row],[End Date and Time]]-TblTimeSheet[[#This Row],[Start Date and Time]]))</f>
        <v>0</v>
      </c>
    </row>
    <row r="1052" spans="1:14" x14ac:dyDescent="0.25">
      <c r="A1052" s="1"/>
      <c r="B1052" s="2" t="s">
        <v>913</v>
      </c>
      <c r="C1052" s="2" t="s">
        <v>116</v>
      </c>
      <c r="D1052" s="2" t="s">
        <v>20</v>
      </c>
      <c r="E1052" s="7" t="s">
        <v>1347</v>
      </c>
      <c r="F1052" s="37">
        <v>42430.666666666664</v>
      </c>
      <c r="G1052" s="37">
        <v>42430.677083333336</v>
      </c>
      <c r="H1052" s="1" t="s">
        <v>6</v>
      </c>
      <c r="I1052" s="1" t="s">
        <v>38</v>
      </c>
      <c r="J1052" s="1">
        <v>42430.711597222224</v>
      </c>
      <c r="K1052" s="1" t="s">
        <v>701</v>
      </c>
      <c r="L1052" s="14">
        <f>24*(TblTimeSheet[[#This Row],[End Date and Time]]-TblTimeSheet[[#This Row],[Start Date and Time]])</f>
        <v>0.25000000011641532</v>
      </c>
      <c r="M10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52">
        <f>--(0&gt;(TblTimeSheet[[#This Row],[End Date and Time]]-TblTimeSheet[[#This Row],[Start Date and Time]]))</f>
        <v>0</v>
      </c>
    </row>
    <row r="1053" spans="1:14" x14ac:dyDescent="0.25">
      <c r="A1053" s="1"/>
      <c r="B1053" s="2" t="s">
        <v>913</v>
      </c>
      <c r="C1053" s="2" t="s">
        <v>36</v>
      </c>
      <c r="D1053" s="2" t="s">
        <v>20</v>
      </c>
      <c r="E1053" s="7" t="s">
        <v>1348</v>
      </c>
      <c r="F1053" s="37">
        <v>42430.704861111109</v>
      </c>
      <c r="G1053" s="37">
        <v>42430.708333333336</v>
      </c>
      <c r="H1053" s="1" t="s">
        <v>6</v>
      </c>
      <c r="I1053" s="1" t="s">
        <v>38</v>
      </c>
      <c r="J1053" s="1">
        <v>42430.726898148147</v>
      </c>
      <c r="K1053" s="1" t="s">
        <v>36</v>
      </c>
      <c r="L1053" s="14">
        <f>24*(TblTimeSheet[[#This Row],[End Date and Time]]-TblTimeSheet[[#This Row],[Start Date and Time]])</f>
        <v>8.3333333430346102E-2</v>
      </c>
      <c r="M10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3">
        <f>--(0&gt;(TblTimeSheet[[#This Row],[End Date and Time]]-TblTimeSheet[[#This Row],[Start Date and Time]]))</f>
        <v>0</v>
      </c>
    </row>
    <row r="1054" spans="1:14" x14ac:dyDescent="0.25">
      <c r="A1054" s="1"/>
      <c r="B1054" s="2" t="s">
        <v>913</v>
      </c>
      <c r="C1054" s="2" t="s">
        <v>116</v>
      </c>
      <c r="D1054" s="2" t="s">
        <v>20</v>
      </c>
      <c r="E1054" s="7" t="s">
        <v>1349</v>
      </c>
      <c r="F1054" s="37">
        <v>42430.729166666664</v>
      </c>
      <c r="G1054" s="37">
        <v>42430.732638888891</v>
      </c>
      <c r="H1054" s="1" t="s">
        <v>6</v>
      </c>
      <c r="I1054" s="1" t="s">
        <v>38</v>
      </c>
      <c r="J1054" s="1">
        <v>42430.797581018516</v>
      </c>
      <c r="K1054" s="1" t="s">
        <v>39</v>
      </c>
      <c r="L1054" s="14">
        <f>24*(TblTimeSheet[[#This Row],[End Date and Time]]-TblTimeSheet[[#This Row],[Start Date and Time]])</f>
        <v>8.3333333430346102E-2</v>
      </c>
      <c r="M10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4">
        <f>--(0&gt;(TblTimeSheet[[#This Row],[End Date and Time]]-TblTimeSheet[[#This Row],[Start Date and Time]]))</f>
        <v>0</v>
      </c>
    </row>
    <row r="1055" spans="1:14" x14ac:dyDescent="0.25">
      <c r="A1055" s="1"/>
      <c r="B1055" s="2" t="s">
        <v>913</v>
      </c>
      <c r="C1055" s="2" t="s">
        <v>171</v>
      </c>
      <c r="D1055" s="2" t="s">
        <v>20</v>
      </c>
      <c r="E1055" s="7" t="s">
        <v>1350</v>
      </c>
      <c r="F1055" s="37">
        <v>42430.729166666664</v>
      </c>
      <c r="G1055" s="37">
        <v>42430.732638888891</v>
      </c>
      <c r="H1055" s="1" t="s">
        <v>6</v>
      </c>
      <c r="I1055" s="1" t="s">
        <v>38</v>
      </c>
      <c r="J1055" s="1">
        <v>42431.375451388885</v>
      </c>
      <c r="K1055" s="1" t="s">
        <v>171</v>
      </c>
      <c r="L1055" s="14">
        <f>24*(TblTimeSheet[[#This Row],[End Date and Time]]-TblTimeSheet[[#This Row],[Start Date and Time]])</f>
        <v>8.3333333430346102E-2</v>
      </c>
      <c r="M10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5">
        <f>--(0&gt;(TblTimeSheet[[#This Row],[End Date and Time]]-TblTimeSheet[[#This Row],[Start Date and Time]]))</f>
        <v>0</v>
      </c>
    </row>
    <row r="1056" spans="1:14" x14ac:dyDescent="0.25">
      <c r="A1056" s="1"/>
      <c r="B1056" s="2" t="s">
        <v>913</v>
      </c>
      <c r="C1056" s="2" t="s">
        <v>118</v>
      </c>
      <c r="D1056" s="2" t="s">
        <v>20</v>
      </c>
      <c r="E1056" s="7" t="s">
        <v>1351</v>
      </c>
      <c r="F1056" s="37">
        <v>42430.729166666664</v>
      </c>
      <c r="G1056" s="37">
        <v>42430.732638888891</v>
      </c>
      <c r="H1056" s="1" t="s">
        <v>6</v>
      </c>
      <c r="I1056" s="1" t="s">
        <v>38</v>
      </c>
      <c r="J1056" s="1">
        <v>42431.41238425926</v>
      </c>
      <c r="K1056" s="1" t="s">
        <v>118</v>
      </c>
      <c r="L1056" s="14">
        <f>24*(TblTimeSheet[[#This Row],[End Date and Time]]-TblTimeSheet[[#This Row],[Start Date and Time]])</f>
        <v>8.3333333430346102E-2</v>
      </c>
      <c r="M10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6">
        <f>--(0&gt;(TblTimeSheet[[#This Row],[End Date and Time]]-TblTimeSheet[[#This Row],[Start Date and Time]]))</f>
        <v>0</v>
      </c>
    </row>
    <row r="1057" spans="1:14" x14ac:dyDescent="0.25">
      <c r="A1057" s="1"/>
      <c r="B1057" s="2" t="s">
        <v>913</v>
      </c>
      <c r="C1057" s="2" t="s">
        <v>36</v>
      </c>
      <c r="D1057" s="2" t="s">
        <v>20</v>
      </c>
      <c r="E1057" s="7" t="s">
        <v>1846</v>
      </c>
      <c r="F1057" s="37">
        <v>42430.729166666664</v>
      </c>
      <c r="G1057" s="37">
        <v>42430.732638888891</v>
      </c>
      <c r="H1057" s="1" t="s">
        <v>6</v>
      </c>
      <c r="I1057" s="1" t="s">
        <v>38</v>
      </c>
      <c r="J1057" s="1">
        <v>42431.412499999999</v>
      </c>
      <c r="K1057" s="1" t="s">
        <v>36</v>
      </c>
      <c r="L1057" s="14">
        <f>24*(TblTimeSheet[[#This Row],[End Date and Time]]-TblTimeSheet[[#This Row],[Start Date and Time]])</f>
        <v>8.3333333430346102E-2</v>
      </c>
      <c r="M10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7">
        <f>--(0&gt;(TblTimeSheet[[#This Row],[End Date and Time]]-TblTimeSheet[[#This Row],[Start Date and Time]]))</f>
        <v>0</v>
      </c>
    </row>
    <row r="1058" spans="1:14" ht="30" x14ac:dyDescent="0.25">
      <c r="A1058" s="1"/>
      <c r="B1058" s="2" t="s">
        <v>909</v>
      </c>
      <c r="C1058" s="2" t="s">
        <v>961</v>
      </c>
      <c r="D1058" s="2" t="s">
        <v>33</v>
      </c>
      <c r="E1058" s="7" t="s">
        <v>1847</v>
      </c>
      <c r="F1058" s="37">
        <v>42430.375</v>
      </c>
      <c r="G1058" s="37">
        <v>42430.59375</v>
      </c>
      <c r="H1058" s="1" t="s">
        <v>6</v>
      </c>
      <c r="I1058" s="1" t="s">
        <v>38</v>
      </c>
      <c r="J1058" s="1">
        <v>42431.461296296293</v>
      </c>
      <c r="K1058" s="1" t="s">
        <v>961</v>
      </c>
      <c r="L1058" s="14">
        <f>24*(TblTimeSheet[[#This Row],[End Date and Time]]-TblTimeSheet[[#This Row],[Start Date and Time]])</f>
        <v>5.25</v>
      </c>
      <c r="M10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8">
        <f>--(0&gt;(TblTimeSheet[[#This Row],[End Date and Time]]-TblTimeSheet[[#This Row],[Start Date and Time]]))</f>
        <v>0</v>
      </c>
    </row>
    <row r="1059" spans="1:14" x14ac:dyDescent="0.25">
      <c r="A1059" s="1"/>
      <c r="B1059" s="2" t="s">
        <v>915</v>
      </c>
      <c r="C1059" s="2" t="s">
        <v>43</v>
      </c>
      <c r="D1059" s="2" t="s">
        <v>19</v>
      </c>
      <c r="E1059" s="7" t="s">
        <v>1352</v>
      </c>
      <c r="F1059" s="37">
        <v>42431.458333333336</v>
      </c>
      <c r="G1059" s="37">
        <v>42431.46875</v>
      </c>
      <c r="H1059" s="1" t="s">
        <v>6</v>
      </c>
      <c r="I1059" s="1" t="s">
        <v>38</v>
      </c>
      <c r="J1059" s="1">
        <v>42431.467037037037</v>
      </c>
      <c r="K1059" s="1" t="s">
        <v>43</v>
      </c>
      <c r="L1059" s="14">
        <f>24*(TblTimeSheet[[#This Row],[End Date and Time]]-TblTimeSheet[[#This Row],[Start Date and Time]])</f>
        <v>0.24999999994179234</v>
      </c>
      <c r="M10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59">
        <f>--(0&gt;(TblTimeSheet[[#This Row],[End Date and Time]]-TblTimeSheet[[#This Row],[Start Date and Time]]))</f>
        <v>0</v>
      </c>
    </row>
    <row r="1060" spans="1:14" x14ac:dyDescent="0.25">
      <c r="A1060" s="1"/>
      <c r="B1060" s="2" t="s">
        <v>915</v>
      </c>
      <c r="C1060" s="2" t="s">
        <v>116</v>
      </c>
      <c r="D1060" s="2" t="s">
        <v>19</v>
      </c>
      <c r="E1060" s="7" t="s">
        <v>1353</v>
      </c>
      <c r="F1060" s="37">
        <v>42431.458333333336</v>
      </c>
      <c r="G1060" s="37">
        <v>42431.46875</v>
      </c>
      <c r="H1060" s="1" t="s">
        <v>6</v>
      </c>
      <c r="I1060" s="1" t="s">
        <v>38</v>
      </c>
      <c r="J1060" s="1">
        <v>42431.468449074076</v>
      </c>
      <c r="K1060" s="1" t="s">
        <v>39</v>
      </c>
      <c r="L1060" s="14">
        <f>24*(TblTimeSheet[[#This Row],[End Date and Time]]-TblTimeSheet[[#This Row],[Start Date and Time]])</f>
        <v>0.24999999994179234</v>
      </c>
      <c r="M10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0">
        <f>--(0&gt;(TblTimeSheet[[#This Row],[End Date and Time]]-TblTimeSheet[[#This Row],[Start Date and Time]]))</f>
        <v>0</v>
      </c>
    </row>
    <row r="1061" spans="1:14" ht="30" x14ac:dyDescent="0.25">
      <c r="A1061" s="1"/>
      <c r="B1061" s="2" t="s">
        <v>909</v>
      </c>
      <c r="C1061" s="2" t="s">
        <v>961</v>
      </c>
      <c r="D1061" s="2" t="s">
        <v>33</v>
      </c>
      <c r="E1061" s="7" t="s">
        <v>1848</v>
      </c>
      <c r="F1061" s="37">
        <v>42430.625</v>
      </c>
      <c r="G1061" s="37">
        <v>42430.743055555555</v>
      </c>
      <c r="H1061" s="1" t="s">
        <v>6</v>
      </c>
      <c r="I1061" s="1" t="s">
        <v>38</v>
      </c>
      <c r="J1061" s="1">
        <v>42431.478935185187</v>
      </c>
      <c r="K1061" s="1" t="s">
        <v>961</v>
      </c>
      <c r="L1061" s="14">
        <f>24*(TblTimeSheet[[#This Row],[End Date and Time]]-TblTimeSheet[[#This Row],[Start Date and Time]])</f>
        <v>2.8333333333139308</v>
      </c>
      <c r="M10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1">
        <f>--(0&gt;(TblTimeSheet[[#This Row],[End Date and Time]]-TblTimeSheet[[#This Row],[Start Date and Time]]))</f>
        <v>0</v>
      </c>
    </row>
    <row r="1062" spans="1:14" x14ac:dyDescent="0.25">
      <c r="A1062" s="1"/>
      <c r="B1062" s="2" t="s">
        <v>915</v>
      </c>
      <c r="C1062" s="2" t="s">
        <v>116</v>
      </c>
      <c r="D1062" s="2" t="s">
        <v>19</v>
      </c>
      <c r="E1062" s="7" t="s">
        <v>1354</v>
      </c>
      <c r="F1062" s="37">
        <v>42431.46875</v>
      </c>
      <c r="G1062" s="37">
        <v>42431.482638888891</v>
      </c>
      <c r="H1062" s="1" t="s">
        <v>6</v>
      </c>
      <c r="I1062" s="1" t="s">
        <v>38</v>
      </c>
      <c r="J1062" s="1">
        <v>42431.490590277775</v>
      </c>
      <c r="K1062" s="1" t="s">
        <v>701</v>
      </c>
      <c r="L1062" s="14">
        <f>24*(TblTimeSheet[[#This Row],[End Date and Time]]-TblTimeSheet[[#This Row],[Start Date and Time]])</f>
        <v>0.33333333337213844</v>
      </c>
      <c r="M10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2">
        <f>--(0&gt;(TblTimeSheet[[#This Row],[End Date and Time]]-TblTimeSheet[[#This Row],[Start Date and Time]]))</f>
        <v>0</v>
      </c>
    </row>
    <row r="1063" spans="1:14" x14ac:dyDescent="0.25">
      <c r="A1063" s="1"/>
      <c r="B1063" s="2" t="s">
        <v>915</v>
      </c>
      <c r="C1063" s="2" t="s">
        <v>43</v>
      </c>
      <c r="D1063" s="2" t="s">
        <v>19</v>
      </c>
      <c r="E1063" s="7" t="s">
        <v>1355</v>
      </c>
      <c r="F1063" s="37">
        <v>42431.46875</v>
      </c>
      <c r="G1063" s="37">
        <v>42431.482638888891</v>
      </c>
      <c r="H1063" s="1" t="s">
        <v>6</v>
      </c>
      <c r="I1063" s="1" t="s">
        <v>38</v>
      </c>
      <c r="J1063" s="1">
        <v>42431.490856481483</v>
      </c>
      <c r="K1063" s="1" t="s">
        <v>43</v>
      </c>
      <c r="L1063" s="14">
        <f>24*(TblTimeSheet[[#This Row],[End Date and Time]]-TblTimeSheet[[#This Row],[Start Date and Time]])</f>
        <v>0.33333333337213844</v>
      </c>
      <c r="M10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3">
        <f>--(0&gt;(TblTimeSheet[[#This Row],[End Date and Time]]-TblTimeSheet[[#This Row],[Start Date and Time]]))</f>
        <v>0</v>
      </c>
    </row>
    <row r="1064" spans="1:14" x14ac:dyDescent="0.25">
      <c r="A1064" s="1"/>
      <c r="B1064" s="2" t="s">
        <v>915</v>
      </c>
      <c r="C1064" s="2" t="s">
        <v>116</v>
      </c>
      <c r="D1064" s="2" t="s">
        <v>19</v>
      </c>
      <c r="E1064" s="7" t="s">
        <v>1356</v>
      </c>
      <c r="F1064" s="37">
        <v>42431.510416666664</v>
      </c>
      <c r="G1064" s="37">
        <v>42431.541666666664</v>
      </c>
      <c r="H1064" s="1" t="s">
        <v>6</v>
      </c>
      <c r="I1064" s="1" t="s">
        <v>38</v>
      </c>
      <c r="J1064" s="1">
        <v>42431.543067129627</v>
      </c>
      <c r="K1064" s="1" t="s">
        <v>81</v>
      </c>
      <c r="L1064" s="14">
        <f>24*(TblTimeSheet[[#This Row],[End Date and Time]]-TblTimeSheet[[#This Row],[Start Date and Time]])</f>
        <v>0.75</v>
      </c>
      <c r="M10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64">
        <f>--(0&gt;(TblTimeSheet[[#This Row],[End Date and Time]]-TblTimeSheet[[#This Row],[Start Date and Time]]))</f>
        <v>0</v>
      </c>
    </row>
    <row r="1065" spans="1:14" x14ac:dyDescent="0.25">
      <c r="A1065" s="1"/>
      <c r="B1065" s="2" t="s">
        <v>913</v>
      </c>
      <c r="C1065" s="2" t="s">
        <v>36</v>
      </c>
      <c r="D1065" s="2" t="s">
        <v>32</v>
      </c>
      <c r="E1065" s="7" t="s">
        <v>1357</v>
      </c>
      <c r="F1065" s="37">
        <v>42431.538194444445</v>
      </c>
      <c r="G1065" s="37">
        <v>42431.541666666664</v>
      </c>
      <c r="H1065" s="1" t="s">
        <v>6</v>
      </c>
      <c r="I1065" s="1" t="s">
        <v>38</v>
      </c>
      <c r="J1065" s="1">
        <v>42431.542662037034</v>
      </c>
      <c r="K1065" s="1" t="s">
        <v>36</v>
      </c>
      <c r="L1065" s="14">
        <f>24*(TblTimeSheet[[#This Row],[End Date and Time]]-TblTimeSheet[[#This Row],[Start Date and Time]])</f>
        <v>8.3333333255723119E-2</v>
      </c>
      <c r="M10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5">
        <f>--(0&gt;(TblTimeSheet[[#This Row],[End Date and Time]]-TblTimeSheet[[#This Row],[Start Date and Time]]))</f>
        <v>0</v>
      </c>
    </row>
    <row r="1066" spans="1:14" x14ac:dyDescent="0.25">
      <c r="A1066" s="1"/>
      <c r="B1066" s="2" t="s">
        <v>915</v>
      </c>
      <c r="C1066" s="2" t="s">
        <v>116</v>
      </c>
      <c r="D1066" s="2" t="s">
        <v>19</v>
      </c>
      <c r="E1066" s="7" t="s">
        <v>1358</v>
      </c>
      <c r="F1066" s="37">
        <v>42431.510416666664</v>
      </c>
      <c r="G1066" s="37">
        <v>42431.541666666664</v>
      </c>
      <c r="H1066" s="1" t="s">
        <v>6</v>
      </c>
      <c r="I1066" s="1" t="s">
        <v>38</v>
      </c>
      <c r="J1066" s="1">
        <v>42431.553379629629</v>
      </c>
      <c r="K1066" s="1" t="s">
        <v>701</v>
      </c>
      <c r="L1066" s="14">
        <f>24*(TblTimeSheet[[#This Row],[End Date and Time]]-TblTimeSheet[[#This Row],[Start Date and Time]])</f>
        <v>0.75</v>
      </c>
      <c r="M10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66">
        <f>--(0&gt;(TblTimeSheet[[#This Row],[End Date and Time]]-TblTimeSheet[[#This Row],[Start Date and Time]]))</f>
        <v>0</v>
      </c>
    </row>
    <row r="1067" spans="1:14" x14ac:dyDescent="0.25">
      <c r="A1067" s="1"/>
      <c r="B1067" s="2" t="s">
        <v>915</v>
      </c>
      <c r="C1067" s="2" t="s">
        <v>116</v>
      </c>
      <c r="D1067" s="2" t="s">
        <v>19</v>
      </c>
      <c r="E1067" s="7" t="s">
        <v>1849</v>
      </c>
      <c r="F1067" s="37">
        <v>42431.545138888891</v>
      </c>
      <c r="G1067" s="37">
        <v>42431.552083333336</v>
      </c>
      <c r="H1067" s="1" t="s">
        <v>6</v>
      </c>
      <c r="I1067" s="1" t="s">
        <v>38</v>
      </c>
      <c r="J1067" s="1">
        <v>42431.554583333331</v>
      </c>
      <c r="K1067" s="1" t="s">
        <v>39</v>
      </c>
      <c r="L1067" s="14">
        <f>24*(TblTimeSheet[[#This Row],[End Date and Time]]-TblTimeSheet[[#This Row],[Start Date and Time]])</f>
        <v>0.16666666668606922</v>
      </c>
      <c r="M10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7">
        <f>--(0&gt;(TblTimeSheet[[#This Row],[End Date and Time]]-TblTimeSheet[[#This Row],[Start Date and Time]]))</f>
        <v>0</v>
      </c>
    </row>
    <row r="1068" spans="1:14" x14ac:dyDescent="0.25">
      <c r="A1068" s="1"/>
      <c r="B1068" s="2" t="s">
        <v>911</v>
      </c>
      <c r="C1068" s="2" t="s">
        <v>41</v>
      </c>
      <c r="D1068" s="2" t="s">
        <v>19</v>
      </c>
      <c r="E1068" s="7" t="s">
        <v>1221</v>
      </c>
      <c r="F1068" s="37">
        <v>42423.75</v>
      </c>
      <c r="G1068" s="37">
        <v>42423.770833333336</v>
      </c>
      <c r="H1068" s="1" t="s">
        <v>6</v>
      </c>
      <c r="I1068" s="1" t="s">
        <v>38</v>
      </c>
      <c r="J1068" s="1">
        <v>42431.617430555554</v>
      </c>
      <c r="K1068" s="1" t="s">
        <v>41</v>
      </c>
      <c r="L1068" s="14">
        <f>24*(TblTimeSheet[[#This Row],[End Date and Time]]-TblTimeSheet[[#This Row],[Start Date and Time]])</f>
        <v>0.50000000005820766</v>
      </c>
      <c r="M10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8">
        <f>--(0&gt;(TblTimeSheet[[#This Row],[End Date and Time]]-TblTimeSheet[[#This Row],[Start Date and Time]]))</f>
        <v>0</v>
      </c>
    </row>
    <row r="1069" spans="1:14" x14ac:dyDescent="0.25">
      <c r="A1069" s="1"/>
      <c r="B1069" s="2" t="s">
        <v>913</v>
      </c>
      <c r="C1069" s="2" t="s">
        <v>118</v>
      </c>
      <c r="D1069" s="2" t="s">
        <v>32</v>
      </c>
      <c r="E1069" s="7" t="s">
        <v>1359</v>
      </c>
      <c r="F1069" s="37">
        <v>42431.604166666664</v>
      </c>
      <c r="G1069" s="37">
        <v>42431.614583333336</v>
      </c>
      <c r="H1069" s="1" t="s">
        <v>6</v>
      </c>
      <c r="I1069" s="1" t="s">
        <v>38</v>
      </c>
      <c r="J1069" s="1">
        <v>42431.633842592593</v>
      </c>
      <c r="K1069" s="1" t="s">
        <v>118</v>
      </c>
      <c r="L1069" s="14">
        <f>24*(TblTimeSheet[[#This Row],[End Date and Time]]-TblTimeSheet[[#This Row],[Start Date and Time]])</f>
        <v>0.25000000011641532</v>
      </c>
      <c r="M10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69">
        <f>--(0&gt;(TblTimeSheet[[#This Row],[End Date and Time]]-TblTimeSheet[[#This Row],[Start Date and Time]]))</f>
        <v>0</v>
      </c>
    </row>
    <row r="1070" spans="1:14" x14ac:dyDescent="0.25">
      <c r="A1070" s="1"/>
      <c r="B1070" s="2" t="s">
        <v>913</v>
      </c>
      <c r="C1070" s="2" t="s">
        <v>43</v>
      </c>
      <c r="D1070" s="2" t="s">
        <v>32</v>
      </c>
      <c r="E1070" s="7" t="s">
        <v>1360</v>
      </c>
      <c r="F1070" s="37">
        <v>42431.611111111109</v>
      </c>
      <c r="G1070" s="37">
        <v>42431.614583333336</v>
      </c>
      <c r="H1070" s="1" t="s">
        <v>6</v>
      </c>
      <c r="I1070" s="1" t="s">
        <v>38</v>
      </c>
      <c r="J1070" s="1">
        <v>42431.634780092594</v>
      </c>
      <c r="K1070" s="1" t="s">
        <v>43</v>
      </c>
      <c r="L1070" s="14">
        <f>24*(TblTimeSheet[[#This Row],[End Date and Time]]-TblTimeSheet[[#This Row],[Start Date and Time]])</f>
        <v>8.3333333430346102E-2</v>
      </c>
      <c r="M10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0">
        <f>--(0&gt;(TblTimeSheet[[#This Row],[End Date and Time]]-TblTimeSheet[[#This Row],[Start Date and Time]]))</f>
        <v>0</v>
      </c>
    </row>
    <row r="1071" spans="1:14" x14ac:dyDescent="0.25">
      <c r="A1071" s="1"/>
      <c r="B1071" s="2" t="s">
        <v>913</v>
      </c>
      <c r="C1071" s="2" t="s">
        <v>118</v>
      </c>
      <c r="D1071" s="2" t="s">
        <v>32</v>
      </c>
      <c r="E1071" s="7" t="s">
        <v>1361</v>
      </c>
      <c r="F1071" s="37">
        <v>42431.625</v>
      </c>
      <c r="G1071" s="37">
        <v>42431.666666666664</v>
      </c>
      <c r="H1071" s="1" t="s">
        <v>6</v>
      </c>
      <c r="I1071" s="1" t="s">
        <v>38</v>
      </c>
      <c r="J1071" s="1">
        <v>42431.699062500003</v>
      </c>
      <c r="K1071" s="1" t="s">
        <v>118</v>
      </c>
      <c r="L1071" s="14">
        <f>24*(TblTimeSheet[[#This Row],[End Date and Time]]-TblTimeSheet[[#This Row],[Start Date and Time]])</f>
        <v>0.99999999994179234</v>
      </c>
      <c r="M10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1">
        <f>--(0&gt;(TblTimeSheet[[#This Row],[End Date and Time]]-TblTimeSheet[[#This Row],[Start Date and Time]]))</f>
        <v>0</v>
      </c>
    </row>
    <row r="1072" spans="1:14" x14ac:dyDescent="0.25">
      <c r="A1072" s="1"/>
      <c r="B1072" s="2" t="s">
        <v>913</v>
      </c>
      <c r="C1072" s="2" t="s">
        <v>36</v>
      </c>
      <c r="D1072" s="2" t="s">
        <v>20</v>
      </c>
      <c r="E1072" s="7" t="s">
        <v>1362</v>
      </c>
      <c r="F1072" s="37">
        <v>42431.604166666664</v>
      </c>
      <c r="G1072" s="37">
        <v>42431.625</v>
      </c>
      <c r="H1072" s="1" t="s">
        <v>6</v>
      </c>
      <c r="I1072" s="1" t="s">
        <v>38</v>
      </c>
      <c r="J1072" s="1">
        <v>42431.713240740741</v>
      </c>
      <c r="K1072" s="1" t="s">
        <v>36</v>
      </c>
      <c r="L1072" s="14">
        <f>24*(TblTimeSheet[[#This Row],[End Date and Time]]-TblTimeSheet[[#This Row],[Start Date and Time]])</f>
        <v>0.50000000005820766</v>
      </c>
      <c r="M10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2">
        <f>--(0&gt;(TblTimeSheet[[#This Row],[End Date and Time]]-TblTimeSheet[[#This Row],[Start Date and Time]]))</f>
        <v>0</v>
      </c>
    </row>
    <row r="1073" spans="1:14" x14ac:dyDescent="0.25">
      <c r="A1073" s="1"/>
      <c r="B1073" s="2" t="s">
        <v>911</v>
      </c>
      <c r="C1073" s="2" t="s">
        <v>41</v>
      </c>
      <c r="D1073" s="2" t="s">
        <v>20</v>
      </c>
      <c r="E1073" s="7" t="s">
        <v>1850</v>
      </c>
      <c r="F1073" s="37">
        <v>42429.666666666664</v>
      </c>
      <c r="G1073" s="37">
        <v>42429.729166666664</v>
      </c>
      <c r="H1073" s="1" t="s">
        <v>6</v>
      </c>
      <c r="I1073" s="1" t="s">
        <v>38</v>
      </c>
      <c r="J1073" s="1">
        <v>42433.722384259258</v>
      </c>
      <c r="K1073" s="1" t="s">
        <v>41</v>
      </c>
      <c r="L1073" s="14">
        <f>24*(TblTimeSheet[[#This Row],[End Date and Time]]-TblTimeSheet[[#This Row],[Start Date and Time]])</f>
        <v>1.5</v>
      </c>
      <c r="M10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3">
        <f>--(0&gt;(TblTimeSheet[[#This Row],[End Date and Time]]-TblTimeSheet[[#This Row],[Start Date and Time]]))</f>
        <v>0</v>
      </c>
    </row>
    <row r="1074" spans="1:14" x14ac:dyDescent="0.25">
      <c r="A1074" s="1"/>
      <c r="B1074" s="2" t="s">
        <v>909</v>
      </c>
      <c r="C1074" s="2" t="s">
        <v>116</v>
      </c>
      <c r="D1074" s="2" t="s">
        <v>33</v>
      </c>
      <c r="E1074" s="7" t="s">
        <v>1363</v>
      </c>
      <c r="F1074" s="37">
        <v>42431.583333333336</v>
      </c>
      <c r="G1074" s="37">
        <v>42431.6875</v>
      </c>
      <c r="H1074" s="1" t="s">
        <v>6</v>
      </c>
      <c r="I1074" s="1" t="s">
        <v>38</v>
      </c>
      <c r="J1074" s="1">
        <v>42431.722280092596</v>
      </c>
      <c r="K1074" s="1" t="s">
        <v>701</v>
      </c>
      <c r="L1074" s="14">
        <f>24*(TblTimeSheet[[#This Row],[End Date and Time]]-TblTimeSheet[[#This Row],[Start Date and Time]])</f>
        <v>2.4999999999417923</v>
      </c>
      <c r="M10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74">
        <f>--(0&gt;(TblTimeSheet[[#This Row],[End Date and Time]]-TblTimeSheet[[#This Row],[Start Date and Time]]))</f>
        <v>0</v>
      </c>
    </row>
    <row r="1075" spans="1:14" ht="45" x14ac:dyDescent="0.25">
      <c r="A1075" s="1"/>
      <c r="B1075" s="2" t="s">
        <v>913</v>
      </c>
      <c r="C1075" s="2" t="s">
        <v>1105</v>
      </c>
      <c r="D1075" s="2" t="s">
        <v>20</v>
      </c>
      <c r="E1075" s="7" t="s">
        <v>1851</v>
      </c>
      <c r="F1075" s="37">
        <v>42431.729166666664</v>
      </c>
      <c r="G1075" s="37">
        <v>42431.732638888891</v>
      </c>
      <c r="H1075" s="1" t="s">
        <v>6</v>
      </c>
      <c r="I1075" s="1" t="s">
        <v>38</v>
      </c>
      <c r="J1075" s="1">
        <v>42431.736481481479</v>
      </c>
      <c r="K1075" s="1" t="s">
        <v>2864</v>
      </c>
      <c r="L1075" s="14">
        <f>24*(TblTimeSheet[[#This Row],[End Date and Time]]-TblTimeSheet[[#This Row],[Start Date and Time]])</f>
        <v>8.3333333430346102E-2</v>
      </c>
      <c r="M10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5">
        <f>--(0&gt;(TblTimeSheet[[#This Row],[End Date and Time]]-TblTimeSheet[[#This Row],[Start Date and Time]]))</f>
        <v>0</v>
      </c>
    </row>
    <row r="1076" spans="1:14" x14ac:dyDescent="0.25">
      <c r="A1076" s="1"/>
      <c r="B1076" s="2" t="s">
        <v>697</v>
      </c>
      <c r="C1076" s="2" t="s">
        <v>116</v>
      </c>
      <c r="D1076" s="2" t="s">
        <v>33</v>
      </c>
      <c r="E1076" s="7" t="s">
        <v>1364</v>
      </c>
      <c r="F1076" s="37">
        <v>42431.5625</v>
      </c>
      <c r="G1076" s="37">
        <v>42431.729166666664</v>
      </c>
      <c r="H1076" s="1" t="s">
        <v>6</v>
      </c>
      <c r="I1076" s="1" t="s">
        <v>38</v>
      </c>
      <c r="J1076" s="1">
        <v>42431.742430555554</v>
      </c>
      <c r="K1076" s="1" t="s">
        <v>1026</v>
      </c>
      <c r="L1076" s="14">
        <f>24*(TblTimeSheet[[#This Row],[End Date and Time]]-TblTimeSheet[[#This Row],[Start Date and Time]])</f>
        <v>3.9999999999417923</v>
      </c>
      <c r="M10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76">
        <f>--(0&gt;(TblTimeSheet[[#This Row],[End Date and Time]]-TblTimeSheet[[#This Row],[Start Date and Time]]))</f>
        <v>0</v>
      </c>
    </row>
    <row r="1077" spans="1:14" x14ac:dyDescent="0.25">
      <c r="A1077" s="1"/>
      <c r="B1077" s="2" t="s">
        <v>913</v>
      </c>
      <c r="C1077" s="2" t="s">
        <v>116</v>
      </c>
      <c r="D1077" s="2" t="s">
        <v>20</v>
      </c>
      <c r="E1077" s="7" t="s">
        <v>1365</v>
      </c>
      <c r="F1077" s="37">
        <v>42431.729166666664</v>
      </c>
      <c r="G1077" s="37">
        <v>42431.732638888891</v>
      </c>
      <c r="H1077" s="1" t="s">
        <v>6</v>
      </c>
      <c r="I1077" s="1" t="s">
        <v>38</v>
      </c>
      <c r="J1077" s="1">
        <v>42431.7425</v>
      </c>
      <c r="K1077" s="1" t="s">
        <v>39</v>
      </c>
      <c r="L1077" s="14">
        <f>24*(TblTimeSheet[[#This Row],[End Date and Time]]-TblTimeSheet[[#This Row],[Start Date and Time]])</f>
        <v>8.3333333430346102E-2</v>
      </c>
      <c r="M10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77">
        <f>--(0&gt;(TblTimeSheet[[#This Row],[End Date and Time]]-TblTimeSheet[[#This Row],[Start Date and Time]]))</f>
        <v>0</v>
      </c>
    </row>
    <row r="1078" spans="1:14" x14ac:dyDescent="0.25">
      <c r="A1078" s="1"/>
      <c r="B1078" s="2" t="s">
        <v>909</v>
      </c>
      <c r="C1078" s="2" t="s">
        <v>961</v>
      </c>
      <c r="D1078" s="2" t="s">
        <v>33</v>
      </c>
      <c r="E1078" s="7" t="s">
        <v>1366</v>
      </c>
      <c r="F1078" s="37">
        <v>42431.388888888891</v>
      </c>
      <c r="G1078" s="37">
        <v>42431.597222222219</v>
      </c>
      <c r="H1078" s="1" t="s">
        <v>6</v>
      </c>
      <c r="I1078" s="1" t="s">
        <v>38</v>
      </c>
      <c r="J1078" s="1">
        <v>42431.753136574072</v>
      </c>
      <c r="K1078" s="1" t="s">
        <v>961</v>
      </c>
      <c r="L1078" s="14">
        <f>24*(TblTimeSheet[[#This Row],[End Date and Time]]-TblTimeSheet[[#This Row],[Start Date and Time]])</f>
        <v>4.9999999998835847</v>
      </c>
      <c r="M10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8">
        <f>--(0&gt;(TblTimeSheet[[#This Row],[End Date and Time]]-TblTimeSheet[[#This Row],[Start Date and Time]]))</f>
        <v>0</v>
      </c>
    </row>
    <row r="1079" spans="1:14" ht="30" x14ac:dyDescent="0.25">
      <c r="A1079" s="1"/>
      <c r="B1079" s="2" t="s">
        <v>909</v>
      </c>
      <c r="C1079" s="2" t="s">
        <v>961</v>
      </c>
      <c r="D1079" s="2" t="s">
        <v>33</v>
      </c>
      <c r="E1079" s="7" t="s">
        <v>1852</v>
      </c>
      <c r="F1079" s="37">
        <v>42431.625</v>
      </c>
      <c r="G1079" s="37">
        <v>42431.708333333336</v>
      </c>
      <c r="H1079" s="1" t="s">
        <v>6</v>
      </c>
      <c r="I1079" s="1" t="s">
        <v>38</v>
      </c>
      <c r="J1079" s="1">
        <v>42431.758067129631</v>
      </c>
      <c r="K1079" s="1" t="s">
        <v>961</v>
      </c>
      <c r="L1079" s="14">
        <f>24*(TblTimeSheet[[#This Row],[End Date and Time]]-TblTimeSheet[[#This Row],[Start Date and Time]])</f>
        <v>2.0000000000582077</v>
      </c>
      <c r="M10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79">
        <f>--(0&gt;(TblTimeSheet[[#This Row],[End Date and Time]]-TblTimeSheet[[#This Row],[Start Date and Time]]))</f>
        <v>0</v>
      </c>
    </row>
    <row r="1080" spans="1:14" ht="30" x14ac:dyDescent="0.25">
      <c r="A1080" s="1"/>
      <c r="B1080" s="2" t="s">
        <v>909</v>
      </c>
      <c r="C1080" s="2" t="s">
        <v>961</v>
      </c>
      <c r="D1080" s="2" t="s">
        <v>33</v>
      </c>
      <c r="E1080" s="7" t="s">
        <v>1367</v>
      </c>
      <c r="F1080" s="37">
        <v>42431.708333333336</v>
      </c>
      <c r="G1080" s="37">
        <v>42431.729166666664</v>
      </c>
      <c r="H1080" s="1" t="s">
        <v>6</v>
      </c>
      <c r="I1080" s="1" t="s">
        <v>38</v>
      </c>
      <c r="J1080" s="1">
        <v>42431.766145833331</v>
      </c>
      <c r="K1080" s="1" t="s">
        <v>961</v>
      </c>
      <c r="L1080" s="14">
        <f>24*(TblTimeSheet[[#This Row],[End Date and Time]]-TblTimeSheet[[#This Row],[Start Date and Time]])</f>
        <v>0.49999999988358468</v>
      </c>
      <c r="M10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0">
        <f>--(0&gt;(TblTimeSheet[[#This Row],[End Date and Time]]-TblTimeSheet[[#This Row],[Start Date and Time]]))</f>
        <v>0</v>
      </c>
    </row>
    <row r="1081" spans="1:14" x14ac:dyDescent="0.25">
      <c r="A1081" s="1"/>
      <c r="B1081" s="2" t="s">
        <v>911</v>
      </c>
      <c r="C1081" s="2" t="s">
        <v>41</v>
      </c>
      <c r="D1081" s="2" t="s">
        <v>20</v>
      </c>
      <c r="E1081" s="7" t="s">
        <v>1368</v>
      </c>
      <c r="F1081" s="37">
        <v>42431.583333333336</v>
      </c>
      <c r="G1081" s="37">
        <v>42431.666666666664</v>
      </c>
      <c r="H1081" s="1" t="s">
        <v>6</v>
      </c>
      <c r="I1081" s="1" t="s">
        <v>38</v>
      </c>
      <c r="J1081" s="1">
        <v>42431.777754629627</v>
      </c>
      <c r="K1081" s="1" t="s">
        <v>41</v>
      </c>
      <c r="L1081" s="14">
        <f>24*(TblTimeSheet[[#This Row],[End Date and Time]]-TblTimeSheet[[#This Row],[Start Date and Time]])</f>
        <v>1.9999999998835847</v>
      </c>
      <c r="M10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1">
        <f>--(0&gt;(TblTimeSheet[[#This Row],[End Date and Time]]-TblTimeSheet[[#This Row],[Start Date and Time]]))</f>
        <v>0</v>
      </c>
    </row>
    <row r="1082" spans="1:14" x14ac:dyDescent="0.25">
      <c r="A1082" s="1"/>
      <c r="B1082" s="2" t="s">
        <v>911</v>
      </c>
      <c r="C1082" s="2" t="s">
        <v>41</v>
      </c>
      <c r="D1082" s="2" t="s">
        <v>20</v>
      </c>
      <c r="E1082" s="7" t="s">
        <v>1369</v>
      </c>
      <c r="F1082" s="37">
        <v>42429.583333333336</v>
      </c>
      <c r="G1082" s="37">
        <v>42429.645833333336</v>
      </c>
      <c r="H1082" s="1" t="s">
        <v>6</v>
      </c>
      <c r="I1082" s="1" t="s">
        <v>38</v>
      </c>
      <c r="J1082" s="1">
        <v>42431.781446759262</v>
      </c>
      <c r="K1082" s="1" t="s">
        <v>41</v>
      </c>
      <c r="L1082" s="14">
        <f>24*(TblTimeSheet[[#This Row],[End Date and Time]]-TblTimeSheet[[#This Row],[Start Date and Time]])</f>
        <v>1.5</v>
      </c>
      <c r="M10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2">
        <f>--(0&gt;(TblTimeSheet[[#This Row],[End Date and Time]]-TblTimeSheet[[#This Row],[Start Date and Time]]))</f>
        <v>0</v>
      </c>
    </row>
    <row r="1083" spans="1:14" x14ac:dyDescent="0.25">
      <c r="A1083" s="1"/>
      <c r="B1083" s="2" t="s">
        <v>911</v>
      </c>
      <c r="C1083" s="2" t="s">
        <v>41</v>
      </c>
      <c r="D1083" s="2" t="s">
        <v>20</v>
      </c>
      <c r="E1083" s="7" t="s">
        <v>1369</v>
      </c>
      <c r="F1083" s="37">
        <v>42431.458333333336</v>
      </c>
      <c r="G1083" s="37">
        <v>42431.583333333336</v>
      </c>
      <c r="H1083" s="1" t="s">
        <v>6</v>
      </c>
      <c r="I1083" s="1" t="s">
        <v>38</v>
      </c>
      <c r="J1083" s="1">
        <v>42431.782546296294</v>
      </c>
      <c r="K1083" s="1" t="s">
        <v>41</v>
      </c>
      <c r="L1083" s="14">
        <f>24*(TblTimeSheet[[#This Row],[End Date and Time]]-TblTimeSheet[[#This Row],[Start Date and Time]])</f>
        <v>3</v>
      </c>
      <c r="M10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3">
        <f>--(0&gt;(TblTimeSheet[[#This Row],[End Date and Time]]-TblTimeSheet[[#This Row],[Start Date and Time]]))</f>
        <v>0</v>
      </c>
    </row>
    <row r="1084" spans="1:14" x14ac:dyDescent="0.25">
      <c r="A1084" s="1"/>
      <c r="B1084" s="2" t="s">
        <v>909</v>
      </c>
      <c r="C1084" s="2" t="s">
        <v>116</v>
      </c>
      <c r="D1084" s="2" t="s">
        <v>33</v>
      </c>
      <c r="E1084" s="7" t="s">
        <v>1370</v>
      </c>
      <c r="F1084" s="37">
        <v>42431.75</v>
      </c>
      <c r="G1084" s="37">
        <v>42431.8125</v>
      </c>
      <c r="H1084" s="1" t="s">
        <v>6</v>
      </c>
      <c r="I1084" s="1" t="s">
        <v>38</v>
      </c>
      <c r="J1084" s="1">
        <v>42431.828472222223</v>
      </c>
      <c r="K1084" s="1" t="s">
        <v>701</v>
      </c>
      <c r="L1084" s="14">
        <f>24*(TblTimeSheet[[#This Row],[End Date and Time]]-TblTimeSheet[[#This Row],[Start Date and Time]])</f>
        <v>1.5</v>
      </c>
      <c r="M10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4">
        <f>--(0&gt;(TblTimeSheet[[#This Row],[End Date and Time]]-TblTimeSheet[[#This Row],[Start Date and Time]]))</f>
        <v>0</v>
      </c>
    </row>
    <row r="1085" spans="1:14" x14ac:dyDescent="0.25">
      <c r="A1085" s="1"/>
      <c r="B1085" s="2" t="s">
        <v>697</v>
      </c>
      <c r="C1085" s="2" t="s">
        <v>116</v>
      </c>
      <c r="D1085" s="2" t="s">
        <v>33</v>
      </c>
      <c r="E1085" s="7" t="s">
        <v>1371</v>
      </c>
      <c r="F1085" s="37">
        <v>42431.6875</v>
      </c>
      <c r="G1085" s="37">
        <v>42431.75</v>
      </c>
      <c r="H1085" s="1" t="s">
        <v>6</v>
      </c>
      <c r="I1085" s="1" t="s">
        <v>38</v>
      </c>
      <c r="J1085" s="1">
        <v>42431.829502314817</v>
      </c>
      <c r="K1085" s="1" t="s">
        <v>701</v>
      </c>
      <c r="L1085" s="14">
        <f>24*(TblTimeSheet[[#This Row],[End Date and Time]]-TblTimeSheet[[#This Row],[Start Date and Time]])</f>
        <v>1.5</v>
      </c>
      <c r="M10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85">
        <f>--(0&gt;(TblTimeSheet[[#This Row],[End Date and Time]]-TblTimeSheet[[#This Row],[Start Date and Time]]))</f>
        <v>0</v>
      </c>
    </row>
    <row r="1086" spans="1:14" x14ac:dyDescent="0.25">
      <c r="A1086" s="1"/>
      <c r="B1086" s="2" t="s">
        <v>913</v>
      </c>
      <c r="C1086" s="2" t="s">
        <v>118</v>
      </c>
      <c r="D1086" s="2" t="s">
        <v>20</v>
      </c>
      <c r="E1086" s="7" t="s">
        <v>1853</v>
      </c>
      <c r="F1086" s="37">
        <v>42431.729166666664</v>
      </c>
      <c r="G1086" s="37">
        <v>42431.732638888891</v>
      </c>
      <c r="H1086" s="1" t="s">
        <v>6</v>
      </c>
      <c r="I1086" s="1" t="s">
        <v>38</v>
      </c>
      <c r="J1086" s="1">
        <v>42432.433958333335</v>
      </c>
      <c r="K1086" s="1" t="s">
        <v>118</v>
      </c>
      <c r="L1086" s="14">
        <f>24*(TblTimeSheet[[#This Row],[End Date and Time]]-TblTimeSheet[[#This Row],[Start Date and Time]])</f>
        <v>8.3333333430346102E-2</v>
      </c>
      <c r="M10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6">
        <f>--(0&gt;(TblTimeSheet[[#This Row],[End Date and Time]]-TblTimeSheet[[#This Row],[Start Date and Time]]))</f>
        <v>0</v>
      </c>
    </row>
    <row r="1087" spans="1:14" ht="30" x14ac:dyDescent="0.25">
      <c r="A1087" s="1"/>
      <c r="B1087" s="2" t="s">
        <v>913</v>
      </c>
      <c r="C1087" s="2" t="s">
        <v>36</v>
      </c>
      <c r="D1087" s="2" t="s">
        <v>20</v>
      </c>
      <c r="E1087" s="7" t="s">
        <v>1854</v>
      </c>
      <c r="F1087" s="37">
        <v>42431.631944444445</v>
      </c>
      <c r="G1087" s="37">
        <v>42431.659722222219</v>
      </c>
      <c r="H1087" s="1" t="s">
        <v>6</v>
      </c>
      <c r="I1087" s="1" t="s">
        <v>38</v>
      </c>
      <c r="J1087" s="1">
        <v>42432.434386574074</v>
      </c>
      <c r="K1087" s="1" t="s">
        <v>36</v>
      </c>
      <c r="L1087" s="14">
        <f>24*(TblTimeSheet[[#This Row],[End Date and Time]]-TblTimeSheet[[#This Row],[Start Date and Time]])</f>
        <v>0.6666666665696539</v>
      </c>
      <c r="M10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7">
        <f>--(0&gt;(TblTimeSheet[[#This Row],[End Date and Time]]-TblTimeSheet[[#This Row],[Start Date and Time]]))</f>
        <v>0</v>
      </c>
    </row>
    <row r="1088" spans="1:14" x14ac:dyDescent="0.25">
      <c r="A1088" s="1"/>
      <c r="B1088" s="2" t="s">
        <v>913</v>
      </c>
      <c r="C1088" s="2" t="s">
        <v>36</v>
      </c>
      <c r="D1088" s="2" t="s">
        <v>20</v>
      </c>
      <c r="E1088" s="7" t="s">
        <v>1372</v>
      </c>
      <c r="F1088" s="37">
        <v>42431.729166666664</v>
      </c>
      <c r="G1088" s="37">
        <v>42431.732638888891</v>
      </c>
      <c r="H1088" s="1" t="s">
        <v>6</v>
      </c>
      <c r="I1088" s="1" t="s">
        <v>38</v>
      </c>
      <c r="J1088" s="1">
        <v>42432.431006944447</v>
      </c>
      <c r="K1088" s="1" t="s">
        <v>36</v>
      </c>
      <c r="L1088" s="14">
        <f>24*(TblTimeSheet[[#This Row],[End Date and Time]]-TblTimeSheet[[#This Row],[Start Date and Time]])</f>
        <v>8.3333333430346102E-2</v>
      </c>
      <c r="M10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8">
        <f>--(0&gt;(TblTimeSheet[[#This Row],[End Date and Time]]-TblTimeSheet[[#This Row],[Start Date and Time]]))</f>
        <v>0</v>
      </c>
    </row>
    <row r="1089" spans="1:14" x14ac:dyDescent="0.25">
      <c r="A1089" s="1"/>
      <c r="B1089" s="2" t="s">
        <v>913</v>
      </c>
      <c r="C1089" s="2" t="s">
        <v>36</v>
      </c>
      <c r="D1089" s="2" t="s">
        <v>20</v>
      </c>
      <c r="E1089" s="7" t="s">
        <v>1373</v>
      </c>
      <c r="F1089" s="37">
        <v>42431.739583333336</v>
      </c>
      <c r="G1089" s="37">
        <v>42431.746527777781</v>
      </c>
      <c r="H1089" s="1" t="s">
        <v>6</v>
      </c>
      <c r="I1089" s="1" t="s">
        <v>38</v>
      </c>
      <c r="J1089" s="1">
        <v>42432.431851851848</v>
      </c>
      <c r="K1089" s="1" t="s">
        <v>36</v>
      </c>
      <c r="L1089" s="14">
        <f>24*(TblTimeSheet[[#This Row],[End Date and Time]]-TblTimeSheet[[#This Row],[Start Date and Time]])</f>
        <v>0.16666666668606922</v>
      </c>
      <c r="M10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89">
        <f>--(0&gt;(TblTimeSheet[[#This Row],[End Date and Time]]-TblTimeSheet[[#This Row],[Start Date and Time]]))</f>
        <v>0</v>
      </c>
    </row>
    <row r="1090" spans="1:14" x14ac:dyDescent="0.25">
      <c r="A1090" s="1"/>
      <c r="B1090" s="2" t="s">
        <v>913</v>
      </c>
      <c r="C1090" s="2" t="s">
        <v>36</v>
      </c>
      <c r="D1090" s="2" t="s">
        <v>20</v>
      </c>
      <c r="E1090" s="7" t="s">
        <v>1374</v>
      </c>
      <c r="F1090" s="37">
        <v>42431.75</v>
      </c>
      <c r="G1090" s="37">
        <v>42431.760416666664</v>
      </c>
      <c r="H1090" s="1" t="s">
        <v>6</v>
      </c>
      <c r="I1090" s="1" t="s">
        <v>38</v>
      </c>
      <c r="J1090" s="1">
        <v>42432.432546296295</v>
      </c>
      <c r="K1090" s="1" t="s">
        <v>36</v>
      </c>
      <c r="L1090" s="14">
        <f>24*(TblTimeSheet[[#This Row],[End Date and Time]]-TblTimeSheet[[#This Row],[Start Date and Time]])</f>
        <v>0.24999999994179234</v>
      </c>
      <c r="M10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0">
        <f>--(0&gt;(TblTimeSheet[[#This Row],[End Date and Time]]-TblTimeSheet[[#This Row],[Start Date and Time]]))</f>
        <v>0</v>
      </c>
    </row>
    <row r="1091" spans="1:14" x14ac:dyDescent="0.25">
      <c r="A1091" s="1"/>
      <c r="B1091" s="2" t="s">
        <v>913</v>
      </c>
      <c r="C1091" s="2" t="s">
        <v>36</v>
      </c>
      <c r="D1091" s="2" t="s">
        <v>20</v>
      </c>
      <c r="E1091" s="7" t="s">
        <v>1375</v>
      </c>
      <c r="F1091" s="37">
        <v>42432.385416666664</v>
      </c>
      <c r="G1091" s="37">
        <v>42432.40625</v>
      </c>
      <c r="H1091" s="1" t="s">
        <v>6</v>
      </c>
      <c r="I1091" s="1" t="s">
        <v>38</v>
      </c>
      <c r="J1091" s="1">
        <v>42432.436122685183</v>
      </c>
      <c r="K1091" s="1" t="s">
        <v>36</v>
      </c>
      <c r="L1091" s="14">
        <f>24*(TblTimeSheet[[#This Row],[End Date and Time]]-TblTimeSheet[[#This Row],[Start Date and Time]])</f>
        <v>0.50000000005820766</v>
      </c>
      <c r="M10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1">
        <f>--(0&gt;(TblTimeSheet[[#This Row],[End Date and Time]]-TblTimeSheet[[#This Row],[Start Date and Time]]))</f>
        <v>0</v>
      </c>
    </row>
    <row r="1092" spans="1:14" x14ac:dyDescent="0.25">
      <c r="A1092" s="1"/>
      <c r="B1092" s="2" t="s">
        <v>915</v>
      </c>
      <c r="C1092" s="2" t="s">
        <v>116</v>
      </c>
      <c r="D1092" s="2" t="s">
        <v>20</v>
      </c>
      <c r="E1092" s="7" t="s">
        <v>1376</v>
      </c>
      <c r="F1092" s="37">
        <v>42432.416666666664</v>
      </c>
      <c r="G1092" s="37">
        <v>42432.440972222219</v>
      </c>
      <c r="H1092" s="1" t="s">
        <v>6</v>
      </c>
      <c r="I1092" s="1" t="s">
        <v>38</v>
      </c>
      <c r="J1092" s="1">
        <v>42432.454398148147</v>
      </c>
      <c r="K1092" s="1" t="s">
        <v>701</v>
      </c>
      <c r="L1092" s="14">
        <f>24*(TblTimeSheet[[#This Row],[End Date and Time]]-TblTimeSheet[[#This Row],[Start Date and Time]])</f>
        <v>0.58333333331393078</v>
      </c>
      <c r="M10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92">
        <f>--(0&gt;(TblTimeSheet[[#This Row],[End Date and Time]]-TblTimeSheet[[#This Row],[Start Date and Time]]))</f>
        <v>0</v>
      </c>
    </row>
    <row r="1093" spans="1:14" x14ac:dyDescent="0.25">
      <c r="A1093" s="1"/>
      <c r="B1093" s="2" t="s">
        <v>915</v>
      </c>
      <c r="C1093" s="2" t="s">
        <v>116</v>
      </c>
      <c r="D1093" s="2" t="s">
        <v>20</v>
      </c>
      <c r="E1093" s="7" t="s">
        <v>1377</v>
      </c>
      <c r="F1093" s="37">
        <v>42432.5</v>
      </c>
      <c r="G1093" s="37">
        <v>42432.503472222219</v>
      </c>
      <c r="H1093" s="1" t="s">
        <v>6</v>
      </c>
      <c r="I1093" s="1" t="s">
        <v>38</v>
      </c>
      <c r="J1093" s="1">
        <v>42432.511180555557</v>
      </c>
      <c r="K1093" s="1" t="s">
        <v>81</v>
      </c>
      <c r="L1093" s="14">
        <f>24*(TblTimeSheet[[#This Row],[End Date and Time]]-TblTimeSheet[[#This Row],[Start Date and Time]])</f>
        <v>8.3333333255723119E-2</v>
      </c>
      <c r="M10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93">
        <f>--(0&gt;(TblTimeSheet[[#This Row],[End Date and Time]]-TblTimeSheet[[#This Row],[Start Date and Time]]))</f>
        <v>0</v>
      </c>
    </row>
    <row r="1094" spans="1:14" x14ac:dyDescent="0.25">
      <c r="A1094" s="1"/>
      <c r="B1094" s="2" t="s">
        <v>697</v>
      </c>
      <c r="C1094" s="2" t="s">
        <v>143</v>
      </c>
      <c r="D1094" s="2" t="s">
        <v>34</v>
      </c>
      <c r="E1094" s="7" t="s">
        <v>1855</v>
      </c>
      <c r="F1094" s="37">
        <v>42432.416666666664</v>
      </c>
      <c r="G1094" s="37">
        <v>42432.5</v>
      </c>
      <c r="H1094" s="1" t="s">
        <v>6</v>
      </c>
      <c r="I1094" s="1" t="s">
        <v>38</v>
      </c>
      <c r="J1094" s="1">
        <v>42443.720648148148</v>
      </c>
      <c r="K1094" s="1" t="s">
        <v>143</v>
      </c>
      <c r="L1094" s="14">
        <f>24*(TblTimeSheet[[#This Row],[End Date and Time]]-TblTimeSheet[[#This Row],[Start Date and Time]])</f>
        <v>2.0000000000582077</v>
      </c>
      <c r="M10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4">
        <f>--(0&gt;(TblTimeSheet[[#This Row],[End Date and Time]]-TblTimeSheet[[#This Row],[Start Date and Time]]))</f>
        <v>0</v>
      </c>
    </row>
    <row r="1095" spans="1:14" x14ac:dyDescent="0.25">
      <c r="A1095" s="1"/>
      <c r="B1095" s="2" t="s">
        <v>913</v>
      </c>
      <c r="C1095" s="2" t="s">
        <v>171</v>
      </c>
      <c r="D1095" s="2" t="s">
        <v>20</v>
      </c>
      <c r="E1095" s="7" t="s">
        <v>1378</v>
      </c>
      <c r="F1095" s="37">
        <v>42431.729166666664</v>
      </c>
      <c r="G1095" s="37">
        <v>42431.732638888891</v>
      </c>
      <c r="H1095" s="1" t="s">
        <v>6</v>
      </c>
      <c r="I1095" s="1" t="s">
        <v>38</v>
      </c>
      <c r="J1095" s="1">
        <v>42432.524606481478</v>
      </c>
      <c r="K1095" s="1" t="s">
        <v>171</v>
      </c>
      <c r="L1095" s="14">
        <f>24*(TblTimeSheet[[#This Row],[End Date and Time]]-TblTimeSheet[[#This Row],[Start Date and Time]])</f>
        <v>8.3333333430346102E-2</v>
      </c>
      <c r="M10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5">
        <f>--(0&gt;(TblTimeSheet[[#This Row],[End Date and Time]]-TblTimeSheet[[#This Row],[Start Date and Time]]))</f>
        <v>0</v>
      </c>
    </row>
    <row r="1096" spans="1:14" x14ac:dyDescent="0.25">
      <c r="A1096" s="1"/>
      <c r="B1096" s="2" t="s">
        <v>913</v>
      </c>
      <c r="C1096" s="2" t="s">
        <v>116</v>
      </c>
      <c r="D1096" s="2" t="s">
        <v>20</v>
      </c>
      <c r="E1096" s="7" t="s">
        <v>1856</v>
      </c>
      <c r="F1096" s="37">
        <v>42432.5</v>
      </c>
      <c r="G1096" s="37">
        <v>42432.541666666664</v>
      </c>
      <c r="H1096" s="1" t="s">
        <v>6</v>
      </c>
      <c r="I1096" s="1" t="s">
        <v>38</v>
      </c>
      <c r="J1096" s="1">
        <v>42432.617037037038</v>
      </c>
      <c r="K1096" s="1" t="s">
        <v>701</v>
      </c>
      <c r="L1096" s="14">
        <f>24*(TblTimeSheet[[#This Row],[End Date and Time]]-TblTimeSheet[[#This Row],[Start Date and Time]])</f>
        <v>0.99999999994179234</v>
      </c>
      <c r="M10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096">
        <f>--(0&gt;(TblTimeSheet[[#This Row],[End Date and Time]]-TblTimeSheet[[#This Row],[Start Date and Time]]))</f>
        <v>0</v>
      </c>
    </row>
    <row r="1097" spans="1:14" x14ac:dyDescent="0.25">
      <c r="A1097" s="1"/>
      <c r="B1097" s="2" t="s">
        <v>913</v>
      </c>
      <c r="C1097" s="2" t="s">
        <v>36</v>
      </c>
      <c r="D1097" s="2" t="s">
        <v>20</v>
      </c>
      <c r="E1097" s="7" t="s">
        <v>1379</v>
      </c>
      <c r="F1097" s="37">
        <v>42432.444444444445</v>
      </c>
      <c r="G1097" s="37">
        <v>42432.486111111109</v>
      </c>
      <c r="H1097" s="1" t="s">
        <v>6</v>
      </c>
      <c r="I1097" s="1" t="s">
        <v>38</v>
      </c>
      <c r="J1097" s="1">
        <v>42432.617592592593</v>
      </c>
      <c r="K1097" s="1" t="s">
        <v>36</v>
      </c>
      <c r="L1097" s="14">
        <f>24*(TblTimeSheet[[#This Row],[End Date and Time]]-TblTimeSheet[[#This Row],[Start Date and Time]])</f>
        <v>0.99999999994179234</v>
      </c>
      <c r="M10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7">
        <f>--(0&gt;(TblTimeSheet[[#This Row],[End Date and Time]]-TblTimeSheet[[#This Row],[Start Date and Time]]))</f>
        <v>0</v>
      </c>
    </row>
    <row r="1098" spans="1:14" x14ac:dyDescent="0.25">
      <c r="A1098" s="1"/>
      <c r="B1098" s="2" t="s">
        <v>913</v>
      </c>
      <c r="C1098" s="2" t="s">
        <v>36</v>
      </c>
      <c r="D1098" s="2" t="s">
        <v>20</v>
      </c>
      <c r="E1098" s="7" t="s">
        <v>1380</v>
      </c>
      <c r="F1098" s="37">
        <v>42432.5</v>
      </c>
      <c r="G1098" s="37">
        <v>42432.541666666664</v>
      </c>
      <c r="H1098" s="1" t="s">
        <v>6</v>
      </c>
      <c r="I1098" s="1" t="s">
        <v>38</v>
      </c>
      <c r="J1098" s="1">
        <v>42432.618032407408</v>
      </c>
      <c r="K1098" s="1" t="s">
        <v>36</v>
      </c>
      <c r="L1098" s="14">
        <f>24*(TblTimeSheet[[#This Row],[End Date and Time]]-TblTimeSheet[[#This Row],[Start Date and Time]])</f>
        <v>0.99999999994179234</v>
      </c>
      <c r="M10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8">
        <f>--(0&gt;(TblTimeSheet[[#This Row],[End Date and Time]]-TblTimeSheet[[#This Row],[Start Date and Time]]))</f>
        <v>0</v>
      </c>
    </row>
    <row r="1099" spans="1:14" x14ac:dyDescent="0.25">
      <c r="A1099" s="1"/>
      <c r="B1099" s="2" t="s">
        <v>913</v>
      </c>
      <c r="C1099" s="2" t="s">
        <v>36</v>
      </c>
      <c r="D1099" s="2" t="s">
        <v>20</v>
      </c>
      <c r="E1099" s="7" t="s">
        <v>1381</v>
      </c>
      <c r="F1099" s="37">
        <v>42432.59375</v>
      </c>
      <c r="G1099" s="37">
        <v>42432.604166666664</v>
      </c>
      <c r="H1099" s="1" t="s">
        <v>6</v>
      </c>
      <c r="I1099" s="1" t="s">
        <v>38</v>
      </c>
      <c r="J1099" s="1">
        <v>42432.620983796296</v>
      </c>
      <c r="K1099" s="1" t="s">
        <v>36</v>
      </c>
      <c r="L1099" s="14">
        <f>24*(TblTimeSheet[[#This Row],[End Date and Time]]-TblTimeSheet[[#This Row],[Start Date and Time]])</f>
        <v>0.24999999994179234</v>
      </c>
      <c r="M10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099">
        <f>--(0&gt;(TblTimeSheet[[#This Row],[End Date and Time]]-TblTimeSheet[[#This Row],[Start Date and Time]]))</f>
        <v>0</v>
      </c>
    </row>
    <row r="1100" spans="1:14" x14ac:dyDescent="0.25">
      <c r="A1100" s="1"/>
      <c r="B1100" s="2" t="s">
        <v>913</v>
      </c>
      <c r="C1100" s="2" t="s">
        <v>36</v>
      </c>
      <c r="D1100" s="2" t="s">
        <v>20</v>
      </c>
      <c r="E1100" s="7" t="s">
        <v>1382</v>
      </c>
      <c r="F1100" s="37">
        <v>42432.645833333336</v>
      </c>
      <c r="G1100" s="37">
        <v>42432.65625</v>
      </c>
      <c r="H1100" s="1" t="s">
        <v>6</v>
      </c>
      <c r="I1100" s="1" t="s">
        <v>38</v>
      </c>
      <c r="J1100" s="1">
        <v>42432.668599537035</v>
      </c>
      <c r="K1100" s="1" t="s">
        <v>36</v>
      </c>
      <c r="L1100" s="14">
        <f>24*(TblTimeSheet[[#This Row],[End Date and Time]]-TblTimeSheet[[#This Row],[Start Date and Time]])</f>
        <v>0.24999999994179234</v>
      </c>
      <c r="M11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0">
        <f>--(0&gt;(TblTimeSheet[[#This Row],[End Date and Time]]-TblTimeSheet[[#This Row],[Start Date and Time]]))</f>
        <v>0</v>
      </c>
    </row>
    <row r="1101" spans="1:14" x14ac:dyDescent="0.25">
      <c r="A1101" s="1"/>
      <c r="B1101" s="2" t="s">
        <v>697</v>
      </c>
      <c r="C1101" s="2" t="s">
        <v>124</v>
      </c>
      <c r="D1101" s="2" t="s">
        <v>33</v>
      </c>
      <c r="E1101" s="7" t="s">
        <v>1383</v>
      </c>
      <c r="F1101" s="37">
        <v>42431.6875</v>
      </c>
      <c r="G1101" s="37">
        <v>42431.75</v>
      </c>
      <c r="H1101" s="1" t="s">
        <v>6</v>
      </c>
      <c r="I1101" s="1" t="s">
        <v>38</v>
      </c>
      <c r="J1101" s="1">
        <v>42432.693749999999</v>
      </c>
      <c r="K1101" s="1" t="s">
        <v>2863</v>
      </c>
      <c r="L1101" s="14">
        <f>24*(TblTimeSheet[[#This Row],[End Date and Time]]-TblTimeSheet[[#This Row],[Start Date and Time]])</f>
        <v>1.5</v>
      </c>
      <c r="M11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1">
        <f>--(0&gt;(TblTimeSheet[[#This Row],[End Date and Time]]-TblTimeSheet[[#This Row],[Start Date and Time]]))</f>
        <v>0</v>
      </c>
    </row>
    <row r="1102" spans="1:14" x14ac:dyDescent="0.25">
      <c r="A1102" s="1"/>
      <c r="B1102" s="2" t="s">
        <v>913</v>
      </c>
      <c r="C1102" s="2" t="s">
        <v>36</v>
      </c>
      <c r="D1102" s="2" t="s">
        <v>20</v>
      </c>
      <c r="E1102" s="7" t="s">
        <v>787</v>
      </c>
      <c r="F1102" s="37">
        <v>42432.677083333336</v>
      </c>
      <c r="G1102" s="37">
        <v>42432.690972222219</v>
      </c>
      <c r="H1102" s="1" t="s">
        <v>6</v>
      </c>
      <c r="I1102" s="1" t="s">
        <v>38</v>
      </c>
      <c r="J1102" s="1">
        <v>42432.694409722222</v>
      </c>
      <c r="K1102" s="1" t="s">
        <v>36</v>
      </c>
      <c r="L1102" s="14">
        <f>24*(TblTimeSheet[[#This Row],[End Date and Time]]-TblTimeSheet[[#This Row],[Start Date and Time]])</f>
        <v>0.33333333319751546</v>
      </c>
      <c r="M11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2">
        <f>--(0&gt;(TblTimeSheet[[#This Row],[End Date and Time]]-TblTimeSheet[[#This Row],[Start Date and Time]]))</f>
        <v>0</v>
      </c>
    </row>
    <row r="1103" spans="1:14" x14ac:dyDescent="0.25">
      <c r="A1103" s="1"/>
      <c r="B1103" s="2" t="s">
        <v>697</v>
      </c>
      <c r="C1103" s="2" t="s">
        <v>124</v>
      </c>
      <c r="D1103" s="2" t="s">
        <v>33</v>
      </c>
      <c r="E1103" s="7" t="s">
        <v>1384</v>
      </c>
      <c r="F1103" s="37">
        <v>42431.5625</v>
      </c>
      <c r="G1103" s="37">
        <v>42431.6875</v>
      </c>
      <c r="H1103" s="1" t="s">
        <v>6</v>
      </c>
      <c r="I1103" s="1" t="s">
        <v>38</v>
      </c>
      <c r="J1103" s="1">
        <v>42432.695497685185</v>
      </c>
      <c r="K1103" s="1" t="s">
        <v>2863</v>
      </c>
      <c r="L1103" s="14">
        <f>24*(TblTimeSheet[[#This Row],[End Date and Time]]-TblTimeSheet[[#This Row],[Start Date and Time]])</f>
        <v>3</v>
      </c>
      <c r="M11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3">
        <f>--(0&gt;(TblTimeSheet[[#This Row],[End Date and Time]]-TblTimeSheet[[#This Row],[Start Date and Time]]))</f>
        <v>0</v>
      </c>
    </row>
    <row r="1104" spans="1:14" x14ac:dyDescent="0.25">
      <c r="A1104" s="1"/>
      <c r="B1104" s="2" t="s">
        <v>697</v>
      </c>
      <c r="C1104" s="2" t="s">
        <v>124</v>
      </c>
      <c r="D1104" s="2" t="s">
        <v>33</v>
      </c>
      <c r="E1104" s="7" t="s">
        <v>1383</v>
      </c>
      <c r="F1104" s="37">
        <v>42432.375</v>
      </c>
      <c r="G1104" s="37">
        <v>42432.541666666664</v>
      </c>
      <c r="H1104" s="1" t="s">
        <v>6</v>
      </c>
      <c r="I1104" s="1" t="s">
        <v>38</v>
      </c>
      <c r="J1104" s="1">
        <v>42432.695937500001</v>
      </c>
      <c r="K1104" s="1" t="s">
        <v>2863</v>
      </c>
      <c r="L1104" s="14">
        <f>24*(TblTimeSheet[[#This Row],[End Date and Time]]-TblTimeSheet[[#This Row],[Start Date and Time]])</f>
        <v>3.9999999999417923</v>
      </c>
      <c r="M11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4">
        <f>--(0&gt;(TblTimeSheet[[#This Row],[End Date and Time]]-TblTimeSheet[[#This Row],[Start Date and Time]]))</f>
        <v>0</v>
      </c>
    </row>
    <row r="1105" spans="1:14" x14ac:dyDescent="0.25">
      <c r="A1105" s="1"/>
      <c r="B1105" s="2" t="s">
        <v>913</v>
      </c>
      <c r="C1105" s="2" t="s">
        <v>1105</v>
      </c>
      <c r="D1105" s="2" t="s">
        <v>20</v>
      </c>
      <c r="E1105" s="7" t="s">
        <v>1857</v>
      </c>
      <c r="F1105" s="37">
        <v>42432.677083333336</v>
      </c>
      <c r="G1105" s="37">
        <v>42432.690972222219</v>
      </c>
      <c r="H1105" s="1" t="s">
        <v>6</v>
      </c>
      <c r="I1105" s="1" t="s">
        <v>38</v>
      </c>
      <c r="J1105" s="1">
        <v>42432.704618055555</v>
      </c>
      <c r="K1105" s="1" t="s">
        <v>2864</v>
      </c>
      <c r="L1105" s="14">
        <f>24*(TblTimeSheet[[#This Row],[End Date and Time]]-TblTimeSheet[[#This Row],[Start Date and Time]])</f>
        <v>0.33333333319751546</v>
      </c>
      <c r="M11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5">
        <f>--(0&gt;(TblTimeSheet[[#This Row],[End Date and Time]]-TblTimeSheet[[#This Row],[Start Date and Time]]))</f>
        <v>0</v>
      </c>
    </row>
    <row r="1106" spans="1:14" x14ac:dyDescent="0.25">
      <c r="A1106" s="1"/>
      <c r="B1106" s="2" t="s">
        <v>913</v>
      </c>
      <c r="C1106" s="2" t="s">
        <v>36</v>
      </c>
      <c r="D1106" s="2" t="s">
        <v>20</v>
      </c>
      <c r="E1106" s="7" t="s">
        <v>1385</v>
      </c>
      <c r="F1106" s="37">
        <v>42432.701388888891</v>
      </c>
      <c r="G1106" s="37">
        <v>42432.704861111109</v>
      </c>
      <c r="H1106" s="1" t="s">
        <v>6</v>
      </c>
      <c r="I1106" s="1" t="s">
        <v>38</v>
      </c>
      <c r="J1106" s="1">
        <v>42432.706087962964</v>
      </c>
      <c r="K1106" s="1" t="s">
        <v>36</v>
      </c>
      <c r="L1106" s="14">
        <f>24*(TblTimeSheet[[#This Row],[End Date and Time]]-TblTimeSheet[[#This Row],[Start Date and Time]])</f>
        <v>8.3333333255723119E-2</v>
      </c>
      <c r="M11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6">
        <f>--(0&gt;(TblTimeSheet[[#This Row],[End Date and Time]]-TblTimeSheet[[#This Row],[Start Date and Time]]))</f>
        <v>0</v>
      </c>
    </row>
    <row r="1107" spans="1:14" x14ac:dyDescent="0.25">
      <c r="A1107" s="1"/>
      <c r="B1107" s="2" t="s">
        <v>697</v>
      </c>
      <c r="C1107" s="2" t="s">
        <v>116</v>
      </c>
      <c r="D1107" s="2" t="s">
        <v>33</v>
      </c>
      <c r="E1107" s="7" t="s">
        <v>1858</v>
      </c>
      <c r="F1107" s="37">
        <v>42432.375</v>
      </c>
      <c r="G1107" s="37">
        <v>42432.541666666664</v>
      </c>
      <c r="H1107" s="1" t="s">
        <v>6</v>
      </c>
      <c r="I1107" s="1" t="s">
        <v>38</v>
      </c>
      <c r="J1107" s="1">
        <v>42432.73364583333</v>
      </c>
      <c r="K1107" s="1" t="s">
        <v>1026</v>
      </c>
      <c r="L1107" s="14">
        <f>24*(TblTimeSheet[[#This Row],[End Date and Time]]-TblTimeSheet[[#This Row],[Start Date and Time]])</f>
        <v>3.9999999999417923</v>
      </c>
      <c r="M11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07">
        <f>--(0&gt;(TblTimeSheet[[#This Row],[End Date and Time]]-TblTimeSheet[[#This Row],[Start Date and Time]]))</f>
        <v>0</v>
      </c>
    </row>
    <row r="1108" spans="1:14" x14ac:dyDescent="0.25">
      <c r="A1108" s="1"/>
      <c r="B1108" s="2" t="s">
        <v>697</v>
      </c>
      <c r="C1108" s="2" t="s">
        <v>116</v>
      </c>
      <c r="D1108" s="2" t="s">
        <v>33</v>
      </c>
      <c r="E1108" s="7" t="s">
        <v>1386</v>
      </c>
      <c r="F1108" s="37">
        <v>42432.5625</v>
      </c>
      <c r="G1108" s="37">
        <v>42432.729166666664</v>
      </c>
      <c r="H1108" s="1" t="s">
        <v>6</v>
      </c>
      <c r="I1108" s="1" t="s">
        <v>38</v>
      </c>
      <c r="J1108" s="1">
        <v>42432.737395833334</v>
      </c>
      <c r="K1108" s="1" t="s">
        <v>1026</v>
      </c>
      <c r="L1108" s="14">
        <f>24*(TblTimeSheet[[#This Row],[End Date and Time]]-TblTimeSheet[[#This Row],[Start Date and Time]])</f>
        <v>3.9999999999417923</v>
      </c>
      <c r="M11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8">
        <f>--(0&gt;(TblTimeSheet[[#This Row],[End Date and Time]]-TblTimeSheet[[#This Row],[Start Date and Time]]))</f>
        <v>0</v>
      </c>
    </row>
    <row r="1109" spans="1:14" ht="45" x14ac:dyDescent="0.25">
      <c r="A1109" s="1"/>
      <c r="B1109" s="2" t="s">
        <v>913</v>
      </c>
      <c r="C1109" s="2" t="s">
        <v>1105</v>
      </c>
      <c r="D1109" s="2" t="s">
        <v>32</v>
      </c>
      <c r="E1109" s="7" t="s">
        <v>1859</v>
      </c>
      <c r="F1109" s="37">
        <v>42432.729166666664</v>
      </c>
      <c r="G1109" s="37">
        <v>42432.736111111109</v>
      </c>
      <c r="H1109" s="1" t="s">
        <v>6</v>
      </c>
      <c r="I1109" s="1" t="s">
        <v>38</v>
      </c>
      <c r="J1109" s="1">
        <v>42433.399780092594</v>
      </c>
      <c r="K1109" s="1" t="s">
        <v>2864</v>
      </c>
      <c r="L1109" s="14">
        <f>24*(TblTimeSheet[[#This Row],[End Date and Time]]-TblTimeSheet[[#This Row],[Start Date and Time]])</f>
        <v>0.16666666668606922</v>
      </c>
      <c r="M11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09">
        <f>--(0&gt;(TblTimeSheet[[#This Row],[End Date and Time]]-TblTimeSheet[[#This Row],[Start Date and Time]]))</f>
        <v>0</v>
      </c>
    </row>
    <row r="1110" spans="1:14" x14ac:dyDescent="0.25">
      <c r="A1110" s="1"/>
      <c r="B1110" s="2" t="s">
        <v>913</v>
      </c>
      <c r="C1110" s="2" t="s">
        <v>454</v>
      </c>
      <c r="D1110" s="2" t="s">
        <v>32</v>
      </c>
      <c r="E1110" s="7" t="s">
        <v>715</v>
      </c>
      <c r="F1110" s="37">
        <v>42432.729166666664</v>
      </c>
      <c r="G1110" s="37">
        <v>42432.736111111109</v>
      </c>
      <c r="H1110" s="1" t="s">
        <v>6</v>
      </c>
      <c r="I1110" s="1" t="s">
        <v>38</v>
      </c>
      <c r="J1110" s="1">
        <v>42432.741898148146</v>
      </c>
      <c r="K1110" s="1" t="s">
        <v>454</v>
      </c>
      <c r="L1110" s="14">
        <f>24*(TblTimeSheet[[#This Row],[End Date and Time]]-TblTimeSheet[[#This Row],[Start Date and Time]])</f>
        <v>0.16666666668606922</v>
      </c>
      <c r="M11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0">
        <f>--(0&gt;(TblTimeSheet[[#This Row],[End Date and Time]]-TblTimeSheet[[#This Row],[Start Date and Time]]))</f>
        <v>0</v>
      </c>
    </row>
    <row r="1111" spans="1:14" x14ac:dyDescent="0.25">
      <c r="A1111" s="1"/>
      <c r="B1111" s="2" t="s">
        <v>913</v>
      </c>
      <c r="C1111" s="2" t="s">
        <v>116</v>
      </c>
      <c r="D1111" s="2" t="s">
        <v>32</v>
      </c>
      <c r="E1111" s="7" t="s">
        <v>1387</v>
      </c>
      <c r="F1111" s="37">
        <v>42432.729166666664</v>
      </c>
      <c r="G1111" s="37">
        <v>42432.736111111109</v>
      </c>
      <c r="H1111" s="1" t="s">
        <v>6</v>
      </c>
      <c r="I1111" s="1" t="s">
        <v>38</v>
      </c>
      <c r="J1111" s="1">
        <v>42432.743819444448</v>
      </c>
      <c r="K1111" s="1" t="s">
        <v>39</v>
      </c>
      <c r="L1111" s="14">
        <f>24*(TblTimeSheet[[#This Row],[End Date and Time]]-TblTimeSheet[[#This Row],[Start Date and Time]])</f>
        <v>0.16666666668606922</v>
      </c>
      <c r="M11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1">
        <f>--(0&gt;(TblTimeSheet[[#This Row],[End Date and Time]]-TblTimeSheet[[#This Row],[Start Date and Time]]))</f>
        <v>0</v>
      </c>
    </row>
    <row r="1112" spans="1:14" x14ac:dyDescent="0.25">
      <c r="A1112" s="1"/>
      <c r="B1112" s="2" t="s">
        <v>913</v>
      </c>
      <c r="C1112" s="2" t="s">
        <v>116</v>
      </c>
      <c r="D1112" s="2" t="s">
        <v>32</v>
      </c>
      <c r="E1112" s="7" t="s">
        <v>1388</v>
      </c>
      <c r="F1112" s="37">
        <v>42432.694444444445</v>
      </c>
      <c r="G1112" s="37">
        <v>42432.708333333336</v>
      </c>
      <c r="H1112" s="1" t="s">
        <v>6</v>
      </c>
      <c r="I1112" s="1" t="s">
        <v>38</v>
      </c>
      <c r="J1112" s="1">
        <v>42432.746828703705</v>
      </c>
      <c r="K1112" s="1" t="s">
        <v>39</v>
      </c>
      <c r="L1112" s="14">
        <f>24*(TblTimeSheet[[#This Row],[End Date and Time]]-TblTimeSheet[[#This Row],[Start Date and Time]])</f>
        <v>0.33333333337213844</v>
      </c>
      <c r="M11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12">
        <f>--(0&gt;(TblTimeSheet[[#This Row],[End Date and Time]]-TblTimeSheet[[#This Row],[Start Date and Time]]))</f>
        <v>0</v>
      </c>
    </row>
    <row r="1113" spans="1:14" x14ac:dyDescent="0.25">
      <c r="A1113" s="1"/>
      <c r="B1113" s="2" t="s">
        <v>913</v>
      </c>
      <c r="C1113" s="2" t="s">
        <v>36</v>
      </c>
      <c r="D1113" s="2" t="s">
        <v>32</v>
      </c>
      <c r="E1113" s="7" t="s">
        <v>1860</v>
      </c>
      <c r="F1113" s="37">
        <v>42432.729166666664</v>
      </c>
      <c r="G1113" s="37">
        <v>42432.736111111109</v>
      </c>
      <c r="H1113" s="1" t="s">
        <v>6</v>
      </c>
      <c r="I1113" s="1" t="s">
        <v>38</v>
      </c>
      <c r="J1113" s="1">
        <v>42432.746168981481</v>
      </c>
      <c r="K1113" s="1" t="s">
        <v>36</v>
      </c>
      <c r="L1113" s="14">
        <f>24*(TblTimeSheet[[#This Row],[End Date and Time]]-TblTimeSheet[[#This Row],[Start Date and Time]])</f>
        <v>0.16666666668606922</v>
      </c>
      <c r="M11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3">
        <f>--(0&gt;(TblTimeSheet[[#This Row],[End Date and Time]]-TblTimeSheet[[#This Row],[Start Date and Time]]))</f>
        <v>0</v>
      </c>
    </row>
    <row r="1114" spans="1:14" x14ac:dyDescent="0.25">
      <c r="A1114" s="1"/>
      <c r="B1114" s="2" t="s">
        <v>697</v>
      </c>
      <c r="C1114" s="2" t="s">
        <v>36</v>
      </c>
      <c r="D1114" s="2" t="s">
        <v>34</v>
      </c>
      <c r="E1114" s="7" t="s">
        <v>1389</v>
      </c>
      <c r="F1114" s="37">
        <v>42432.746527777781</v>
      </c>
      <c r="G1114" s="37">
        <v>42432.78125</v>
      </c>
      <c r="H1114" s="1" t="s">
        <v>6</v>
      </c>
      <c r="I1114" s="1" t="s">
        <v>38</v>
      </c>
      <c r="J1114" s="1">
        <v>42432.782488425924</v>
      </c>
      <c r="K1114" s="1" t="s">
        <v>36</v>
      </c>
      <c r="L1114" s="14">
        <f>24*(TblTimeSheet[[#This Row],[End Date and Time]]-TblTimeSheet[[#This Row],[Start Date and Time]])</f>
        <v>0.83333333325572312</v>
      </c>
      <c r="M11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4">
        <f>--(0&gt;(TblTimeSheet[[#This Row],[End Date and Time]]-TblTimeSheet[[#This Row],[Start Date and Time]]))</f>
        <v>0</v>
      </c>
    </row>
    <row r="1115" spans="1:14" x14ac:dyDescent="0.25">
      <c r="A1115" s="1"/>
      <c r="B1115" s="2" t="s">
        <v>913</v>
      </c>
      <c r="C1115" s="2" t="s">
        <v>171</v>
      </c>
      <c r="D1115" s="2" t="s">
        <v>32</v>
      </c>
      <c r="E1115" s="7" t="s">
        <v>1390</v>
      </c>
      <c r="F1115" s="37">
        <v>42432.729166666664</v>
      </c>
      <c r="G1115" s="37">
        <v>42432.736111111109</v>
      </c>
      <c r="H1115" s="1" t="s">
        <v>6</v>
      </c>
      <c r="I1115" s="1" t="s">
        <v>38</v>
      </c>
      <c r="J1115" s="1">
        <v>42433.379305555558</v>
      </c>
      <c r="K1115" s="1" t="s">
        <v>171</v>
      </c>
      <c r="L1115" s="14">
        <f>24*(TblTimeSheet[[#This Row],[End Date and Time]]-TblTimeSheet[[#This Row],[Start Date and Time]])</f>
        <v>0.16666666668606922</v>
      </c>
      <c r="M11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5">
        <f>--(0&gt;(TblTimeSheet[[#This Row],[End Date and Time]]-TblTimeSheet[[#This Row],[Start Date and Time]]))</f>
        <v>0</v>
      </c>
    </row>
    <row r="1116" spans="1:14" x14ac:dyDescent="0.25">
      <c r="A1116" s="1"/>
      <c r="B1116" s="2" t="s">
        <v>913</v>
      </c>
      <c r="C1116" s="2" t="s">
        <v>118</v>
      </c>
      <c r="D1116" s="2" t="s">
        <v>32</v>
      </c>
      <c r="E1116" s="7" t="s">
        <v>1391</v>
      </c>
      <c r="F1116" s="37">
        <v>42432.729166666664</v>
      </c>
      <c r="G1116" s="37">
        <v>42432.732638888891</v>
      </c>
      <c r="H1116" s="1" t="s">
        <v>6</v>
      </c>
      <c r="I1116" s="1" t="s">
        <v>38</v>
      </c>
      <c r="J1116" s="1">
        <v>42433.379988425928</v>
      </c>
      <c r="K1116" s="1" t="s">
        <v>118</v>
      </c>
      <c r="L1116" s="14">
        <f>24*(TblTimeSheet[[#This Row],[End Date and Time]]-TblTimeSheet[[#This Row],[Start Date and Time]])</f>
        <v>8.3333333430346102E-2</v>
      </c>
      <c r="M11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6">
        <f>--(0&gt;(TblTimeSheet[[#This Row],[End Date and Time]]-TblTimeSheet[[#This Row],[Start Date and Time]]))</f>
        <v>0</v>
      </c>
    </row>
    <row r="1117" spans="1:14" x14ac:dyDescent="0.25">
      <c r="A1117" s="1"/>
      <c r="B1117" s="2" t="s">
        <v>913</v>
      </c>
      <c r="C1117" s="2" t="s">
        <v>36</v>
      </c>
      <c r="D1117" s="2" t="s">
        <v>32</v>
      </c>
      <c r="E1117" s="7" t="s">
        <v>1392</v>
      </c>
      <c r="F1117" s="37">
        <v>42432.708333333336</v>
      </c>
      <c r="G1117" s="37">
        <v>42432.729166666664</v>
      </c>
      <c r="H1117" s="1" t="s">
        <v>6</v>
      </c>
      <c r="I1117" s="1" t="s">
        <v>38</v>
      </c>
      <c r="J1117" s="1">
        <v>42433.388622685183</v>
      </c>
      <c r="K1117" s="1" t="s">
        <v>36</v>
      </c>
      <c r="L1117" s="14">
        <f>24*(TblTimeSheet[[#This Row],[End Date and Time]]-TblTimeSheet[[#This Row],[Start Date and Time]])</f>
        <v>0.49999999988358468</v>
      </c>
      <c r="M11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7">
        <f>--(0&gt;(TblTimeSheet[[#This Row],[End Date and Time]]-TblTimeSheet[[#This Row],[Start Date and Time]]))</f>
        <v>0</v>
      </c>
    </row>
    <row r="1118" spans="1:14" x14ac:dyDescent="0.25">
      <c r="A1118" s="1"/>
      <c r="B1118" s="2" t="s">
        <v>913</v>
      </c>
      <c r="C1118" s="2" t="s">
        <v>43</v>
      </c>
      <c r="D1118" s="2" t="s">
        <v>32</v>
      </c>
      <c r="E1118" s="7" t="s">
        <v>1390</v>
      </c>
      <c r="F1118" s="37">
        <v>42432.729166666664</v>
      </c>
      <c r="G1118" s="37">
        <v>42432.736111111109</v>
      </c>
      <c r="H1118" s="1" t="s">
        <v>6</v>
      </c>
      <c r="I1118" s="1" t="s">
        <v>38</v>
      </c>
      <c r="J1118" s="1">
        <v>42433.389699074076</v>
      </c>
      <c r="K1118" s="1" t="s">
        <v>43</v>
      </c>
      <c r="L1118" s="14">
        <f>24*(TblTimeSheet[[#This Row],[End Date and Time]]-TblTimeSheet[[#This Row],[Start Date and Time]])</f>
        <v>0.16666666668606922</v>
      </c>
      <c r="M11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8">
        <f>--(0&gt;(TblTimeSheet[[#This Row],[End Date and Time]]-TblTimeSheet[[#This Row],[Start Date and Time]]))</f>
        <v>0</v>
      </c>
    </row>
    <row r="1119" spans="1:14" x14ac:dyDescent="0.25">
      <c r="A1119" s="1"/>
      <c r="B1119" s="2" t="s">
        <v>913</v>
      </c>
      <c r="C1119" s="2" t="s">
        <v>36</v>
      </c>
      <c r="D1119" s="2" t="s">
        <v>32</v>
      </c>
      <c r="E1119" s="7" t="s">
        <v>1291</v>
      </c>
      <c r="F1119" s="37">
        <v>42433.392361111109</v>
      </c>
      <c r="G1119" s="37">
        <v>42433.395833333336</v>
      </c>
      <c r="H1119" s="1" t="s">
        <v>6</v>
      </c>
      <c r="I1119" s="1" t="s">
        <v>38</v>
      </c>
      <c r="J1119" s="1">
        <v>42433.396979166668</v>
      </c>
      <c r="K1119" s="1" t="s">
        <v>36</v>
      </c>
      <c r="L1119" s="14">
        <f>24*(TblTimeSheet[[#This Row],[End Date and Time]]-TblTimeSheet[[#This Row],[Start Date and Time]])</f>
        <v>8.3333333430346102E-2</v>
      </c>
      <c r="M11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19">
        <f>--(0&gt;(TblTimeSheet[[#This Row],[End Date and Time]]-TblTimeSheet[[#This Row],[Start Date and Time]]))</f>
        <v>0</v>
      </c>
    </row>
    <row r="1120" spans="1:14" x14ac:dyDescent="0.25">
      <c r="A1120" s="1"/>
      <c r="B1120" s="2" t="s">
        <v>913</v>
      </c>
      <c r="C1120" s="2" t="s">
        <v>1105</v>
      </c>
      <c r="D1120" s="2" t="s">
        <v>32</v>
      </c>
      <c r="E1120" s="7" t="s">
        <v>1861</v>
      </c>
      <c r="F1120" s="37">
        <v>42433.392361111109</v>
      </c>
      <c r="G1120" s="37">
        <v>42433.395833333336</v>
      </c>
      <c r="H1120" s="1" t="s">
        <v>6</v>
      </c>
      <c r="I1120" s="1" t="s">
        <v>38</v>
      </c>
      <c r="J1120" s="1">
        <v>42433.399456018517</v>
      </c>
      <c r="K1120" s="1" t="s">
        <v>2864</v>
      </c>
      <c r="L1120" s="14">
        <f>24*(TblTimeSheet[[#This Row],[End Date and Time]]-TblTimeSheet[[#This Row],[Start Date and Time]])</f>
        <v>8.3333333430346102E-2</v>
      </c>
      <c r="M11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0">
        <f>--(0&gt;(TblTimeSheet[[#This Row],[End Date and Time]]-TblTimeSheet[[#This Row],[Start Date and Time]]))</f>
        <v>0</v>
      </c>
    </row>
    <row r="1121" spans="1:14" x14ac:dyDescent="0.25">
      <c r="A1121" s="1"/>
      <c r="B1121" s="2" t="s">
        <v>911</v>
      </c>
      <c r="C1121" s="2" t="s">
        <v>1117</v>
      </c>
      <c r="D1121" s="2" t="s">
        <v>32</v>
      </c>
      <c r="E1121" s="7" t="s">
        <v>1393</v>
      </c>
      <c r="F1121" s="37">
        <v>42432.458333333336</v>
      </c>
      <c r="G1121" s="37">
        <v>42432.541666666664</v>
      </c>
      <c r="H1121" s="1" t="s">
        <v>6</v>
      </c>
      <c r="I1121" s="1" t="s">
        <v>38</v>
      </c>
      <c r="J1121" s="1">
        <v>42433.449305555558</v>
      </c>
      <c r="K1121" s="1" t="s">
        <v>2865</v>
      </c>
      <c r="L1121" s="14">
        <f>24*(TblTimeSheet[[#This Row],[End Date and Time]]-TblTimeSheet[[#This Row],[Start Date and Time]])</f>
        <v>1.9999999998835847</v>
      </c>
      <c r="M11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1">
        <f>--(0&gt;(TblTimeSheet[[#This Row],[End Date and Time]]-TblTimeSheet[[#This Row],[Start Date and Time]]))</f>
        <v>0</v>
      </c>
    </row>
    <row r="1122" spans="1:14" x14ac:dyDescent="0.25">
      <c r="A1122" s="1"/>
      <c r="B1122" s="2" t="s">
        <v>911</v>
      </c>
      <c r="C1122" s="2" t="s">
        <v>1117</v>
      </c>
      <c r="D1122" s="2" t="s">
        <v>20</v>
      </c>
      <c r="E1122" s="7" t="s">
        <v>1394</v>
      </c>
      <c r="F1122" s="37">
        <v>42433.416666666664</v>
      </c>
      <c r="G1122" s="37">
        <v>42433.447916666664</v>
      </c>
      <c r="H1122" s="1" t="s">
        <v>6</v>
      </c>
      <c r="I1122" s="1" t="s">
        <v>38</v>
      </c>
      <c r="J1122" s="1">
        <v>42433.451666666668</v>
      </c>
      <c r="K1122" s="1" t="s">
        <v>2865</v>
      </c>
      <c r="L1122" s="14">
        <f>24*(TblTimeSheet[[#This Row],[End Date and Time]]-TblTimeSheet[[#This Row],[Start Date and Time]])</f>
        <v>0.75</v>
      </c>
      <c r="M11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2">
        <f>--(0&gt;(TblTimeSheet[[#This Row],[End Date and Time]]-TblTimeSheet[[#This Row],[Start Date and Time]]))</f>
        <v>0</v>
      </c>
    </row>
    <row r="1123" spans="1:14" ht="30" x14ac:dyDescent="0.25">
      <c r="A1123" s="1"/>
      <c r="B1123" s="2" t="s">
        <v>911</v>
      </c>
      <c r="C1123" s="2" t="s">
        <v>41</v>
      </c>
      <c r="D1123" s="2" t="s">
        <v>20</v>
      </c>
      <c r="E1123" s="7" t="s">
        <v>1862</v>
      </c>
      <c r="F1123" s="37">
        <v>42433.416666666664</v>
      </c>
      <c r="G1123" s="37">
        <v>42433.447916666664</v>
      </c>
      <c r="H1123" s="1" t="s">
        <v>6</v>
      </c>
      <c r="I1123" s="1" t="s">
        <v>38</v>
      </c>
      <c r="J1123" s="1">
        <v>42433.635451388887</v>
      </c>
      <c r="K1123" s="1" t="s">
        <v>118</v>
      </c>
      <c r="L1123" s="14">
        <f>24*(TblTimeSheet[[#This Row],[End Date and Time]]-TblTimeSheet[[#This Row],[Start Date and Time]])</f>
        <v>0.75</v>
      </c>
      <c r="M11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3">
        <f>--(0&gt;(TblTimeSheet[[#This Row],[End Date and Time]]-TblTimeSheet[[#This Row],[Start Date and Time]]))</f>
        <v>0</v>
      </c>
    </row>
    <row r="1124" spans="1:14" x14ac:dyDescent="0.25">
      <c r="A1124" s="1"/>
      <c r="B1124" s="2" t="s">
        <v>911</v>
      </c>
      <c r="C1124" s="2" t="s">
        <v>41</v>
      </c>
      <c r="D1124" s="2" t="s">
        <v>20</v>
      </c>
      <c r="E1124" s="7" t="s">
        <v>1395</v>
      </c>
      <c r="F1124" s="37">
        <v>42432.375</v>
      </c>
      <c r="G1124" s="37">
        <v>42432.5</v>
      </c>
      <c r="H1124" s="1" t="s">
        <v>6</v>
      </c>
      <c r="I1124" s="1" t="s">
        <v>38</v>
      </c>
      <c r="J1124" s="1">
        <v>42433.606168981481</v>
      </c>
      <c r="K1124" s="1" t="s">
        <v>41</v>
      </c>
      <c r="L1124" s="14">
        <f>24*(TblTimeSheet[[#This Row],[End Date and Time]]-TblTimeSheet[[#This Row],[Start Date and Time]])</f>
        <v>3</v>
      </c>
      <c r="M11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4">
        <f>--(0&gt;(TblTimeSheet[[#This Row],[End Date and Time]]-TblTimeSheet[[#This Row],[Start Date and Time]]))</f>
        <v>0</v>
      </c>
    </row>
    <row r="1125" spans="1:14" x14ac:dyDescent="0.25">
      <c r="A1125" s="1"/>
      <c r="B1125" s="2" t="s">
        <v>911</v>
      </c>
      <c r="C1125" s="2" t="s">
        <v>41</v>
      </c>
      <c r="D1125" s="2" t="s">
        <v>20</v>
      </c>
      <c r="E1125" s="7" t="s">
        <v>1396</v>
      </c>
      <c r="F1125" s="37">
        <v>42433.458333333336</v>
      </c>
      <c r="G1125" s="37">
        <v>42433.5</v>
      </c>
      <c r="H1125" s="1" t="s">
        <v>6</v>
      </c>
      <c r="I1125" s="1" t="s">
        <v>38</v>
      </c>
      <c r="J1125" s="1">
        <v>42433.60628472222</v>
      </c>
      <c r="K1125" s="1" t="s">
        <v>41</v>
      </c>
      <c r="L1125" s="14">
        <f>24*(TblTimeSheet[[#This Row],[End Date and Time]]-TblTimeSheet[[#This Row],[Start Date and Time]])</f>
        <v>0.99999999994179234</v>
      </c>
      <c r="M11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5">
        <f>--(0&gt;(TblTimeSheet[[#This Row],[End Date and Time]]-TblTimeSheet[[#This Row],[Start Date and Time]]))</f>
        <v>0</v>
      </c>
    </row>
    <row r="1126" spans="1:14" x14ac:dyDescent="0.25">
      <c r="A1126" s="1"/>
      <c r="B1126" s="2" t="s">
        <v>913</v>
      </c>
      <c r="C1126" s="2" t="s">
        <v>36</v>
      </c>
      <c r="D1126" s="2" t="s">
        <v>32</v>
      </c>
      <c r="E1126" s="7" t="s">
        <v>1397</v>
      </c>
      <c r="F1126" s="37">
        <v>42433.604166666664</v>
      </c>
      <c r="G1126" s="37">
        <v>42433.614583333336</v>
      </c>
      <c r="H1126" s="1" t="s">
        <v>6</v>
      </c>
      <c r="I1126" s="1" t="s">
        <v>38</v>
      </c>
      <c r="J1126" s="1">
        <v>42433.620092592595</v>
      </c>
      <c r="K1126" s="1" t="s">
        <v>36</v>
      </c>
      <c r="L1126" s="14">
        <f>24*(TblTimeSheet[[#This Row],[End Date and Time]]-TblTimeSheet[[#This Row],[Start Date and Time]])</f>
        <v>0.25000000011641532</v>
      </c>
      <c r="M11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6">
        <f>--(0&gt;(TblTimeSheet[[#This Row],[End Date and Time]]-TblTimeSheet[[#This Row],[Start Date and Time]]))</f>
        <v>0</v>
      </c>
    </row>
    <row r="1127" spans="1:14" x14ac:dyDescent="0.25">
      <c r="A1127" s="1"/>
      <c r="B1127" s="2" t="s">
        <v>911</v>
      </c>
      <c r="C1127" s="2" t="s">
        <v>1117</v>
      </c>
      <c r="D1127" s="2" t="s">
        <v>20</v>
      </c>
      <c r="E1127" s="7" t="s">
        <v>1398</v>
      </c>
      <c r="F1127" s="37">
        <v>42427.458333333336</v>
      </c>
      <c r="G1127" s="37">
        <v>42427.5</v>
      </c>
      <c r="H1127" s="1" t="s">
        <v>6</v>
      </c>
      <c r="I1127" s="1" t="s">
        <v>38</v>
      </c>
      <c r="J1127" s="1">
        <v>42448.480381944442</v>
      </c>
      <c r="K1127" s="1" t="s">
        <v>2865</v>
      </c>
      <c r="L1127" s="14">
        <f>24*(TblTimeSheet[[#This Row],[End Date and Time]]-TblTimeSheet[[#This Row],[Start Date and Time]])</f>
        <v>0.99999999994179234</v>
      </c>
      <c r="M11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7">
        <f>--(0&gt;(TblTimeSheet[[#This Row],[End Date and Time]]-TblTimeSheet[[#This Row],[Start Date and Time]]))</f>
        <v>0</v>
      </c>
    </row>
    <row r="1128" spans="1:14" ht="30" x14ac:dyDescent="0.25">
      <c r="A1128" s="1"/>
      <c r="B1128" s="2" t="s">
        <v>909</v>
      </c>
      <c r="C1128" s="2" t="s">
        <v>1061</v>
      </c>
      <c r="D1128" s="2" t="s">
        <v>34</v>
      </c>
      <c r="E1128" s="7" t="s">
        <v>1399</v>
      </c>
      <c r="F1128" s="37">
        <v>42433.583333333336</v>
      </c>
      <c r="G1128" s="37">
        <v>42433.625</v>
      </c>
      <c r="H1128" s="1" t="s">
        <v>6</v>
      </c>
      <c r="I1128" s="1" t="s">
        <v>38</v>
      </c>
      <c r="J1128" s="1">
        <v>42433.632835648146</v>
      </c>
      <c r="K1128" s="1" t="s">
        <v>1061</v>
      </c>
      <c r="L1128" s="14">
        <f>24*(TblTimeSheet[[#This Row],[End Date and Time]]-TblTimeSheet[[#This Row],[Start Date and Time]])</f>
        <v>0.99999999994179234</v>
      </c>
      <c r="M11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8">
        <f>--(0&gt;(TblTimeSheet[[#This Row],[End Date and Time]]-TblTimeSheet[[#This Row],[Start Date and Time]]))</f>
        <v>0</v>
      </c>
    </row>
    <row r="1129" spans="1:14" x14ac:dyDescent="0.25">
      <c r="A1129" s="1"/>
      <c r="B1129" s="2" t="s">
        <v>911</v>
      </c>
      <c r="C1129" s="2" t="s">
        <v>118</v>
      </c>
      <c r="D1129" s="2" t="s">
        <v>20</v>
      </c>
      <c r="E1129" s="7" t="s">
        <v>456</v>
      </c>
      <c r="F1129" s="37">
        <v>42433.416666666664</v>
      </c>
      <c r="G1129" s="37">
        <v>42433.447916666664</v>
      </c>
      <c r="H1129" s="1" t="s">
        <v>6</v>
      </c>
      <c r="I1129" s="1" t="s">
        <v>38</v>
      </c>
      <c r="J1129" s="1">
        <v>42433.634189814817</v>
      </c>
      <c r="K1129" s="1" t="s">
        <v>118</v>
      </c>
      <c r="L1129" s="14">
        <f>24*(TblTimeSheet[[#This Row],[End Date and Time]]-TblTimeSheet[[#This Row],[Start Date and Time]])</f>
        <v>0.75</v>
      </c>
      <c r="M11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29">
        <f>--(0&gt;(TblTimeSheet[[#This Row],[End Date and Time]]-TblTimeSheet[[#This Row],[Start Date and Time]]))</f>
        <v>0</v>
      </c>
    </row>
    <row r="1130" spans="1:14" x14ac:dyDescent="0.25">
      <c r="A1130" s="1"/>
      <c r="B1130" s="2" t="s">
        <v>697</v>
      </c>
      <c r="C1130" s="2" t="s">
        <v>143</v>
      </c>
      <c r="D1130" s="2" t="s">
        <v>34</v>
      </c>
      <c r="E1130" s="7" t="s">
        <v>1400</v>
      </c>
      <c r="F1130" s="37">
        <v>42433.395833333336</v>
      </c>
      <c r="G1130" s="37">
        <v>42433.541666666664</v>
      </c>
      <c r="H1130" s="1" t="s">
        <v>6</v>
      </c>
      <c r="I1130" s="1" t="s">
        <v>38</v>
      </c>
      <c r="J1130" s="1">
        <v>42443.72084490741</v>
      </c>
      <c r="K1130" s="1" t="s">
        <v>143</v>
      </c>
      <c r="L1130" s="14">
        <f>24*(TblTimeSheet[[#This Row],[End Date and Time]]-TblTimeSheet[[#This Row],[Start Date and Time]])</f>
        <v>3.4999999998835847</v>
      </c>
      <c r="M11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0">
        <f>--(0&gt;(TblTimeSheet[[#This Row],[End Date and Time]]-TblTimeSheet[[#This Row],[Start Date and Time]]))</f>
        <v>0</v>
      </c>
    </row>
    <row r="1131" spans="1:14" x14ac:dyDescent="0.25">
      <c r="A1131" s="1"/>
      <c r="B1131" s="2" t="s">
        <v>697</v>
      </c>
      <c r="C1131" s="2" t="s">
        <v>143</v>
      </c>
      <c r="D1131" s="2" t="s">
        <v>34</v>
      </c>
      <c r="E1131" s="7" t="s">
        <v>1863</v>
      </c>
      <c r="F1131" s="37">
        <v>42433.59375</v>
      </c>
      <c r="G1131" s="37">
        <v>42433.65625</v>
      </c>
      <c r="H1131" s="1" t="s">
        <v>6</v>
      </c>
      <c r="I1131" s="1" t="s">
        <v>38</v>
      </c>
      <c r="J1131" s="1">
        <v>42443.721018518518</v>
      </c>
      <c r="K1131" s="1" t="s">
        <v>143</v>
      </c>
      <c r="L1131" s="14">
        <f>24*(TblTimeSheet[[#This Row],[End Date and Time]]-TblTimeSheet[[#This Row],[Start Date and Time]])</f>
        <v>1.5</v>
      </c>
      <c r="M11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1">
        <f>--(0&gt;(TblTimeSheet[[#This Row],[End Date and Time]]-TblTimeSheet[[#This Row],[Start Date and Time]]))</f>
        <v>0</v>
      </c>
    </row>
    <row r="1132" spans="1:14" x14ac:dyDescent="0.25">
      <c r="A1132" s="1"/>
      <c r="B1132" s="2" t="s">
        <v>915</v>
      </c>
      <c r="C1132" s="2" t="s">
        <v>118</v>
      </c>
      <c r="D1132" s="2" t="s">
        <v>20</v>
      </c>
      <c r="E1132" s="7" t="s">
        <v>1401</v>
      </c>
      <c r="F1132" s="37">
        <v>42433.666666666664</v>
      </c>
      <c r="G1132" s="37">
        <v>42433.680555555555</v>
      </c>
      <c r="H1132" s="1" t="s">
        <v>6</v>
      </c>
      <c r="I1132" s="1" t="s">
        <v>38</v>
      </c>
      <c r="J1132" s="1">
        <v>42439.4531712963</v>
      </c>
      <c r="K1132" s="1" t="s">
        <v>701</v>
      </c>
      <c r="L1132" s="14">
        <f>24*(TblTimeSheet[[#This Row],[End Date and Time]]-TblTimeSheet[[#This Row],[Start Date and Time]])</f>
        <v>0.33333333337213844</v>
      </c>
      <c r="M11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2">
        <f>--(0&gt;(TblTimeSheet[[#This Row],[End Date and Time]]-TblTimeSheet[[#This Row],[Start Date and Time]]))</f>
        <v>0</v>
      </c>
    </row>
    <row r="1133" spans="1:14" x14ac:dyDescent="0.25">
      <c r="A1133" s="1"/>
      <c r="B1133" s="2" t="s">
        <v>915</v>
      </c>
      <c r="C1133" s="2" t="s">
        <v>116</v>
      </c>
      <c r="D1133" s="2" t="s">
        <v>20</v>
      </c>
      <c r="E1133" s="7" t="s">
        <v>1195</v>
      </c>
      <c r="F1133" s="37">
        <v>42433.666666666664</v>
      </c>
      <c r="G1133" s="37">
        <v>42433.680555555555</v>
      </c>
      <c r="H1133" s="1" t="s">
        <v>6</v>
      </c>
      <c r="I1133" s="1" t="s">
        <v>38</v>
      </c>
      <c r="J1133" s="1">
        <v>42439.453067129631</v>
      </c>
      <c r="K1133" s="1" t="s">
        <v>701</v>
      </c>
      <c r="L1133" s="14">
        <f>24*(TblTimeSheet[[#This Row],[End Date and Time]]-TblTimeSheet[[#This Row],[Start Date and Time]])</f>
        <v>0.33333333337213844</v>
      </c>
      <c r="M11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33">
        <f>--(0&gt;(TblTimeSheet[[#This Row],[End Date and Time]]-TblTimeSheet[[#This Row],[Start Date and Time]]))</f>
        <v>0</v>
      </c>
    </row>
    <row r="1134" spans="1:14" x14ac:dyDescent="0.25">
      <c r="A1134" s="1"/>
      <c r="B1134" s="2" t="s">
        <v>913</v>
      </c>
      <c r="C1134" s="2" t="s">
        <v>171</v>
      </c>
      <c r="D1134" s="2" t="s">
        <v>32</v>
      </c>
      <c r="E1134" s="7" t="s">
        <v>1402</v>
      </c>
      <c r="F1134" s="37">
        <v>42431.625</v>
      </c>
      <c r="G1134" s="37">
        <v>42431.645833333336</v>
      </c>
      <c r="H1134" s="1" t="s">
        <v>6</v>
      </c>
      <c r="I1134" s="1" t="s">
        <v>38</v>
      </c>
      <c r="J1134" s="1">
        <v>42433.686157407406</v>
      </c>
      <c r="K1134" s="1" t="s">
        <v>171</v>
      </c>
      <c r="L1134" s="14">
        <f>24*(TblTimeSheet[[#This Row],[End Date and Time]]-TblTimeSheet[[#This Row],[Start Date and Time]])</f>
        <v>0.50000000005820766</v>
      </c>
      <c r="M11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4">
        <f>--(0&gt;(TblTimeSheet[[#This Row],[End Date and Time]]-TblTimeSheet[[#This Row],[Start Date and Time]]))</f>
        <v>0</v>
      </c>
    </row>
    <row r="1135" spans="1:14" x14ac:dyDescent="0.25">
      <c r="A1135" s="1"/>
      <c r="B1135" s="2" t="s">
        <v>913</v>
      </c>
      <c r="C1135" s="2" t="s">
        <v>171</v>
      </c>
      <c r="D1135" s="2" t="s">
        <v>32</v>
      </c>
      <c r="E1135" s="7" t="s">
        <v>1402</v>
      </c>
      <c r="F1135" s="37">
        <v>42433.625</v>
      </c>
      <c r="G1135" s="37">
        <v>42433.645833333336</v>
      </c>
      <c r="H1135" s="1" t="s">
        <v>6</v>
      </c>
      <c r="I1135" s="1" t="s">
        <v>38</v>
      </c>
      <c r="J1135" s="1">
        <v>42433.688009259262</v>
      </c>
      <c r="K1135" s="1" t="s">
        <v>171</v>
      </c>
      <c r="L1135" s="14">
        <f>24*(TblTimeSheet[[#This Row],[End Date and Time]]-TblTimeSheet[[#This Row],[Start Date and Time]])</f>
        <v>0.50000000005820766</v>
      </c>
      <c r="M11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5">
        <f>--(0&gt;(TblTimeSheet[[#This Row],[End Date and Time]]-TblTimeSheet[[#This Row],[Start Date and Time]]))</f>
        <v>0</v>
      </c>
    </row>
    <row r="1136" spans="1:14" ht="30" x14ac:dyDescent="0.25">
      <c r="A1136" s="1"/>
      <c r="B1136" s="2" t="s">
        <v>697</v>
      </c>
      <c r="C1136" s="2" t="s">
        <v>116</v>
      </c>
      <c r="D1136" s="2" t="s">
        <v>33</v>
      </c>
      <c r="E1136" s="7" t="s">
        <v>1864</v>
      </c>
      <c r="F1136" s="37">
        <v>42433.375</v>
      </c>
      <c r="G1136" s="37">
        <v>42433.541666666664</v>
      </c>
      <c r="H1136" s="1" t="s">
        <v>6</v>
      </c>
      <c r="I1136" s="1" t="s">
        <v>38</v>
      </c>
      <c r="J1136" s="1">
        <v>42433.693124999998</v>
      </c>
      <c r="K1136" s="1" t="s">
        <v>1026</v>
      </c>
      <c r="L1136" s="14">
        <f>24*(TblTimeSheet[[#This Row],[End Date and Time]]-TblTimeSheet[[#This Row],[Start Date and Time]])</f>
        <v>3.9999999999417923</v>
      </c>
      <c r="M11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6">
        <f>--(0&gt;(TblTimeSheet[[#This Row],[End Date and Time]]-TblTimeSheet[[#This Row],[Start Date and Time]]))</f>
        <v>0</v>
      </c>
    </row>
    <row r="1137" spans="1:14" x14ac:dyDescent="0.25">
      <c r="A1137" s="1"/>
      <c r="B1137" s="2" t="s">
        <v>911</v>
      </c>
      <c r="C1137" s="2" t="s">
        <v>1105</v>
      </c>
      <c r="D1137" s="2" t="s">
        <v>20</v>
      </c>
      <c r="E1137" s="7" t="s">
        <v>787</v>
      </c>
      <c r="F1137" s="37">
        <v>42433.628472222219</v>
      </c>
      <c r="G1137" s="37">
        <v>42433.690972222219</v>
      </c>
      <c r="H1137" s="1" t="s">
        <v>6</v>
      </c>
      <c r="I1137" s="1" t="s">
        <v>38</v>
      </c>
      <c r="J1137" s="1">
        <v>42448.468564814815</v>
      </c>
      <c r="K1137" s="1" t="s">
        <v>2864</v>
      </c>
      <c r="L1137" s="14">
        <f>24*(TblTimeSheet[[#This Row],[End Date and Time]]-TblTimeSheet[[#This Row],[Start Date and Time]])</f>
        <v>1.5</v>
      </c>
      <c r="M11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7">
        <f>--(0&gt;(TblTimeSheet[[#This Row],[End Date and Time]]-TblTimeSheet[[#This Row],[Start Date and Time]]))</f>
        <v>0</v>
      </c>
    </row>
    <row r="1138" spans="1:14" x14ac:dyDescent="0.25">
      <c r="A1138" s="1"/>
      <c r="B1138" s="2" t="s">
        <v>913</v>
      </c>
      <c r="C1138" s="2" t="s">
        <v>116</v>
      </c>
      <c r="D1138" s="2" t="s">
        <v>32</v>
      </c>
      <c r="E1138" s="7" t="s">
        <v>1403</v>
      </c>
      <c r="F1138" s="37">
        <v>42433.625</v>
      </c>
      <c r="G1138" s="37">
        <v>42433.65625</v>
      </c>
      <c r="H1138" s="1" t="s">
        <v>6</v>
      </c>
      <c r="I1138" s="1" t="s">
        <v>38</v>
      </c>
      <c r="J1138" s="1">
        <v>42433.702233796299</v>
      </c>
      <c r="K1138" s="1" t="s">
        <v>39</v>
      </c>
      <c r="L1138" s="14">
        <f>24*(TblTimeSheet[[#This Row],[End Date and Time]]-TblTimeSheet[[#This Row],[Start Date and Time]])</f>
        <v>0.75</v>
      </c>
      <c r="M11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38">
        <f>--(0&gt;(TblTimeSheet[[#This Row],[End Date and Time]]-TblTimeSheet[[#This Row],[Start Date and Time]]))</f>
        <v>0</v>
      </c>
    </row>
    <row r="1139" spans="1:14" x14ac:dyDescent="0.25">
      <c r="A1139" s="1"/>
      <c r="B1139" s="2" t="s">
        <v>913</v>
      </c>
      <c r="C1139" s="2" t="s">
        <v>36</v>
      </c>
      <c r="D1139" s="2" t="s">
        <v>32</v>
      </c>
      <c r="E1139" s="7" t="s">
        <v>1404</v>
      </c>
      <c r="F1139" s="37">
        <v>42433.458333333336</v>
      </c>
      <c r="G1139" s="37">
        <v>42433.46875</v>
      </c>
      <c r="H1139" s="1" t="s">
        <v>6</v>
      </c>
      <c r="I1139" s="1" t="s">
        <v>38</v>
      </c>
      <c r="J1139" s="1">
        <v>42433.704618055555</v>
      </c>
      <c r="K1139" s="1" t="s">
        <v>924</v>
      </c>
      <c r="L1139" s="14">
        <f>24*(TblTimeSheet[[#This Row],[End Date and Time]]-TblTimeSheet[[#This Row],[Start Date and Time]])</f>
        <v>0.24999999994179234</v>
      </c>
      <c r="M11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39">
        <f>--(0&gt;(TblTimeSheet[[#This Row],[End Date and Time]]-TblTimeSheet[[#This Row],[Start Date and Time]]))</f>
        <v>0</v>
      </c>
    </row>
    <row r="1140" spans="1:14" x14ac:dyDescent="0.25">
      <c r="A1140" s="1"/>
      <c r="B1140" s="2" t="s">
        <v>697</v>
      </c>
      <c r="C1140" s="2" t="s">
        <v>116</v>
      </c>
      <c r="D1140" s="2" t="s">
        <v>32</v>
      </c>
      <c r="E1140" s="7" t="s">
        <v>1405</v>
      </c>
      <c r="F1140" s="37">
        <v>42412.395833333336</v>
      </c>
      <c r="G1140" s="37">
        <v>42412.541666666664</v>
      </c>
      <c r="H1140" s="1" t="s">
        <v>6</v>
      </c>
      <c r="I1140" s="1" t="s">
        <v>38</v>
      </c>
      <c r="J1140" s="1">
        <v>42433.705127314817</v>
      </c>
      <c r="K1140" s="1" t="s">
        <v>701</v>
      </c>
      <c r="L1140" s="14">
        <f>24*(TblTimeSheet[[#This Row],[End Date and Time]]-TblTimeSheet[[#This Row],[Start Date and Time]])</f>
        <v>3.4999999998835847</v>
      </c>
      <c r="M11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0">
        <f>--(0&gt;(TblTimeSheet[[#This Row],[End Date and Time]]-TblTimeSheet[[#This Row],[Start Date and Time]]))</f>
        <v>0</v>
      </c>
    </row>
    <row r="1141" spans="1:14" x14ac:dyDescent="0.25">
      <c r="A1141" s="1"/>
      <c r="B1141" s="2" t="s">
        <v>913</v>
      </c>
      <c r="C1141" s="2" t="s">
        <v>36</v>
      </c>
      <c r="D1141" s="2" t="s">
        <v>32</v>
      </c>
      <c r="E1141" s="7" t="s">
        <v>1406</v>
      </c>
      <c r="F1141" s="37">
        <v>42433.645833333336</v>
      </c>
      <c r="G1141" s="37">
        <v>42433.652777777781</v>
      </c>
      <c r="H1141" s="1" t="s">
        <v>6</v>
      </c>
      <c r="I1141" s="1" t="s">
        <v>38</v>
      </c>
      <c r="J1141" s="1">
        <v>42433.705196759256</v>
      </c>
      <c r="K1141" s="1" t="s">
        <v>924</v>
      </c>
      <c r="L1141" s="14">
        <f>24*(TblTimeSheet[[#This Row],[End Date and Time]]-TblTimeSheet[[#This Row],[Start Date and Time]])</f>
        <v>0.16666666668606922</v>
      </c>
      <c r="M11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1">
        <f>--(0&gt;(TblTimeSheet[[#This Row],[End Date and Time]]-TblTimeSheet[[#This Row],[Start Date and Time]]))</f>
        <v>0</v>
      </c>
    </row>
    <row r="1142" spans="1:14" x14ac:dyDescent="0.25">
      <c r="A1142" s="1"/>
      <c r="B1142" s="2" t="s">
        <v>697</v>
      </c>
      <c r="C1142" s="2" t="s">
        <v>116</v>
      </c>
      <c r="D1142" s="2" t="s">
        <v>32</v>
      </c>
      <c r="E1142" s="7" t="s">
        <v>1407</v>
      </c>
      <c r="F1142" s="37">
        <v>42412.583333333336</v>
      </c>
      <c r="G1142" s="37">
        <v>42412.729166666664</v>
      </c>
      <c r="H1142" s="1" t="s">
        <v>6</v>
      </c>
      <c r="I1142" s="1" t="s">
        <v>38</v>
      </c>
      <c r="J1142" s="1">
        <v>42433.705636574072</v>
      </c>
      <c r="K1142" s="1" t="s">
        <v>701</v>
      </c>
      <c r="L1142" s="14">
        <f>24*(TblTimeSheet[[#This Row],[End Date and Time]]-TblTimeSheet[[#This Row],[Start Date and Time]])</f>
        <v>3.4999999998835847</v>
      </c>
      <c r="M11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2">
        <f>--(0&gt;(TblTimeSheet[[#This Row],[End Date and Time]]-TblTimeSheet[[#This Row],[Start Date and Time]]))</f>
        <v>0</v>
      </c>
    </row>
    <row r="1143" spans="1:14" x14ac:dyDescent="0.25">
      <c r="A1143" s="1"/>
      <c r="B1143" s="2" t="s">
        <v>697</v>
      </c>
      <c r="C1143" s="2" t="s">
        <v>116</v>
      </c>
      <c r="D1143" s="2" t="s">
        <v>32</v>
      </c>
      <c r="E1143" s="7" t="s">
        <v>1407</v>
      </c>
      <c r="F1143" s="37">
        <v>42413.583333333336</v>
      </c>
      <c r="G1143" s="37">
        <v>42413.729166666664</v>
      </c>
      <c r="H1143" s="1" t="s">
        <v>6</v>
      </c>
      <c r="I1143" s="1" t="s">
        <v>38</v>
      </c>
      <c r="J1143" s="1">
        <v>42433.706504629627</v>
      </c>
      <c r="K1143" s="1" t="s">
        <v>701</v>
      </c>
      <c r="L1143" s="14">
        <f>24*(TblTimeSheet[[#This Row],[End Date and Time]]-TblTimeSheet[[#This Row],[Start Date and Time]])</f>
        <v>3.4999999998835847</v>
      </c>
      <c r="M11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3">
        <f>--(0&gt;(TblTimeSheet[[#This Row],[End Date and Time]]-TblTimeSheet[[#This Row],[Start Date and Time]]))</f>
        <v>0</v>
      </c>
    </row>
    <row r="1144" spans="1:14" x14ac:dyDescent="0.25">
      <c r="A1144" s="1"/>
      <c r="B1144" s="2" t="s">
        <v>697</v>
      </c>
      <c r="C1144" s="2" t="s">
        <v>116</v>
      </c>
      <c r="D1144" s="2" t="s">
        <v>32</v>
      </c>
      <c r="E1144" s="7" t="s">
        <v>1408</v>
      </c>
      <c r="F1144" s="37">
        <v>42415.4375</v>
      </c>
      <c r="G1144" s="37">
        <v>42415.5625</v>
      </c>
      <c r="H1144" s="1" t="s">
        <v>6</v>
      </c>
      <c r="I1144" s="1" t="s">
        <v>38</v>
      </c>
      <c r="J1144" s="1">
        <v>42433.707615740743</v>
      </c>
      <c r="K1144" s="1" t="s">
        <v>701</v>
      </c>
      <c r="L1144" s="14">
        <f>24*(TblTimeSheet[[#This Row],[End Date and Time]]-TblTimeSheet[[#This Row],[Start Date and Time]])</f>
        <v>3</v>
      </c>
      <c r="M11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4">
        <f>--(0&gt;(TblTimeSheet[[#This Row],[End Date and Time]]-TblTimeSheet[[#This Row],[Start Date and Time]]))</f>
        <v>0</v>
      </c>
    </row>
    <row r="1145" spans="1:14" x14ac:dyDescent="0.25">
      <c r="A1145" s="1"/>
      <c r="B1145" s="2" t="s">
        <v>913</v>
      </c>
      <c r="C1145" s="2" t="s">
        <v>41</v>
      </c>
      <c r="D1145" s="2" t="s">
        <v>32</v>
      </c>
      <c r="E1145" s="7" t="s">
        <v>1409</v>
      </c>
      <c r="F1145" s="37">
        <v>42433.694444444445</v>
      </c>
      <c r="G1145" s="37">
        <v>42433.708333333336</v>
      </c>
      <c r="H1145" s="1" t="s">
        <v>6</v>
      </c>
      <c r="I1145" s="1" t="s">
        <v>38</v>
      </c>
      <c r="J1145" s="1">
        <v>42433.712581018517</v>
      </c>
      <c r="K1145" s="1" t="s">
        <v>41</v>
      </c>
      <c r="L1145" s="14">
        <f>24*(TblTimeSheet[[#This Row],[End Date and Time]]-TblTimeSheet[[#This Row],[Start Date and Time]])</f>
        <v>0.33333333337213844</v>
      </c>
      <c r="M11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5">
        <f>--(0&gt;(TblTimeSheet[[#This Row],[End Date and Time]]-TblTimeSheet[[#This Row],[Start Date and Time]]))</f>
        <v>0</v>
      </c>
    </row>
    <row r="1146" spans="1:14" x14ac:dyDescent="0.25">
      <c r="A1146" s="1"/>
      <c r="B1146" s="2" t="s">
        <v>913</v>
      </c>
      <c r="C1146" s="2" t="s">
        <v>171</v>
      </c>
      <c r="D1146" s="2" t="s">
        <v>32</v>
      </c>
      <c r="E1146" s="7" t="s">
        <v>1410</v>
      </c>
      <c r="F1146" s="37">
        <v>42433.694444444445</v>
      </c>
      <c r="G1146" s="37">
        <v>42433.708333333336</v>
      </c>
      <c r="H1146" s="1" t="s">
        <v>6</v>
      </c>
      <c r="I1146" s="1" t="s">
        <v>38</v>
      </c>
      <c r="J1146" s="1">
        <v>42433.712581018517</v>
      </c>
      <c r="K1146" s="1" t="s">
        <v>41</v>
      </c>
      <c r="L1146" s="14">
        <f>24*(TblTimeSheet[[#This Row],[End Date and Time]]-TblTimeSheet[[#This Row],[Start Date and Time]])</f>
        <v>0.33333333337213844</v>
      </c>
      <c r="M11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6">
        <f>--(0&gt;(TblTimeSheet[[#This Row],[End Date and Time]]-TblTimeSheet[[#This Row],[Start Date and Time]]))</f>
        <v>0</v>
      </c>
    </row>
    <row r="1147" spans="1:14" x14ac:dyDescent="0.25">
      <c r="A1147" s="1"/>
      <c r="B1147" s="2" t="s">
        <v>911</v>
      </c>
      <c r="C1147" s="2" t="s">
        <v>1117</v>
      </c>
      <c r="D1147" s="2" t="s">
        <v>32</v>
      </c>
      <c r="E1147" s="7" t="s">
        <v>1402</v>
      </c>
      <c r="F1147" s="37">
        <v>42433.458333333336</v>
      </c>
      <c r="G1147" s="37">
        <v>42433.666666666664</v>
      </c>
      <c r="H1147" s="1" t="s">
        <v>6</v>
      </c>
      <c r="I1147" s="1" t="s">
        <v>38</v>
      </c>
      <c r="J1147" s="1">
        <v>42450.495798611111</v>
      </c>
      <c r="K1147" s="1" t="s">
        <v>2865</v>
      </c>
      <c r="L1147" s="14">
        <f>24*(TblTimeSheet[[#This Row],[End Date and Time]]-TblTimeSheet[[#This Row],[Start Date and Time]])</f>
        <v>4.9999999998835847</v>
      </c>
      <c r="M11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7">
        <f>--(0&gt;(TblTimeSheet[[#This Row],[End Date and Time]]-TblTimeSheet[[#This Row],[Start Date and Time]]))</f>
        <v>0</v>
      </c>
    </row>
    <row r="1148" spans="1:14" x14ac:dyDescent="0.25">
      <c r="A1148" s="1"/>
      <c r="B1148" s="2" t="s">
        <v>911</v>
      </c>
      <c r="C1148" s="2" t="s">
        <v>41</v>
      </c>
      <c r="D1148" s="2" t="s">
        <v>20</v>
      </c>
      <c r="E1148" s="7" t="s">
        <v>1411</v>
      </c>
      <c r="F1148" s="37">
        <v>42433.715277777781</v>
      </c>
      <c r="G1148" s="37">
        <v>42433.722222222219</v>
      </c>
      <c r="H1148" s="1" t="s">
        <v>6</v>
      </c>
      <c r="I1148" s="1" t="s">
        <v>38</v>
      </c>
      <c r="J1148" s="1">
        <v>42433.721180555556</v>
      </c>
      <c r="K1148" s="1" t="s">
        <v>41</v>
      </c>
      <c r="L1148" s="14">
        <f>24*(TblTimeSheet[[#This Row],[End Date and Time]]-TblTimeSheet[[#This Row],[Start Date and Time]])</f>
        <v>0.16666666651144624</v>
      </c>
      <c r="M11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8">
        <f>--(0&gt;(TblTimeSheet[[#This Row],[End Date and Time]]-TblTimeSheet[[#This Row],[Start Date and Time]]))</f>
        <v>0</v>
      </c>
    </row>
    <row r="1149" spans="1:14" x14ac:dyDescent="0.25">
      <c r="A1149" s="1"/>
      <c r="B1149" s="2" t="s">
        <v>911</v>
      </c>
      <c r="C1149" s="2" t="s">
        <v>41</v>
      </c>
      <c r="D1149" s="2" t="s">
        <v>20</v>
      </c>
      <c r="E1149" s="7" t="s">
        <v>1412</v>
      </c>
      <c r="F1149" s="37">
        <v>42433.628472222219</v>
      </c>
      <c r="G1149" s="37">
        <v>42433.690972222219</v>
      </c>
      <c r="H1149" s="1" t="s">
        <v>6</v>
      </c>
      <c r="I1149" s="1" t="s">
        <v>38</v>
      </c>
      <c r="J1149" s="1">
        <v>42448.470914351848</v>
      </c>
      <c r="K1149" s="1" t="s">
        <v>41</v>
      </c>
      <c r="L1149" s="14">
        <f>24*(TblTimeSheet[[#This Row],[End Date and Time]]-TblTimeSheet[[#This Row],[Start Date and Time]])</f>
        <v>1.5</v>
      </c>
      <c r="M11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49">
        <f>--(0&gt;(TblTimeSheet[[#This Row],[End Date and Time]]-TblTimeSheet[[#This Row],[Start Date and Time]]))</f>
        <v>0</v>
      </c>
    </row>
    <row r="1150" spans="1:14" x14ac:dyDescent="0.25">
      <c r="A1150" s="1"/>
      <c r="B1150" s="2" t="s">
        <v>909</v>
      </c>
      <c r="C1150" s="2" t="s">
        <v>961</v>
      </c>
      <c r="D1150" s="2" t="s">
        <v>33</v>
      </c>
      <c r="E1150" s="7" t="s">
        <v>1865</v>
      </c>
      <c r="F1150" s="37">
        <v>42433.381944444445</v>
      </c>
      <c r="G1150" s="37">
        <v>42433.583333333336</v>
      </c>
      <c r="H1150" s="1" t="s">
        <v>6</v>
      </c>
      <c r="I1150" s="1" t="s">
        <v>38</v>
      </c>
      <c r="J1150" s="1">
        <v>42433.730925925927</v>
      </c>
      <c r="K1150" s="1" t="s">
        <v>961</v>
      </c>
      <c r="L1150" s="14">
        <f>24*(TblTimeSheet[[#This Row],[End Date and Time]]-TblTimeSheet[[#This Row],[Start Date and Time]])</f>
        <v>4.8333333333721384</v>
      </c>
      <c r="M11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0">
        <f>--(0&gt;(TblTimeSheet[[#This Row],[End Date and Time]]-TblTimeSheet[[#This Row],[Start Date and Time]]))</f>
        <v>0</v>
      </c>
    </row>
    <row r="1151" spans="1:14" x14ac:dyDescent="0.25">
      <c r="A1151" s="1"/>
      <c r="B1151" s="2" t="s">
        <v>911</v>
      </c>
      <c r="C1151" s="2" t="s">
        <v>1105</v>
      </c>
      <c r="D1151" s="2" t="s">
        <v>20</v>
      </c>
      <c r="E1151" s="7" t="s">
        <v>1866</v>
      </c>
      <c r="F1151" s="37">
        <v>42433.701388888891</v>
      </c>
      <c r="G1151" s="37">
        <v>42433.746527777781</v>
      </c>
      <c r="H1151" s="1" t="s">
        <v>6</v>
      </c>
      <c r="I1151" s="1" t="s">
        <v>38</v>
      </c>
      <c r="J1151" s="1">
        <v>42433.73233796296</v>
      </c>
      <c r="K1151" s="1" t="s">
        <v>2864</v>
      </c>
      <c r="L1151" s="14">
        <f>24*(TblTimeSheet[[#This Row],[End Date and Time]]-TblTimeSheet[[#This Row],[Start Date and Time]])</f>
        <v>1.0833333333721384</v>
      </c>
      <c r="M11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1">
        <f>--(0&gt;(TblTimeSheet[[#This Row],[End Date and Time]]-TblTimeSheet[[#This Row],[Start Date and Time]]))</f>
        <v>0</v>
      </c>
    </row>
    <row r="1152" spans="1:14" x14ac:dyDescent="0.25">
      <c r="A1152" s="1"/>
      <c r="B1152" s="2" t="s">
        <v>697</v>
      </c>
      <c r="C1152" s="2" t="s">
        <v>116</v>
      </c>
      <c r="D1152" s="2" t="s">
        <v>33</v>
      </c>
      <c r="E1152" s="7" t="s">
        <v>1413</v>
      </c>
      <c r="F1152" s="37">
        <v>42433.5625</v>
      </c>
      <c r="G1152" s="37">
        <v>42433.729166666664</v>
      </c>
      <c r="H1152" s="1" t="s">
        <v>6</v>
      </c>
      <c r="I1152" s="1" t="s">
        <v>38</v>
      </c>
      <c r="J1152" s="1">
        <v>42433.73238425926</v>
      </c>
      <c r="K1152" s="1" t="s">
        <v>1026</v>
      </c>
      <c r="L1152" s="14">
        <f>24*(TblTimeSheet[[#This Row],[End Date and Time]]-TblTimeSheet[[#This Row],[Start Date and Time]])</f>
        <v>3.9999999999417923</v>
      </c>
      <c r="M11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2">
        <f>--(0&gt;(TblTimeSheet[[#This Row],[End Date and Time]]-TblTimeSheet[[#This Row],[Start Date and Time]]))</f>
        <v>0</v>
      </c>
    </row>
    <row r="1153" spans="1:14" x14ac:dyDescent="0.25">
      <c r="A1153" s="1"/>
      <c r="B1153" s="2" t="s">
        <v>697</v>
      </c>
      <c r="C1153" s="2" t="s">
        <v>36</v>
      </c>
      <c r="D1153" s="2" t="s">
        <v>34</v>
      </c>
      <c r="E1153" s="7" t="s">
        <v>1414</v>
      </c>
      <c r="F1153" s="37">
        <v>42433.725694444445</v>
      </c>
      <c r="G1153" s="37">
        <v>42433.729166666664</v>
      </c>
      <c r="H1153" s="1" t="s">
        <v>6</v>
      </c>
      <c r="I1153" s="1" t="s">
        <v>38</v>
      </c>
      <c r="J1153" s="1">
        <v>42433.735092592593</v>
      </c>
      <c r="K1153" s="1" t="s">
        <v>924</v>
      </c>
      <c r="L1153" s="14">
        <f>24*(TblTimeSheet[[#This Row],[End Date and Time]]-TblTimeSheet[[#This Row],[Start Date and Time]])</f>
        <v>8.3333333255723119E-2</v>
      </c>
      <c r="M11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3">
        <f>--(0&gt;(TblTimeSheet[[#This Row],[End Date and Time]]-TblTimeSheet[[#This Row],[Start Date and Time]]))</f>
        <v>0</v>
      </c>
    </row>
    <row r="1154" spans="1:14" x14ac:dyDescent="0.25">
      <c r="A1154" s="1"/>
      <c r="B1154" s="2" t="s">
        <v>913</v>
      </c>
      <c r="C1154" s="2" t="s">
        <v>36</v>
      </c>
      <c r="D1154" s="2" t="s">
        <v>32</v>
      </c>
      <c r="E1154" s="7" t="s">
        <v>1390</v>
      </c>
      <c r="F1154" s="37">
        <v>42433.729166666664</v>
      </c>
      <c r="G1154" s="37">
        <v>42433.732638888891</v>
      </c>
      <c r="H1154" s="1" t="s">
        <v>6</v>
      </c>
      <c r="I1154" s="1" t="s">
        <v>38</v>
      </c>
      <c r="J1154" s="1">
        <v>42433.7344212963</v>
      </c>
      <c r="K1154" s="1" t="s">
        <v>924</v>
      </c>
      <c r="L1154" s="14">
        <f>24*(TblTimeSheet[[#This Row],[End Date and Time]]-TblTimeSheet[[#This Row],[Start Date and Time]])</f>
        <v>8.3333333430346102E-2</v>
      </c>
      <c r="M11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4">
        <f>--(0&gt;(TblTimeSheet[[#This Row],[End Date and Time]]-TblTimeSheet[[#This Row],[Start Date and Time]]))</f>
        <v>0</v>
      </c>
    </row>
    <row r="1155" spans="1:14" x14ac:dyDescent="0.25">
      <c r="A1155" s="1"/>
      <c r="B1155" s="2" t="s">
        <v>915</v>
      </c>
      <c r="C1155" s="2" t="s">
        <v>1117</v>
      </c>
      <c r="D1155" s="2" t="s">
        <v>20</v>
      </c>
      <c r="E1155" s="7" t="s">
        <v>1867</v>
      </c>
      <c r="F1155" s="37">
        <v>42433.666666666664</v>
      </c>
      <c r="G1155" s="37">
        <v>42433.680555555555</v>
      </c>
      <c r="H1155" s="1" t="s">
        <v>6</v>
      </c>
      <c r="I1155" s="1" t="s">
        <v>38</v>
      </c>
      <c r="J1155" s="1">
        <v>42439.452916666669</v>
      </c>
      <c r="K1155" s="1" t="s">
        <v>701</v>
      </c>
      <c r="L1155" s="14">
        <f>24*(TblTimeSheet[[#This Row],[End Date and Time]]-TblTimeSheet[[#This Row],[Start Date and Time]])</f>
        <v>0.33333333337213844</v>
      </c>
      <c r="M11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5">
        <f>--(0&gt;(TblTimeSheet[[#This Row],[End Date and Time]]-TblTimeSheet[[#This Row],[Start Date and Time]]))</f>
        <v>0</v>
      </c>
    </row>
    <row r="1156" spans="1:14" x14ac:dyDescent="0.25">
      <c r="A1156" s="1"/>
      <c r="B1156" s="2" t="s">
        <v>913</v>
      </c>
      <c r="C1156" s="2" t="s">
        <v>171</v>
      </c>
      <c r="D1156" s="2" t="s">
        <v>32</v>
      </c>
      <c r="E1156" s="7" t="s">
        <v>1415</v>
      </c>
      <c r="F1156" s="37">
        <v>42433.729166666664</v>
      </c>
      <c r="G1156" s="37">
        <v>42433.732638888891</v>
      </c>
      <c r="H1156" s="1" t="s">
        <v>6</v>
      </c>
      <c r="I1156" s="1" t="s">
        <v>38</v>
      </c>
      <c r="J1156" s="1">
        <v>42433.738032407404</v>
      </c>
      <c r="K1156" s="1" t="s">
        <v>171</v>
      </c>
      <c r="L1156" s="14">
        <f>24*(TblTimeSheet[[#This Row],[End Date and Time]]-TblTimeSheet[[#This Row],[Start Date and Time]])</f>
        <v>8.3333333430346102E-2</v>
      </c>
      <c r="M11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6">
        <f>--(0&gt;(TblTimeSheet[[#This Row],[End Date and Time]]-TblTimeSheet[[#This Row],[Start Date and Time]]))</f>
        <v>0</v>
      </c>
    </row>
    <row r="1157" spans="1:14" x14ac:dyDescent="0.25">
      <c r="A1157" s="1"/>
      <c r="B1157" s="2" t="s">
        <v>909</v>
      </c>
      <c r="C1157" s="2" t="s">
        <v>961</v>
      </c>
      <c r="D1157" s="2" t="s">
        <v>33</v>
      </c>
      <c r="E1157" s="7" t="s">
        <v>1868</v>
      </c>
      <c r="F1157" s="37">
        <v>42433.625</v>
      </c>
      <c r="G1157" s="37">
        <v>42433.666666666664</v>
      </c>
      <c r="H1157" s="1" t="s">
        <v>6</v>
      </c>
      <c r="I1157" s="1" t="s">
        <v>38</v>
      </c>
      <c r="J1157" s="1">
        <v>42433.739363425928</v>
      </c>
      <c r="K1157" s="1" t="s">
        <v>961</v>
      </c>
      <c r="L1157" s="14">
        <f>24*(TblTimeSheet[[#This Row],[End Date and Time]]-TblTimeSheet[[#This Row],[Start Date and Time]])</f>
        <v>0.99999999994179234</v>
      </c>
      <c r="M11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7">
        <f>--(0&gt;(TblTimeSheet[[#This Row],[End Date and Time]]-TblTimeSheet[[#This Row],[Start Date and Time]]))</f>
        <v>0</v>
      </c>
    </row>
    <row r="1158" spans="1:14" x14ac:dyDescent="0.25">
      <c r="A1158" s="1"/>
      <c r="B1158" s="2" t="s">
        <v>913</v>
      </c>
      <c r="C1158" s="2" t="s">
        <v>116</v>
      </c>
      <c r="D1158" s="2" t="s">
        <v>32</v>
      </c>
      <c r="E1158" s="7" t="s">
        <v>1416</v>
      </c>
      <c r="F1158" s="37">
        <v>42433.729166666664</v>
      </c>
      <c r="G1158" s="37">
        <v>42433.732638888891</v>
      </c>
      <c r="H1158" s="1" t="s">
        <v>6</v>
      </c>
      <c r="I1158" s="1" t="s">
        <v>38</v>
      </c>
      <c r="J1158" s="1">
        <v>42433.746238425927</v>
      </c>
      <c r="K1158" s="1" t="s">
        <v>39</v>
      </c>
      <c r="L1158" s="14">
        <f>24*(TblTimeSheet[[#This Row],[End Date and Time]]-TblTimeSheet[[#This Row],[Start Date and Time]])</f>
        <v>8.3333333430346102E-2</v>
      </c>
      <c r="M11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8">
        <f>--(0&gt;(TblTimeSheet[[#This Row],[End Date and Time]]-TblTimeSheet[[#This Row],[Start Date and Time]]))</f>
        <v>0</v>
      </c>
    </row>
    <row r="1159" spans="1:14" x14ac:dyDescent="0.25">
      <c r="A1159" s="1"/>
      <c r="B1159" s="2" t="s">
        <v>697</v>
      </c>
      <c r="C1159" s="2" t="s">
        <v>124</v>
      </c>
      <c r="D1159" s="2" t="s">
        <v>32</v>
      </c>
      <c r="E1159" s="7" t="s">
        <v>1417</v>
      </c>
      <c r="F1159" s="37">
        <v>42388.625</v>
      </c>
      <c r="G1159" s="37">
        <v>42388.666666666664</v>
      </c>
      <c r="H1159" s="1" t="s">
        <v>6</v>
      </c>
      <c r="I1159" s="1" t="s">
        <v>38</v>
      </c>
      <c r="J1159" s="1">
        <v>42433.756006944444</v>
      </c>
      <c r="K1159" s="1" t="s">
        <v>701</v>
      </c>
      <c r="L1159" s="14">
        <f>24*(TblTimeSheet[[#This Row],[End Date and Time]]-TblTimeSheet[[#This Row],[Start Date and Time]])</f>
        <v>0.99999999994179234</v>
      </c>
      <c r="M11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59">
        <f>--(0&gt;(TblTimeSheet[[#This Row],[End Date and Time]]-TblTimeSheet[[#This Row],[Start Date and Time]]))</f>
        <v>0</v>
      </c>
    </row>
    <row r="1160" spans="1:14" x14ac:dyDescent="0.25">
      <c r="A1160" s="1"/>
      <c r="B1160" s="2" t="s">
        <v>909</v>
      </c>
      <c r="C1160" s="2" t="s">
        <v>176</v>
      </c>
      <c r="D1160" s="2" t="s">
        <v>32</v>
      </c>
      <c r="E1160" s="7" t="s">
        <v>1418</v>
      </c>
      <c r="F1160" s="37">
        <v>42433.666666666664</v>
      </c>
      <c r="G1160" s="37">
        <v>42433.708333333336</v>
      </c>
      <c r="H1160" s="1" t="s">
        <v>6</v>
      </c>
      <c r="I1160" s="1" t="s">
        <v>38</v>
      </c>
      <c r="J1160" s="1">
        <v>42433.758831018517</v>
      </c>
      <c r="K1160" s="1" t="s">
        <v>176</v>
      </c>
      <c r="L1160" s="14">
        <f>24*(TblTimeSheet[[#This Row],[End Date and Time]]-TblTimeSheet[[#This Row],[Start Date and Time]])</f>
        <v>1.0000000001164153</v>
      </c>
      <c r="M11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0">
        <f>--(0&gt;(TblTimeSheet[[#This Row],[End Date and Time]]-TblTimeSheet[[#This Row],[Start Date and Time]]))</f>
        <v>0</v>
      </c>
    </row>
    <row r="1161" spans="1:14" x14ac:dyDescent="0.25">
      <c r="A1161" s="1"/>
      <c r="B1161" s="2" t="s">
        <v>909</v>
      </c>
      <c r="C1161" s="2" t="s">
        <v>961</v>
      </c>
      <c r="D1161" s="2" t="s">
        <v>32</v>
      </c>
      <c r="E1161" s="7" t="s">
        <v>1869</v>
      </c>
      <c r="F1161" s="37">
        <v>42433.666666666664</v>
      </c>
      <c r="G1161" s="37">
        <v>42433.708333333336</v>
      </c>
      <c r="H1161" s="1" t="s">
        <v>6</v>
      </c>
      <c r="I1161" s="1" t="s">
        <v>38</v>
      </c>
      <c r="J1161" s="1">
        <v>42433.75712962963</v>
      </c>
      <c r="K1161" s="1" t="s">
        <v>961</v>
      </c>
      <c r="L1161" s="14">
        <f>24*(TblTimeSheet[[#This Row],[End Date and Time]]-TblTimeSheet[[#This Row],[Start Date and Time]])</f>
        <v>1.0000000001164153</v>
      </c>
      <c r="M11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1">
        <f>--(0&gt;(TblTimeSheet[[#This Row],[End Date and Time]]-TblTimeSheet[[#This Row],[Start Date and Time]]))</f>
        <v>0</v>
      </c>
    </row>
    <row r="1162" spans="1:14" x14ac:dyDescent="0.25">
      <c r="A1162" s="1"/>
      <c r="B1162" s="2" t="s">
        <v>909</v>
      </c>
      <c r="C1162" s="2" t="s">
        <v>41</v>
      </c>
      <c r="D1162" s="2" t="s">
        <v>33</v>
      </c>
      <c r="E1162" s="7" t="s">
        <v>1419</v>
      </c>
      <c r="F1162" s="37">
        <v>42433.743055555555</v>
      </c>
      <c r="G1162" s="37">
        <v>42433.760416666664</v>
      </c>
      <c r="H1162" s="1" t="s">
        <v>6</v>
      </c>
      <c r="I1162" s="1" t="s">
        <v>38</v>
      </c>
      <c r="J1162" s="1">
        <v>42433.759594907409</v>
      </c>
      <c r="K1162" s="1" t="s">
        <v>41</v>
      </c>
      <c r="L1162" s="14">
        <f>24*(TblTimeSheet[[#This Row],[End Date and Time]]-TblTimeSheet[[#This Row],[Start Date and Time]])</f>
        <v>0.41666666662786156</v>
      </c>
      <c r="M11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2">
        <f>--(0&gt;(TblTimeSheet[[#This Row],[End Date and Time]]-TblTimeSheet[[#This Row],[Start Date and Time]]))</f>
        <v>0</v>
      </c>
    </row>
    <row r="1163" spans="1:14" x14ac:dyDescent="0.25">
      <c r="A1163" s="1"/>
      <c r="B1163" s="2" t="s">
        <v>697</v>
      </c>
      <c r="C1163" s="2" t="s">
        <v>124</v>
      </c>
      <c r="D1163" s="2" t="s">
        <v>32</v>
      </c>
      <c r="E1163" s="7" t="s">
        <v>1420</v>
      </c>
      <c r="F1163" s="37">
        <v>42392.625</v>
      </c>
      <c r="G1163" s="37">
        <v>42392.708333333336</v>
      </c>
      <c r="H1163" s="1" t="s">
        <v>6</v>
      </c>
      <c r="I1163" s="1" t="s">
        <v>38</v>
      </c>
      <c r="J1163" s="1">
        <v>42433.767557870371</v>
      </c>
      <c r="K1163" s="1" t="s">
        <v>701</v>
      </c>
      <c r="L1163" s="14">
        <f>24*(TblTimeSheet[[#This Row],[End Date and Time]]-TblTimeSheet[[#This Row],[Start Date and Time]])</f>
        <v>2.0000000000582077</v>
      </c>
      <c r="M11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3">
        <f>--(0&gt;(TblTimeSheet[[#This Row],[End Date and Time]]-TblTimeSheet[[#This Row],[Start Date and Time]]))</f>
        <v>0</v>
      </c>
    </row>
    <row r="1164" spans="1:14" x14ac:dyDescent="0.25">
      <c r="A1164" s="1"/>
      <c r="B1164" s="2" t="s">
        <v>913</v>
      </c>
      <c r="C1164" s="2" t="s">
        <v>118</v>
      </c>
      <c r="D1164" s="2" t="s">
        <v>32</v>
      </c>
      <c r="E1164" s="7" t="s">
        <v>1361</v>
      </c>
      <c r="F1164" s="37">
        <v>42433.625</v>
      </c>
      <c r="G1164" s="37">
        <v>42433.666666666664</v>
      </c>
      <c r="H1164" s="1" t="s">
        <v>6</v>
      </c>
      <c r="I1164" s="1" t="s">
        <v>38</v>
      </c>
      <c r="J1164" s="1">
        <v>42434.374143518522</v>
      </c>
      <c r="K1164" s="1" t="s">
        <v>118</v>
      </c>
      <c r="L1164" s="14">
        <f>24*(TblTimeSheet[[#This Row],[End Date and Time]]-TblTimeSheet[[#This Row],[Start Date and Time]])</f>
        <v>0.99999999994179234</v>
      </c>
      <c r="M11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4">
        <f>--(0&gt;(TblTimeSheet[[#This Row],[End Date and Time]]-TblTimeSheet[[#This Row],[Start Date and Time]]))</f>
        <v>0</v>
      </c>
    </row>
    <row r="1165" spans="1:14" x14ac:dyDescent="0.25">
      <c r="A1165" s="1"/>
      <c r="B1165" s="2" t="s">
        <v>913</v>
      </c>
      <c r="C1165" s="2" t="s">
        <v>118</v>
      </c>
      <c r="D1165" s="2" t="s">
        <v>32</v>
      </c>
      <c r="E1165" s="7" t="s">
        <v>1421</v>
      </c>
      <c r="F1165" s="37">
        <v>42433.729166666664</v>
      </c>
      <c r="G1165" s="37">
        <v>42433.732638888891</v>
      </c>
      <c r="H1165" s="1" t="s">
        <v>6</v>
      </c>
      <c r="I1165" s="1" t="s">
        <v>38</v>
      </c>
      <c r="J1165" s="1">
        <v>42434.374756944446</v>
      </c>
      <c r="K1165" s="1" t="s">
        <v>118</v>
      </c>
      <c r="L1165" s="14">
        <f>24*(TblTimeSheet[[#This Row],[End Date and Time]]-TblTimeSheet[[#This Row],[Start Date and Time]])</f>
        <v>8.3333333430346102E-2</v>
      </c>
      <c r="M11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5">
        <f>--(0&gt;(TblTimeSheet[[#This Row],[End Date and Time]]-TblTimeSheet[[#This Row],[Start Date and Time]]))</f>
        <v>0</v>
      </c>
    </row>
    <row r="1166" spans="1:14" x14ac:dyDescent="0.25">
      <c r="A1166" s="1"/>
      <c r="B1166" s="2" t="s">
        <v>911</v>
      </c>
      <c r="C1166" s="2" t="s">
        <v>118</v>
      </c>
      <c r="D1166" s="2" t="s">
        <v>32</v>
      </c>
      <c r="E1166" s="7" t="s">
        <v>1422</v>
      </c>
      <c r="F1166" s="37">
        <v>42433.458333333336</v>
      </c>
      <c r="G1166" s="37">
        <v>42433.541666666664</v>
      </c>
      <c r="H1166" s="1" t="s">
        <v>6</v>
      </c>
      <c r="I1166" s="1" t="s">
        <v>38</v>
      </c>
      <c r="J1166" s="1">
        <v>42434.427870370368</v>
      </c>
      <c r="K1166" s="1" t="s">
        <v>118</v>
      </c>
      <c r="L1166" s="14">
        <f>24*(TblTimeSheet[[#This Row],[End Date and Time]]-TblTimeSheet[[#This Row],[Start Date and Time]])</f>
        <v>1.9999999998835847</v>
      </c>
      <c r="M11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6">
        <f>--(0&gt;(TblTimeSheet[[#This Row],[End Date and Time]]-TblTimeSheet[[#This Row],[Start Date and Time]]))</f>
        <v>0</v>
      </c>
    </row>
    <row r="1167" spans="1:14" x14ac:dyDescent="0.25">
      <c r="A1167" s="1"/>
      <c r="B1167" s="2" t="s">
        <v>911</v>
      </c>
      <c r="C1167" s="2" t="s">
        <v>118</v>
      </c>
      <c r="D1167" s="2" t="s">
        <v>32</v>
      </c>
      <c r="E1167" s="7" t="s">
        <v>1423</v>
      </c>
      <c r="F1167" s="37">
        <v>42434.395833333336</v>
      </c>
      <c r="G1167" s="37">
        <v>42434.4375</v>
      </c>
      <c r="H1167" s="1" t="s">
        <v>6</v>
      </c>
      <c r="I1167" s="1" t="s">
        <v>38</v>
      </c>
      <c r="J1167" s="1">
        <v>42448.458877314813</v>
      </c>
      <c r="K1167" s="1" t="s">
        <v>118</v>
      </c>
      <c r="L1167" s="14">
        <f>24*(TblTimeSheet[[#This Row],[End Date and Time]]-TblTimeSheet[[#This Row],[Start Date and Time]])</f>
        <v>0.99999999994179234</v>
      </c>
      <c r="M11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7">
        <f>--(0&gt;(TblTimeSheet[[#This Row],[End Date and Time]]-TblTimeSheet[[#This Row],[Start Date and Time]]))</f>
        <v>0</v>
      </c>
    </row>
    <row r="1168" spans="1:14" x14ac:dyDescent="0.25">
      <c r="A1168" s="1"/>
      <c r="B1168" s="2" t="s">
        <v>911</v>
      </c>
      <c r="C1168" s="2" t="s">
        <v>171</v>
      </c>
      <c r="D1168" s="2" t="s">
        <v>32</v>
      </c>
      <c r="E1168" s="7" t="s">
        <v>1424</v>
      </c>
      <c r="F1168" s="37">
        <v>42434.458333333336</v>
      </c>
      <c r="G1168" s="37">
        <v>42434.479166666664</v>
      </c>
      <c r="H1168" s="1" t="s">
        <v>6</v>
      </c>
      <c r="I1168" s="1" t="s">
        <v>38</v>
      </c>
      <c r="J1168" s="1">
        <v>42434.480752314812</v>
      </c>
      <c r="K1168" s="1" t="s">
        <v>171</v>
      </c>
      <c r="L1168" s="14">
        <f>24*(TblTimeSheet[[#This Row],[End Date and Time]]-TblTimeSheet[[#This Row],[Start Date and Time]])</f>
        <v>0.49999999988358468</v>
      </c>
      <c r="M11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8">
        <f>--(0&gt;(TblTimeSheet[[#This Row],[End Date and Time]]-TblTimeSheet[[#This Row],[Start Date and Time]]))</f>
        <v>0</v>
      </c>
    </row>
    <row r="1169" spans="1:14" x14ac:dyDescent="0.25">
      <c r="A1169" s="1"/>
      <c r="B1169" s="2" t="s">
        <v>911</v>
      </c>
      <c r="C1169" s="2" t="s">
        <v>1117</v>
      </c>
      <c r="D1169" s="2" t="s">
        <v>32</v>
      </c>
      <c r="E1169" s="7" t="s">
        <v>1425</v>
      </c>
      <c r="F1169" s="37">
        <v>42434.458333333336</v>
      </c>
      <c r="G1169" s="37">
        <v>42434.479166666664</v>
      </c>
      <c r="H1169" s="1" t="s">
        <v>6</v>
      </c>
      <c r="I1169" s="1" t="s">
        <v>38</v>
      </c>
      <c r="J1169" s="1">
        <v>42434.481041666666</v>
      </c>
      <c r="K1169" s="1" t="s">
        <v>2865</v>
      </c>
      <c r="L1169" s="14">
        <f>24*(TblTimeSheet[[#This Row],[End Date and Time]]-TblTimeSheet[[#This Row],[Start Date and Time]])</f>
        <v>0.49999999988358468</v>
      </c>
      <c r="M11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69">
        <f>--(0&gt;(TblTimeSheet[[#This Row],[End Date and Time]]-TblTimeSheet[[#This Row],[Start Date and Time]]))</f>
        <v>0</v>
      </c>
    </row>
    <row r="1170" spans="1:14" x14ac:dyDescent="0.25">
      <c r="A1170" s="1"/>
      <c r="B1170" s="2" t="s">
        <v>909</v>
      </c>
      <c r="C1170" s="2" t="s">
        <v>116</v>
      </c>
      <c r="D1170" s="2" t="s">
        <v>33</v>
      </c>
      <c r="E1170" s="7" t="s">
        <v>456</v>
      </c>
      <c r="F1170" s="37">
        <v>42434.46875</v>
      </c>
      <c r="G1170" s="37">
        <v>42434.482638888891</v>
      </c>
      <c r="H1170" s="1" t="s">
        <v>6</v>
      </c>
      <c r="I1170" s="1" t="s">
        <v>38</v>
      </c>
      <c r="J1170" s="1">
        <v>42434.490277777775</v>
      </c>
      <c r="K1170" s="1" t="s">
        <v>701</v>
      </c>
      <c r="L1170" s="14">
        <f>24*(TblTimeSheet[[#This Row],[End Date and Time]]-TblTimeSheet[[#This Row],[Start Date and Time]])</f>
        <v>0.33333333337213844</v>
      </c>
      <c r="M11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70">
        <f>--(0&gt;(TblTimeSheet[[#This Row],[End Date and Time]]-TblTimeSheet[[#This Row],[Start Date and Time]]))</f>
        <v>0</v>
      </c>
    </row>
    <row r="1171" spans="1:14" x14ac:dyDescent="0.25">
      <c r="A1171" s="1"/>
      <c r="B1171" s="2" t="s">
        <v>909</v>
      </c>
      <c r="C1171" s="2" t="s">
        <v>41</v>
      </c>
      <c r="D1171" s="2" t="s">
        <v>33</v>
      </c>
      <c r="E1171" s="7" t="s">
        <v>449</v>
      </c>
      <c r="F1171" s="37">
        <v>42434.46875</v>
      </c>
      <c r="G1171" s="37">
        <v>42434.482638888891</v>
      </c>
      <c r="H1171" s="1" t="s">
        <v>6</v>
      </c>
      <c r="I1171" s="1" t="s">
        <v>38</v>
      </c>
      <c r="J1171" s="1">
        <v>42434.490752314814</v>
      </c>
      <c r="K1171" s="1" t="s">
        <v>41</v>
      </c>
      <c r="L1171" s="14">
        <f>24*(TblTimeSheet[[#This Row],[End Date and Time]]-TblTimeSheet[[#This Row],[Start Date and Time]])</f>
        <v>0.33333333337213844</v>
      </c>
      <c r="M11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1">
        <f>--(0&gt;(TblTimeSheet[[#This Row],[End Date and Time]]-TblTimeSheet[[#This Row],[Start Date and Time]]))</f>
        <v>0</v>
      </c>
    </row>
    <row r="1172" spans="1:14" x14ac:dyDescent="0.25">
      <c r="A1172" s="1"/>
      <c r="B1172" s="2" t="s">
        <v>909</v>
      </c>
      <c r="C1172" s="2" t="s">
        <v>1105</v>
      </c>
      <c r="D1172" s="2" t="s">
        <v>33</v>
      </c>
      <c r="E1172" s="7" t="s">
        <v>1870</v>
      </c>
      <c r="F1172" s="37">
        <v>42434.46875</v>
      </c>
      <c r="G1172" s="37">
        <v>42434.482638888891</v>
      </c>
      <c r="H1172" s="1" t="s">
        <v>6</v>
      </c>
      <c r="I1172" s="1" t="s">
        <v>38</v>
      </c>
      <c r="J1172" s="1">
        <v>42434.491041666668</v>
      </c>
      <c r="K1172" s="1" t="s">
        <v>2864</v>
      </c>
      <c r="L1172" s="14">
        <f>24*(TblTimeSheet[[#This Row],[End Date and Time]]-TblTimeSheet[[#This Row],[Start Date and Time]])</f>
        <v>0.33333333337213844</v>
      </c>
      <c r="M11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2">
        <f>--(0&gt;(TblTimeSheet[[#This Row],[End Date and Time]]-TblTimeSheet[[#This Row],[Start Date and Time]]))</f>
        <v>0</v>
      </c>
    </row>
    <row r="1173" spans="1:14" x14ac:dyDescent="0.25">
      <c r="A1173" s="1"/>
      <c r="B1173" s="2" t="s">
        <v>909</v>
      </c>
      <c r="C1173" s="2" t="s">
        <v>1061</v>
      </c>
      <c r="D1173" s="2" t="s">
        <v>33</v>
      </c>
      <c r="E1173" s="7" t="s">
        <v>1871</v>
      </c>
      <c r="F1173" s="37">
        <v>42434.46875</v>
      </c>
      <c r="G1173" s="37">
        <v>42434.482638888891</v>
      </c>
      <c r="H1173" s="1" t="s">
        <v>6</v>
      </c>
      <c r="I1173" s="1" t="s">
        <v>38</v>
      </c>
      <c r="J1173" s="1">
        <v>42434.497812499998</v>
      </c>
      <c r="K1173" s="1" t="s">
        <v>1061</v>
      </c>
      <c r="L1173" s="14">
        <f>24*(TblTimeSheet[[#This Row],[End Date and Time]]-TblTimeSheet[[#This Row],[Start Date and Time]])</f>
        <v>0.33333333337213844</v>
      </c>
      <c r="M11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3">
        <f>--(0&gt;(TblTimeSheet[[#This Row],[End Date and Time]]-TblTimeSheet[[#This Row],[Start Date and Time]]))</f>
        <v>0</v>
      </c>
    </row>
    <row r="1174" spans="1:14" ht="30" x14ac:dyDescent="0.25">
      <c r="A1174" s="1"/>
      <c r="B1174" s="2" t="s">
        <v>909</v>
      </c>
      <c r="C1174" s="2" t="s">
        <v>116</v>
      </c>
      <c r="D1174" s="2" t="s">
        <v>33</v>
      </c>
      <c r="E1174" s="7" t="s">
        <v>1426</v>
      </c>
      <c r="F1174" s="37">
        <v>42434.46875</v>
      </c>
      <c r="G1174" s="37">
        <v>42434.482638888891</v>
      </c>
      <c r="H1174" s="1" t="s">
        <v>6</v>
      </c>
      <c r="I1174" s="1" t="s">
        <v>38</v>
      </c>
      <c r="J1174" s="1">
        <v>42434.503437500003</v>
      </c>
      <c r="K1174" s="1" t="s">
        <v>39</v>
      </c>
      <c r="L1174" s="14">
        <f>24*(TblTimeSheet[[#This Row],[End Date and Time]]-TblTimeSheet[[#This Row],[Start Date and Time]])</f>
        <v>0.33333333337213844</v>
      </c>
      <c r="M11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74">
        <f>--(0&gt;(TblTimeSheet[[#This Row],[End Date and Time]]-TblTimeSheet[[#This Row],[Start Date and Time]]))</f>
        <v>0</v>
      </c>
    </row>
    <row r="1175" spans="1:14" x14ac:dyDescent="0.25">
      <c r="A1175" s="1"/>
      <c r="B1175" s="2" t="s">
        <v>913</v>
      </c>
      <c r="C1175" s="2" t="s">
        <v>116</v>
      </c>
      <c r="D1175" s="2" t="s">
        <v>32</v>
      </c>
      <c r="E1175" s="7" t="s">
        <v>1427</v>
      </c>
      <c r="F1175" s="37">
        <v>42434.427083333336</v>
      </c>
      <c r="G1175" s="37">
        <v>42434.458333333336</v>
      </c>
      <c r="H1175" s="1" t="s">
        <v>6</v>
      </c>
      <c r="I1175" s="1" t="s">
        <v>38</v>
      </c>
      <c r="J1175" s="1">
        <v>42434.508229166669</v>
      </c>
      <c r="K1175" s="1" t="s">
        <v>39</v>
      </c>
      <c r="L1175" s="14">
        <f>24*(TblTimeSheet[[#This Row],[End Date and Time]]-TblTimeSheet[[#This Row],[Start Date and Time]])</f>
        <v>0.75</v>
      </c>
      <c r="M11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75">
        <f>--(0&gt;(TblTimeSheet[[#This Row],[End Date and Time]]-TblTimeSheet[[#This Row],[Start Date and Time]]))</f>
        <v>0</v>
      </c>
    </row>
    <row r="1176" spans="1:14" x14ac:dyDescent="0.25">
      <c r="A1176" s="1"/>
      <c r="B1176" s="2" t="s">
        <v>913</v>
      </c>
      <c r="C1176" s="2" t="s">
        <v>116</v>
      </c>
      <c r="D1176" s="2" t="s">
        <v>32</v>
      </c>
      <c r="E1176" s="7" t="s">
        <v>1428</v>
      </c>
      <c r="F1176" s="37">
        <v>42434.524305555555</v>
      </c>
      <c r="G1176" s="37">
        <v>42434.53125</v>
      </c>
      <c r="H1176" s="1" t="s">
        <v>6</v>
      </c>
      <c r="I1176" s="1" t="s">
        <v>38</v>
      </c>
      <c r="J1176" s="1">
        <v>42434.533993055556</v>
      </c>
      <c r="K1176" s="1" t="s">
        <v>701</v>
      </c>
      <c r="L1176" s="14">
        <f>24*(TblTimeSheet[[#This Row],[End Date and Time]]-TblTimeSheet[[#This Row],[Start Date and Time]])</f>
        <v>0.16666666668606922</v>
      </c>
      <c r="M11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76">
        <f>--(0&gt;(TblTimeSheet[[#This Row],[End Date and Time]]-TblTimeSheet[[#This Row],[Start Date and Time]]))</f>
        <v>0</v>
      </c>
    </row>
    <row r="1177" spans="1:14" x14ac:dyDescent="0.25">
      <c r="A1177" s="1"/>
      <c r="B1177" s="2" t="s">
        <v>913</v>
      </c>
      <c r="C1177" s="2" t="s">
        <v>116</v>
      </c>
      <c r="D1177" s="2" t="s">
        <v>32</v>
      </c>
      <c r="E1177" s="7" t="s">
        <v>1429</v>
      </c>
      <c r="F1177" s="37">
        <v>42434.520833333336</v>
      </c>
      <c r="G1177" s="37">
        <v>42434.53125</v>
      </c>
      <c r="H1177" s="1" t="s">
        <v>6</v>
      </c>
      <c r="I1177" s="1" t="s">
        <v>38</v>
      </c>
      <c r="J1177" s="1">
        <v>42434.537430555552</v>
      </c>
      <c r="K1177" s="1" t="s">
        <v>39</v>
      </c>
      <c r="L1177" s="14">
        <f>24*(TblTimeSheet[[#This Row],[End Date and Time]]-TblTimeSheet[[#This Row],[Start Date and Time]])</f>
        <v>0.24999999994179234</v>
      </c>
      <c r="M11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77">
        <f>--(0&gt;(TblTimeSheet[[#This Row],[End Date and Time]]-TblTimeSheet[[#This Row],[Start Date and Time]]))</f>
        <v>0</v>
      </c>
    </row>
    <row r="1178" spans="1:14" x14ac:dyDescent="0.25">
      <c r="A1178" s="1"/>
      <c r="B1178" s="2" t="s">
        <v>911</v>
      </c>
      <c r="C1178" s="2" t="s">
        <v>171</v>
      </c>
      <c r="D1178" s="2" t="s">
        <v>32</v>
      </c>
      <c r="E1178" s="7" t="s">
        <v>1430</v>
      </c>
      <c r="F1178" s="37">
        <v>42434.59375</v>
      </c>
      <c r="G1178" s="37">
        <v>42434.614583333336</v>
      </c>
      <c r="H1178" s="1" t="s">
        <v>6</v>
      </c>
      <c r="I1178" s="1" t="s">
        <v>38</v>
      </c>
      <c r="J1178" s="1">
        <v>42434.609155092592</v>
      </c>
      <c r="K1178" s="1" t="s">
        <v>2865</v>
      </c>
      <c r="L1178" s="14">
        <f>24*(TblTimeSheet[[#This Row],[End Date and Time]]-TblTimeSheet[[#This Row],[Start Date and Time]])</f>
        <v>0.50000000005820766</v>
      </c>
      <c r="M11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8">
        <f>--(0&gt;(TblTimeSheet[[#This Row],[End Date and Time]]-TblTimeSheet[[#This Row],[Start Date and Time]]))</f>
        <v>0</v>
      </c>
    </row>
    <row r="1179" spans="1:14" ht="30" x14ac:dyDescent="0.25">
      <c r="A1179" s="1"/>
      <c r="B1179" s="2" t="s">
        <v>911</v>
      </c>
      <c r="C1179" s="2" t="s">
        <v>1117</v>
      </c>
      <c r="D1179" s="2" t="s">
        <v>32</v>
      </c>
      <c r="E1179" s="7" t="s">
        <v>1431</v>
      </c>
      <c r="F1179" s="37">
        <v>42434.59375</v>
      </c>
      <c r="G1179" s="37">
        <v>42434.614583333336</v>
      </c>
      <c r="H1179" s="1" t="s">
        <v>6</v>
      </c>
      <c r="I1179" s="1" t="s">
        <v>38</v>
      </c>
      <c r="J1179" s="1">
        <v>42434.608854166669</v>
      </c>
      <c r="K1179" s="1" t="s">
        <v>2865</v>
      </c>
      <c r="L1179" s="14">
        <f>24*(TblTimeSheet[[#This Row],[End Date and Time]]-TblTimeSheet[[#This Row],[Start Date and Time]])</f>
        <v>0.50000000005820766</v>
      </c>
      <c r="M11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79">
        <f>--(0&gt;(TblTimeSheet[[#This Row],[End Date and Time]]-TblTimeSheet[[#This Row],[Start Date and Time]]))</f>
        <v>0</v>
      </c>
    </row>
    <row r="1180" spans="1:14" x14ac:dyDescent="0.25">
      <c r="A1180" s="1"/>
      <c r="B1180" s="2" t="s">
        <v>913</v>
      </c>
      <c r="C1180" s="2" t="s">
        <v>43</v>
      </c>
      <c r="D1180" s="2" t="s">
        <v>32</v>
      </c>
      <c r="E1180" s="7" t="s">
        <v>1432</v>
      </c>
      <c r="F1180" s="37">
        <v>42434.385416666664</v>
      </c>
      <c r="G1180" s="37">
        <v>42434.395833333336</v>
      </c>
      <c r="H1180" s="1" t="s">
        <v>6</v>
      </c>
      <c r="I1180" s="1" t="s">
        <v>38</v>
      </c>
      <c r="J1180" s="1">
        <v>42434.615335648145</v>
      </c>
      <c r="K1180" s="1" t="s">
        <v>43</v>
      </c>
      <c r="L1180" s="14">
        <f>24*(TblTimeSheet[[#This Row],[End Date and Time]]-TblTimeSheet[[#This Row],[Start Date and Time]])</f>
        <v>0.25000000011641532</v>
      </c>
      <c r="M11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0">
        <f>--(0&gt;(TblTimeSheet[[#This Row],[End Date and Time]]-TblTimeSheet[[#This Row],[Start Date and Time]]))</f>
        <v>0</v>
      </c>
    </row>
    <row r="1181" spans="1:14" x14ac:dyDescent="0.25">
      <c r="A1181" s="1"/>
      <c r="B1181" s="2" t="s">
        <v>913</v>
      </c>
      <c r="C1181" s="2" t="s">
        <v>43</v>
      </c>
      <c r="D1181" s="2" t="s">
        <v>32</v>
      </c>
      <c r="E1181" s="7" t="s">
        <v>1872</v>
      </c>
      <c r="F1181" s="37">
        <v>42434.618055555555</v>
      </c>
      <c r="G1181" s="37">
        <v>42434.621527777781</v>
      </c>
      <c r="H1181" s="1" t="s">
        <v>6</v>
      </c>
      <c r="I1181" s="1" t="s">
        <v>38</v>
      </c>
      <c r="J1181" s="1">
        <v>42434.620150462964</v>
      </c>
      <c r="K1181" s="1" t="s">
        <v>43</v>
      </c>
      <c r="L1181" s="14">
        <f>24*(TblTimeSheet[[#This Row],[End Date and Time]]-TblTimeSheet[[#This Row],[Start Date and Time]])</f>
        <v>8.3333333430346102E-2</v>
      </c>
      <c r="M11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1">
        <f>--(0&gt;(TblTimeSheet[[#This Row],[End Date and Time]]-TblTimeSheet[[#This Row],[Start Date and Time]]))</f>
        <v>0</v>
      </c>
    </row>
    <row r="1182" spans="1:14" x14ac:dyDescent="0.25">
      <c r="A1182" s="1"/>
      <c r="B1182" s="2" t="s">
        <v>913</v>
      </c>
      <c r="C1182" s="2" t="s">
        <v>171</v>
      </c>
      <c r="D1182" s="2" t="s">
        <v>32</v>
      </c>
      <c r="E1182" s="7" t="s">
        <v>1433</v>
      </c>
      <c r="F1182" s="37">
        <v>42434.625</v>
      </c>
      <c r="G1182" s="37">
        <v>42434.631944444445</v>
      </c>
      <c r="H1182" s="1" t="s">
        <v>6</v>
      </c>
      <c r="I1182" s="1" t="s">
        <v>38</v>
      </c>
      <c r="J1182" s="1">
        <v>42436.630439814813</v>
      </c>
      <c r="K1182" s="1" t="s">
        <v>171</v>
      </c>
      <c r="L1182" s="14">
        <f>24*(TblTimeSheet[[#This Row],[End Date and Time]]-TblTimeSheet[[#This Row],[Start Date and Time]])</f>
        <v>0.16666666668606922</v>
      </c>
      <c r="M11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2">
        <f>--(0&gt;(TblTimeSheet[[#This Row],[End Date and Time]]-TblTimeSheet[[#This Row],[Start Date and Time]]))</f>
        <v>0</v>
      </c>
    </row>
    <row r="1183" spans="1:14" x14ac:dyDescent="0.25">
      <c r="A1183" s="1"/>
      <c r="B1183" s="2" t="s">
        <v>911</v>
      </c>
      <c r="C1183" s="2" t="s">
        <v>78</v>
      </c>
      <c r="D1183" s="2" t="s">
        <v>32</v>
      </c>
      <c r="E1183" s="7" t="s">
        <v>1434</v>
      </c>
      <c r="F1183" s="37">
        <v>42434.614583333336</v>
      </c>
      <c r="G1183" s="37">
        <v>42434.649305555555</v>
      </c>
      <c r="H1183" s="1" t="s">
        <v>6</v>
      </c>
      <c r="I1183" s="1" t="s">
        <v>38</v>
      </c>
      <c r="J1183" s="1">
        <v>42434.650381944448</v>
      </c>
      <c r="K1183" s="1" t="s">
        <v>78</v>
      </c>
      <c r="L1183" s="14">
        <f>24*(TblTimeSheet[[#This Row],[End Date and Time]]-TblTimeSheet[[#This Row],[Start Date and Time]])</f>
        <v>0.83333333325572312</v>
      </c>
      <c r="M11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3">
        <f>--(0&gt;(TblTimeSheet[[#This Row],[End Date and Time]]-TblTimeSheet[[#This Row],[Start Date and Time]]))</f>
        <v>0</v>
      </c>
    </row>
    <row r="1184" spans="1:14" x14ac:dyDescent="0.25">
      <c r="A1184" s="1"/>
      <c r="B1184" s="2" t="s">
        <v>911</v>
      </c>
      <c r="C1184" s="2" t="s">
        <v>1117</v>
      </c>
      <c r="D1184" s="2" t="s">
        <v>32</v>
      </c>
      <c r="E1184" s="7" t="s">
        <v>1435</v>
      </c>
      <c r="F1184" s="37">
        <v>42434.614583333336</v>
      </c>
      <c r="G1184" s="37">
        <v>42434.649305555555</v>
      </c>
      <c r="H1184" s="1" t="s">
        <v>6</v>
      </c>
      <c r="I1184" s="1" t="s">
        <v>38</v>
      </c>
      <c r="J1184" s="1">
        <v>42434.654074074075</v>
      </c>
      <c r="K1184" s="1" t="s">
        <v>2865</v>
      </c>
      <c r="L1184" s="14">
        <f>24*(TblTimeSheet[[#This Row],[End Date and Time]]-TblTimeSheet[[#This Row],[Start Date and Time]])</f>
        <v>0.83333333325572312</v>
      </c>
      <c r="M11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4">
        <f>--(0&gt;(TblTimeSheet[[#This Row],[End Date and Time]]-TblTimeSheet[[#This Row],[Start Date and Time]]))</f>
        <v>0</v>
      </c>
    </row>
    <row r="1185" spans="1:14" x14ac:dyDescent="0.25">
      <c r="A1185" s="1"/>
      <c r="B1185" s="2" t="s">
        <v>909</v>
      </c>
      <c r="C1185" s="2" t="s">
        <v>36</v>
      </c>
      <c r="D1185" s="2" t="s">
        <v>34</v>
      </c>
      <c r="E1185" s="7" t="s">
        <v>1436</v>
      </c>
      <c r="F1185" s="37">
        <v>42434.611111111109</v>
      </c>
      <c r="G1185" s="37">
        <v>42434.659722222219</v>
      </c>
      <c r="H1185" s="1" t="s">
        <v>6</v>
      </c>
      <c r="I1185" s="1" t="s">
        <v>38</v>
      </c>
      <c r="J1185" s="1">
        <v>42434.663402777776</v>
      </c>
      <c r="K1185" s="1" t="s">
        <v>36</v>
      </c>
      <c r="L1185" s="14">
        <f>24*(TblTimeSheet[[#This Row],[End Date and Time]]-TblTimeSheet[[#This Row],[Start Date and Time]])</f>
        <v>1.1666666666278616</v>
      </c>
      <c r="M11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5">
        <f>--(0&gt;(TblTimeSheet[[#This Row],[End Date and Time]]-TblTimeSheet[[#This Row],[Start Date and Time]]))</f>
        <v>0</v>
      </c>
    </row>
    <row r="1186" spans="1:14" x14ac:dyDescent="0.25">
      <c r="A1186" s="1"/>
      <c r="B1186" s="2" t="s">
        <v>915</v>
      </c>
      <c r="C1186" s="2" t="s">
        <v>36</v>
      </c>
      <c r="D1186" s="2" t="s">
        <v>20</v>
      </c>
      <c r="E1186" s="7" t="s">
        <v>456</v>
      </c>
      <c r="F1186" s="37">
        <v>42433.666666666664</v>
      </c>
      <c r="G1186" s="37">
        <v>42433.680555555555</v>
      </c>
      <c r="H1186" s="1" t="s">
        <v>6</v>
      </c>
      <c r="I1186" s="1" t="s">
        <v>38</v>
      </c>
      <c r="J1186" s="1">
        <v>42434.744768518518</v>
      </c>
      <c r="K1186" s="1" t="s">
        <v>36</v>
      </c>
      <c r="L1186" s="14">
        <f>24*(TblTimeSheet[[#This Row],[End Date and Time]]-TblTimeSheet[[#This Row],[Start Date and Time]])</f>
        <v>0.33333333337213844</v>
      </c>
      <c r="M11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6">
        <f>--(0&gt;(TblTimeSheet[[#This Row],[End Date and Time]]-TblTimeSheet[[#This Row],[Start Date and Time]]))</f>
        <v>0</v>
      </c>
    </row>
    <row r="1187" spans="1:14" x14ac:dyDescent="0.25">
      <c r="A1187" s="1"/>
      <c r="B1187" s="2" t="s">
        <v>911</v>
      </c>
      <c r="C1187" s="2" t="s">
        <v>1117</v>
      </c>
      <c r="D1187" s="2" t="s">
        <v>32</v>
      </c>
      <c r="E1187" s="7" t="s">
        <v>1437</v>
      </c>
      <c r="F1187" s="37">
        <v>42434.652777777781</v>
      </c>
      <c r="G1187" s="37">
        <v>42434.677083333336</v>
      </c>
      <c r="H1187" s="1" t="s">
        <v>6</v>
      </c>
      <c r="I1187" s="1" t="s">
        <v>38</v>
      </c>
      <c r="J1187" s="1">
        <v>42434.675636574073</v>
      </c>
      <c r="K1187" s="1" t="s">
        <v>2865</v>
      </c>
      <c r="L1187" s="14">
        <f>24*(TblTimeSheet[[#This Row],[End Date and Time]]-TblTimeSheet[[#This Row],[Start Date and Time]])</f>
        <v>0.58333333331393078</v>
      </c>
      <c r="M11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7">
        <f>--(0&gt;(TblTimeSheet[[#This Row],[End Date and Time]]-TblTimeSheet[[#This Row],[Start Date and Time]]))</f>
        <v>0</v>
      </c>
    </row>
    <row r="1188" spans="1:14" x14ac:dyDescent="0.25">
      <c r="A1188" s="1"/>
      <c r="B1188" s="2" t="s">
        <v>913</v>
      </c>
      <c r="C1188" s="2" t="s">
        <v>118</v>
      </c>
      <c r="D1188" s="2" t="s">
        <v>32</v>
      </c>
      <c r="E1188" s="7" t="s">
        <v>1438</v>
      </c>
      <c r="F1188" s="37">
        <v>42434.385416666664</v>
      </c>
      <c r="G1188" s="37">
        <v>42434.395833333336</v>
      </c>
      <c r="H1188" s="1" t="s">
        <v>6</v>
      </c>
      <c r="I1188" s="1" t="s">
        <v>38</v>
      </c>
      <c r="J1188" s="1">
        <v>42434.706817129627</v>
      </c>
      <c r="K1188" s="1" t="s">
        <v>118</v>
      </c>
      <c r="L1188" s="14">
        <f>24*(TblTimeSheet[[#This Row],[End Date and Time]]-TblTimeSheet[[#This Row],[Start Date and Time]])</f>
        <v>0.25000000011641532</v>
      </c>
      <c r="M11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8">
        <f>--(0&gt;(TblTimeSheet[[#This Row],[End Date and Time]]-TblTimeSheet[[#This Row],[Start Date and Time]]))</f>
        <v>0</v>
      </c>
    </row>
    <row r="1189" spans="1:14" x14ac:dyDescent="0.25">
      <c r="A1189" s="1"/>
      <c r="B1189" s="2" t="s">
        <v>913</v>
      </c>
      <c r="C1189" s="2" t="s">
        <v>118</v>
      </c>
      <c r="D1189" s="2" t="s">
        <v>32</v>
      </c>
      <c r="E1189" s="7" t="s">
        <v>1439</v>
      </c>
      <c r="F1189" s="37">
        <v>42434.631944444445</v>
      </c>
      <c r="G1189" s="37">
        <v>42434.732638888891</v>
      </c>
      <c r="H1189" s="1" t="s">
        <v>6</v>
      </c>
      <c r="I1189" s="1" t="s">
        <v>38</v>
      </c>
      <c r="J1189" s="1">
        <v>42448.459583333337</v>
      </c>
      <c r="K1189" s="1" t="s">
        <v>118</v>
      </c>
      <c r="L1189" s="14">
        <f>24*(TblTimeSheet[[#This Row],[End Date and Time]]-TblTimeSheet[[#This Row],[Start Date and Time]])</f>
        <v>2.4166666666860692</v>
      </c>
      <c r="M11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89">
        <f>--(0&gt;(TblTimeSheet[[#This Row],[End Date and Time]]-TblTimeSheet[[#This Row],[Start Date and Time]]))</f>
        <v>0</v>
      </c>
    </row>
    <row r="1190" spans="1:14" x14ac:dyDescent="0.25">
      <c r="A1190" s="1"/>
      <c r="B1190" s="2" t="s">
        <v>911</v>
      </c>
      <c r="C1190" s="2" t="s">
        <v>78</v>
      </c>
      <c r="D1190" s="2" t="s">
        <v>32</v>
      </c>
      <c r="E1190" s="7" t="s">
        <v>1440</v>
      </c>
      <c r="F1190" s="37">
        <v>42434.71875</v>
      </c>
      <c r="G1190" s="37">
        <v>42434.729166666664</v>
      </c>
      <c r="H1190" s="1" t="s">
        <v>6</v>
      </c>
      <c r="I1190" s="1" t="s">
        <v>38</v>
      </c>
      <c r="J1190" s="1">
        <v>42434.728541666664</v>
      </c>
      <c r="K1190" s="1" t="s">
        <v>78</v>
      </c>
      <c r="L1190" s="14">
        <f>24*(TblTimeSheet[[#This Row],[End Date and Time]]-TblTimeSheet[[#This Row],[Start Date and Time]])</f>
        <v>0.24999999994179234</v>
      </c>
      <c r="M11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0">
        <f>--(0&gt;(TblTimeSheet[[#This Row],[End Date and Time]]-TblTimeSheet[[#This Row],[Start Date and Time]]))</f>
        <v>0</v>
      </c>
    </row>
    <row r="1191" spans="1:14" x14ac:dyDescent="0.25">
      <c r="A1191" s="1"/>
      <c r="B1191" s="2" t="s">
        <v>913</v>
      </c>
      <c r="C1191" s="2" t="s">
        <v>36</v>
      </c>
      <c r="D1191" s="2" t="s">
        <v>32</v>
      </c>
      <c r="E1191" s="7" t="s">
        <v>1441</v>
      </c>
      <c r="F1191" s="37">
        <v>42434.736111111109</v>
      </c>
      <c r="G1191" s="37">
        <v>42434.739583333336</v>
      </c>
      <c r="H1191" s="1" t="s">
        <v>6</v>
      </c>
      <c r="I1191" s="1" t="s">
        <v>38</v>
      </c>
      <c r="J1191" s="1">
        <v>42434.741909722223</v>
      </c>
      <c r="K1191" s="1" t="s">
        <v>36</v>
      </c>
      <c r="L1191" s="14">
        <f>24*(TblTimeSheet[[#This Row],[End Date and Time]]-TblTimeSheet[[#This Row],[Start Date and Time]])</f>
        <v>8.3333333430346102E-2</v>
      </c>
      <c r="M11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1">
        <f>--(0&gt;(TblTimeSheet[[#This Row],[End Date and Time]]-TblTimeSheet[[#This Row],[Start Date and Time]]))</f>
        <v>0</v>
      </c>
    </row>
    <row r="1192" spans="1:14" ht="30" x14ac:dyDescent="0.25">
      <c r="A1192" s="1"/>
      <c r="B1192" s="2" t="s">
        <v>913</v>
      </c>
      <c r="C1192" s="2" t="s">
        <v>116</v>
      </c>
      <c r="D1192" s="2" t="s">
        <v>32</v>
      </c>
      <c r="E1192" s="7" t="s">
        <v>1442</v>
      </c>
      <c r="F1192" s="37">
        <v>42434.736111111109</v>
      </c>
      <c r="G1192" s="37">
        <v>42434.739583333336</v>
      </c>
      <c r="H1192" s="1" t="s">
        <v>6</v>
      </c>
      <c r="I1192" s="1" t="s">
        <v>38</v>
      </c>
      <c r="J1192" s="1">
        <v>42434.743287037039</v>
      </c>
      <c r="K1192" s="1" t="s">
        <v>39</v>
      </c>
      <c r="L1192" s="14">
        <f>24*(TblTimeSheet[[#This Row],[End Date and Time]]-TblTimeSheet[[#This Row],[Start Date and Time]])</f>
        <v>8.3333333430346102E-2</v>
      </c>
      <c r="M11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2">
        <f>--(0&gt;(TblTimeSheet[[#This Row],[End Date and Time]]-TblTimeSheet[[#This Row],[Start Date and Time]]))</f>
        <v>0</v>
      </c>
    </row>
    <row r="1193" spans="1:14" x14ac:dyDescent="0.25">
      <c r="A1193" s="1"/>
      <c r="B1193" s="2" t="s">
        <v>697</v>
      </c>
      <c r="C1193" s="2" t="s">
        <v>116</v>
      </c>
      <c r="D1193" s="2" t="s">
        <v>33</v>
      </c>
      <c r="E1193" s="7" t="s">
        <v>1443</v>
      </c>
      <c r="F1193" s="37">
        <v>42434.375</v>
      </c>
      <c r="G1193" s="37">
        <v>42434.541666666664</v>
      </c>
      <c r="H1193" s="1" t="s">
        <v>6</v>
      </c>
      <c r="I1193" s="1" t="s">
        <v>38</v>
      </c>
      <c r="J1193" s="1">
        <v>42434.746550925927</v>
      </c>
      <c r="K1193" s="1" t="s">
        <v>1026</v>
      </c>
      <c r="L1193" s="14">
        <f>24*(TblTimeSheet[[#This Row],[End Date and Time]]-TblTimeSheet[[#This Row],[Start Date and Time]])</f>
        <v>3.9999999999417923</v>
      </c>
      <c r="M11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3">
        <f>--(0&gt;(TblTimeSheet[[#This Row],[End Date and Time]]-TblTimeSheet[[#This Row],[Start Date and Time]]))</f>
        <v>0</v>
      </c>
    </row>
    <row r="1194" spans="1:14" ht="30" x14ac:dyDescent="0.25">
      <c r="A1194" s="1"/>
      <c r="B1194" s="2" t="s">
        <v>697</v>
      </c>
      <c r="C1194" s="2" t="s">
        <v>116</v>
      </c>
      <c r="D1194" s="2" t="s">
        <v>33</v>
      </c>
      <c r="E1194" s="7" t="s">
        <v>1444</v>
      </c>
      <c r="F1194" s="37">
        <v>42434.5625</v>
      </c>
      <c r="G1194" s="37">
        <v>42434.729166666664</v>
      </c>
      <c r="H1194" s="1" t="s">
        <v>6</v>
      </c>
      <c r="I1194" s="1" t="s">
        <v>38</v>
      </c>
      <c r="J1194" s="1">
        <v>42434.748680555553</v>
      </c>
      <c r="K1194" s="1" t="s">
        <v>1026</v>
      </c>
      <c r="L1194" s="14">
        <f>24*(TblTimeSheet[[#This Row],[End Date and Time]]-TblTimeSheet[[#This Row],[Start Date and Time]])</f>
        <v>3.9999999999417923</v>
      </c>
      <c r="M11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4">
        <f>--(0&gt;(TblTimeSheet[[#This Row],[End Date and Time]]-TblTimeSheet[[#This Row],[Start Date and Time]]))</f>
        <v>0</v>
      </c>
    </row>
    <row r="1195" spans="1:14" x14ac:dyDescent="0.25">
      <c r="A1195" s="1"/>
      <c r="B1195" s="2" t="s">
        <v>911</v>
      </c>
      <c r="C1195" s="2" t="s">
        <v>1117</v>
      </c>
      <c r="D1195" s="2" t="s">
        <v>32</v>
      </c>
      <c r="E1195" s="7" t="s">
        <v>1445</v>
      </c>
      <c r="F1195" s="37">
        <v>42434.71875</v>
      </c>
      <c r="G1195" s="37">
        <v>42434.729166666664</v>
      </c>
      <c r="H1195" s="1" t="s">
        <v>6</v>
      </c>
      <c r="I1195" s="1" t="s">
        <v>38</v>
      </c>
      <c r="J1195" s="1">
        <v>42436.398726851854</v>
      </c>
      <c r="K1195" s="1" t="s">
        <v>2865</v>
      </c>
      <c r="L1195" s="14">
        <f>24*(TblTimeSheet[[#This Row],[End Date and Time]]-TblTimeSheet[[#This Row],[Start Date and Time]])</f>
        <v>0.24999999994179234</v>
      </c>
      <c r="M11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5">
        <f>--(0&gt;(TblTimeSheet[[#This Row],[End Date and Time]]-TblTimeSheet[[#This Row],[Start Date and Time]]))</f>
        <v>0</v>
      </c>
    </row>
    <row r="1196" spans="1:14" x14ac:dyDescent="0.25">
      <c r="A1196" s="1"/>
      <c r="B1196" s="2" t="s">
        <v>697</v>
      </c>
      <c r="C1196" s="2" t="s">
        <v>118</v>
      </c>
      <c r="D1196" s="2" t="s">
        <v>33</v>
      </c>
      <c r="E1196" s="7" t="s">
        <v>1310</v>
      </c>
      <c r="F1196" s="37">
        <v>42427.447916666664</v>
      </c>
      <c r="G1196" s="37">
        <v>42427.458333333336</v>
      </c>
      <c r="H1196" s="1" t="s">
        <v>6</v>
      </c>
      <c r="I1196" s="1" t="s">
        <v>38</v>
      </c>
      <c r="J1196" s="1">
        <v>42436.491238425922</v>
      </c>
      <c r="K1196" s="1" t="s">
        <v>118</v>
      </c>
      <c r="L1196" s="14">
        <f>24*(TblTimeSheet[[#This Row],[End Date and Time]]-TblTimeSheet[[#This Row],[Start Date and Time]])</f>
        <v>0.25000000011641532</v>
      </c>
      <c r="M11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6">
        <f>--(0&gt;(TblTimeSheet[[#This Row],[End Date and Time]]-TblTimeSheet[[#This Row],[Start Date and Time]]))</f>
        <v>0</v>
      </c>
    </row>
    <row r="1197" spans="1:14" x14ac:dyDescent="0.25">
      <c r="A1197" s="1"/>
      <c r="B1197" s="2" t="s">
        <v>913</v>
      </c>
      <c r="C1197" s="2" t="s">
        <v>118</v>
      </c>
      <c r="D1197" s="2" t="s">
        <v>32</v>
      </c>
      <c r="E1197" s="7" t="s">
        <v>1446</v>
      </c>
      <c r="F1197" s="37">
        <v>42434.736111111109</v>
      </c>
      <c r="G1197" s="37">
        <v>42434.739583333336</v>
      </c>
      <c r="H1197" s="1" t="s">
        <v>6</v>
      </c>
      <c r="I1197" s="1" t="s">
        <v>38</v>
      </c>
      <c r="J1197" s="1">
        <v>42436.576701388891</v>
      </c>
      <c r="K1197" s="1" t="s">
        <v>118</v>
      </c>
      <c r="L1197" s="14">
        <f>24*(TblTimeSheet[[#This Row],[End Date and Time]]-TblTimeSheet[[#This Row],[Start Date and Time]])</f>
        <v>8.3333333430346102E-2</v>
      </c>
      <c r="M11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7">
        <f>--(0&gt;(TblTimeSheet[[#This Row],[End Date and Time]]-TblTimeSheet[[#This Row],[Start Date and Time]]))</f>
        <v>0</v>
      </c>
    </row>
    <row r="1198" spans="1:14" x14ac:dyDescent="0.25">
      <c r="A1198" s="1"/>
      <c r="B1198" s="2" t="s">
        <v>911</v>
      </c>
      <c r="C1198" s="2" t="s">
        <v>118</v>
      </c>
      <c r="D1198" s="2" t="s">
        <v>32</v>
      </c>
      <c r="E1198" s="7" t="s">
        <v>1447</v>
      </c>
      <c r="F1198" s="37">
        <v>42436.375</v>
      </c>
      <c r="G1198" s="37">
        <v>42436.541666666664</v>
      </c>
      <c r="H1198" s="1" t="s">
        <v>6</v>
      </c>
      <c r="I1198" s="1" t="s">
        <v>38</v>
      </c>
      <c r="J1198" s="1">
        <v>42436.59815972222</v>
      </c>
      <c r="K1198" s="1" t="s">
        <v>118</v>
      </c>
      <c r="L1198" s="14">
        <f>24*(TblTimeSheet[[#This Row],[End Date and Time]]-TblTimeSheet[[#This Row],[Start Date and Time]])</f>
        <v>3.9999999999417923</v>
      </c>
      <c r="M11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198">
        <f>--(0&gt;(TblTimeSheet[[#This Row],[End Date and Time]]-TblTimeSheet[[#This Row],[Start Date and Time]]))</f>
        <v>0</v>
      </c>
    </row>
    <row r="1199" spans="1:14" x14ac:dyDescent="0.25">
      <c r="A1199" s="1"/>
      <c r="B1199" s="2" t="s">
        <v>915</v>
      </c>
      <c r="C1199" s="2" t="s">
        <v>116</v>
      </c>
      <c r="D1199" s="2" t="s">
        <v>20</v>
      </c>
      <c r="E1199" s="7" t="s">
        <v>1448</v>
      </c>
      <c r="F1199" s="37">
        <v>42436.600694444445</v>
      </c>
      <c r="G1199" s="37">
        <v>42436.611111111109</v>
      </c>
      <c r="H1199" s="1" t="s">
        <v>6</v>
      </c>
      <c r="I1199" s="1" t="s">
        <v>38</v>
      </c>
      <c r="J1199" s="1">
        <v>42436.613715277781</v>
      </c>
      <c r="K1199" s="1" t="s">
        <v>39</v>
      </c>
      <c r="L1199" s="14">
        <f>24*(TblTimeSheet[[#This Row],[End Date and Time]]-TblTimeSheet[[#This Row],[Start Date and Time]])</f>
        <v>0.24999999994179234</v>
      </c>
      <c r="M11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199">
        <f>--(0&gt;(TblTimeSheet[[#This Row],[End Date and Time]]-TblTimeSheet[[#This Row],[Start Date and Time]]))</f>
        <v>0</v>
      </c>
    </row>
    <row r="1200" spans="1:14" x14ac:dyDescent="0.25">
      <c r="A1200" s="1"/>
      <c r="B1200" s="2" t="s">
        <v>913</v>
      </c>
      <c r="C1200" s="2" t="s">
        <v>118</v>
      </c>
      <c r="D1200" s="2" t="s">
        <v>32</v>
      </c>
      <c r="E1200" s="7" t="s">
        <v>1449</v>
      </c>
      <c r="F1200" s="37">
        <v>42434.625</v>
      </c>
      <c r="G1200" s="37">
        <v>42434.631944444445</v>
      </c>
      <c r="H1200" s="1" t="s">
        <v>6</v>
      </c>
      <c r="I1200" s="1" t="s">
        <v>38</v>
      </c>
      <c r="J1200" s="1">
        <v>42436.630462962959</v>
      </c>
      <c r="K1200" s="1" t="s">
        <v>118</v>
      </c>
      <c r="L1200" s="14">
        <f>24*(TblTimeSheet[[#This Row],[End Date and Time]]-TblTimeSheet[[#This Row],[Start Date and Time]])</f>
        <v>0.16666666668606922</v>
      </c>
      <c r="M12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0">
        <f>--(0&gt;(TblTimeSheet[[#This Row],[End Date and Time]]-TblTimeSheet[[#This Row],[Start Date and Time]]))</f>
        <v>0</v>
      </c>
    </row>
    <row r="1201" spans="1:14" x14ac:dyDescent="0.25">
      <c r="A1201" s="1"/>
      <c r="B1201" s="2" t="s">
        <v>913</v>
      </c>
      <c r="C1201" s="2" t="s">
        <v>116</v>
      </c>
      <c r="D1201" s="2" t="s">
        <v>32</v>
      </c>
      <c r="E1201" s="7" t="s">
        <v>1450</v>
      </c>
      <c r="F1201" s="37">
        <v>42434.625</v>
      </c>
      <c r="G1201" s="37">
        <v>42434.631944444445</v>
      </c>
      <c r="H1201" s="1" t="s">
        <v>6</v>
      </c>
      <c r="I1201" s="1" t="s">
        <v>38</v>
      </c>
      <c r="J1201" s="1">
        <v>42436.631064814814</v>
      </c>
      <c r="K1201" s="1" t="s">
        <v>39</v>
      </c>
      <c r="L1201" s="14">
        <f>24*(TblTimeSheet[[#This Row],[End Date and Time]]-TblTimeSheet[[#This Row],[Start Date and Time]])</f>
        <v>0.16666666668606922</v>
      </c>
      <c r="M12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01">
        <f>--(0&gt;(TblTimeSheet[[#This Row],[End Date and Time]]-TblTimeSheet[[#This Row],[Start Date and Time]]))</f>
        <v>0</v>
      </c>
    </row>
    <row r="1202" spans="1:14" x14ac:dyDescent="0.25">
      <c r="A1202" s="1"/>
      <c r="B1202" s="2" t="s">
        <v>913</v>
      </c>
      <c r="C1202" s="2" t="s">
        <v>171</v>
      </c>
      <c r="D1202" s="2" t="s">
        <v>32</v>
      </c>
      <c r="E1202" s="7" t="s">
        <v>1451</v>
      </c>
      <c r="F1202" s="37">
        <v>42436.458333333336</v>
      </c>
      <c r="G1202" s="37">
        <v>42436.465277777781</v>
      </c>
      <c r="H1202" s="1" t="s">
        <v>6</v>
      </c>
      <c r="I1202" s="1" t="s">
        <v>38</v>
      </c>
      <c r="J1202" s="1">
        <v>42436.631828703707</v>
      </c>
      <c r="K1202" s="1" t="s">
        <v>171</v>
      </c>
      <c r="L1202" s="14">
        <f>24*(TblTimeSheet[[#This Row],[End Date and Time]]-TblTimeSheet[[#This Row],[Start Date and Time]])</f>
        <v>0.16666666668606922</v>
      </c>
      <c r="M12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2">
        <f>--(0&gt;(TblTimeSheet[[#This Row],[End Date and Time]]-TblTimeSheet[[#This Row],[Start Date and Time]]))</f>
        <v>0</v>
      </c>
    </row>
    <row r="1203" spans="1:14" x14ac:dyDescent="0.25">
      <c r="A1203" s="1"/>
      <c r="B1203" s="2" t="s">
        <v>915</v>
      </c>
      <c r="C1203" s="2" t="s">
        <v>1117</v>
      </c>
      <c r="D1203" s="2" t="s">
        <v>20</v>
      </c>
      <c r="E1203" s="7" t="s">
        <v>1452</v>
      </c>
      <c r="F1203" s="37">
        <v>42436.583333333336</v>
      </c>
      <c r="G1203" s="37">
        <v>42436.614583333336</v>
      </c>
      <c r="H1203" s="1" t="s">
        <v>6</v>
      </c>
      <c r="I1203" s="1" t="s">
        <v>38</v>
      </c>
      <c r="J1203" s="1">
        <v>42436.652870370373</v>
      </c>
      <c r="K1203" s="1" t="s">
        <v>2865</v>
      </c>
      <c r="L1203" s="14">
        <f>24*(TblTimeSheet[[#This Row],[End Date and Time]]-TblTimeSheet[[#This Row],[Start Date and Time]])</f>
        <v>0.75</v>
      </c>
      <c r="M12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3">
        <f>--(0&gt;(TblTimeSheet[[#This Row],[End Date and Time]]-TblTimeSheet[[#This Row],[Start Date and Time]]))</f>
        <v>0</v>
      </c>
    </row>
    <row r="1204" spans="1:14" x14ac:dyDescent="0.25">
      <c r="A1204" s="1"/>
      <c r="B1204" s="2" t="s">
        <v>915</v>
      </c>
      <c r="C1204" s="2" t="s">
        <v>116</v>
      </c>
      <c r="D1204" s="2" t="s">
        <v>20</v>
      </c>
      <c r="E1204" s="7" t="s">
        <v>1453</v>
      </c>
      <c r="F1204" s="37">
        <v>42436.618055555555</v>
      </c>
      <c r="G1204" s="37">
        <v>42436.635416666664</v>
      </c>
      <c r="H1204" s="1" t="s">
        <v>6</v>
      </c>
      <c r="I1204" s="1" t="s">
        <v>38</v>
      </c>
      <c r="J1204" s="1">
        <v>42436.652939814812</v>
      </c>
      <c r="K1204" s="1" t="s">
        <v>1026</v>
      </c>
      <c r="L1204" s="14">
        <f>24*(TblTimeSheet[[#This Row],[End Date and Time]]-TblTimeSheet[[#This Row],[Start Date and Time]])</f>
        <v>0.41666666662786156</v>
      </c>
      <c r="M12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4">
        <f>--(0&gt;(TblTimeSheet[[#This Row],[End Date and Time]]-TblTimeSheet[[#This Row],[Start Date and Time]]))</f>
        <v>0</v>
      </c>
    </row>
    <row r="1205" spans="1:14" x14ac:dyDescent="0.25">
      <c r="A1205" s="1"/>
      <c r="B1205" s="2" t="s">
        <v>915</v>
      </c>
      <c r="C1205" s="2" t="s">
        <v>1117</v>
      </c>
      <c r="D1205" s="2" t="s">
        <v>20</v>
      </c>
      <c r="E1205" s="7" t="s">
        <v>1454</v>
      </c>
      <c r="F1205" s="37">
        <v>42436.618055555555</v>
      </c>
      <c r="G1205" s="37">
        <v>42436.635416666664</v>
      </c>
      <c r="H1205" s="1" t="s">
        <v>6</v>
      </c>
      <c r="I1205" s="1" t="s">
        <v>38</v>
      </c>
      <c r="J1205" s="1">
        <v>42436.655833333331</v>
      </c>
      <c r="K1205" s="1" t="s">
        <v>2865</v>
      </c>
      <c r="L1205" s="14">
        <f>24*(TblTimeSheet[[#This Row],[End Date and Time]]-TblTimeSheet[[#This Row],[Start Date and Time]])</f>
        <v>0.41666666662786156</v>
      </c>
      <c r="M12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5">
        <f>--(0&gt;(TblTimeSheet[[#This Row],[End Date and Time]]-TblTimeSheet[[#This Row],[Start Date and Time]]))</f>
        <v>0</v>
      </c>
    </row>
    <row r="1206" spans="1:14" x14ac:dyDescent="0.25">
      <c r="A1206" s="1"/>
      <c r="B1206" s="2" t="s">
        <v>911</v>
      </c>
      <c r="C1206" s="2" t="s">
        <v>118</v>
      </c>
      <c r="D1206" s="2" t="s">
        <v>32</v>
      </c>
      <c r="E1206" s="7" t="s">
        <v>1455</v>
      </c>
      <c r="F1206" s="37">
        <v>42436.583333333336</v>
      </c>
      <c r="G1206" s="37">
        <v>42436.59375</v>
      </c>
      <c r="H1206" s="1" t="s">
        <v>6</v>
      </c>
      <c r="I1206" s="1" t="s">
        <v>38</v>
      </c>
      <c r="J1206" s="1">
        <v>42436.680150462962</v>
      </c>
      <c r="K1206" s="1" t="s">
        <v>118</v>
      </c>
      <c r="L1206" s="14">
        <f>24*(TblTimeSheet[[#This Row],[End Date and Time]]-TblTimeSheet[[#This Row],[Start Date and Time]])</f>
        <v>0.24999999994179234</v>
      </c>
      <c r="M12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6">
        <f>--(0&gt;(TblTimeSheet[[#This Row],[End Date and Time]]-TblTimeSheet[[#This Row],[Start Date and Time]]))</f>
        <v>0</v>
      </c>
    </row>
    <row r="1207" spans="1:14" x14ac:dyDescent="0.25">
      <c r="A1207" s="1"/>
      <c r="B1207" s="2" t="s">
        <v>911</v>
      </c>
      <c r="C1207" s="2" t="s">
        <v>118</v>
      </c>
      <c r="D1207" s="2" t="s">
        <v>32</v>
      </c>
      <c r="E1207" s="7" t="s">
        <v>1456</v>
      </c>
      <c r="F1207" s="37">
        <v>42436.59375</v>
      </c>
      <c r="G1207" s="37">
        <v>42436.597222222219</v>
      </c>
      <c r="H1207" s="1" t="s">
        <v>6</v>
      </c>
      <c r="I1207" s="1" t="s">
        <v>38</v>
      </c>
      <c r="J1207" s="1">
        <v>42436.680752314816</v>
      </c>
      <c r="K1207" s="1" t="s">
        <v>118</v>
      </c>
      <c r="L1207" s="14">
        <f>24*(TblTimeSheet[[#This Row],[End Date and Time]]-TblTimeSheet[[#This Row],[Start Date and Time]])</f>
        <v>8.3333333255723119E-2</v>
      </c>
      <c r="M12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7">
        <f>--(0&gt;(TblTimeSheet[[#This Row],[End Date and Time]]-TblTimeSheet[[#This Row],[Start Date and Time]]))</f>
        <v>0</v>
      </c>
    </row>
    <row r="1208" spans="1:14" x14ac:dyDescent="0.25">
      <c r="A1208" s="1"/>
      <c r="B1208" s="2" t="s">
        <v>911</v>
      </c>
      <c r="C1208" s="2" t="s">
        <v>1117</v>
      </c>
      <c r="D1208" s="2" t="s">
        <v>32</v>
      </c>
      <c r="E1208" s="7" t="s">
        <v>1457</v>
      </c>
      <c r="F1208" s="37">
        <v>42436.638888888891</v>
      </c>
      <c r="G1208" s="37">
        <v>42436.684027777781</v>
      </c>
      <c r="H1208" s="1" t="s">
        <v>6</v>
      </c>
      <c r="I1208" s="1" t="s">
        <v>38</v>
      </c>
      <c r="J1208" s="1">
        <v>42436.683425925927</v>
      </c>
      <c r="K1208" s="1" t="s">
        <v>2865</v>
      </c>
      <c r="L1208" s="14">
        <f>24*(TblTimeSheet[[#This Row],[End Date and Time]]-TblTimeSheet[[#This Row],[Start Date and Time]])</f>
        <v>1.0833333333721384</v>
      </c>
      <c r="M12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8">
        <f>--(0&gt;(TblTimeSheet[[#This Row],[End Date and Time]]-TblTimeSheet[[#This Row],[Start Date and Time]]))</f>
        <v>0</v>
      </c>
    </row>
    <row r="1209" spans="1:14" x14ac:dyDescent="0.25">
      <c r="A1209" s="1"/>
      <c r="B1209" s="2" t="s">
        <v>911</v>
      </c>
      <c r="C1209" s="2" t="s">
        <v>43</v>
      </c>
      <c r="D1209" s="2" t="s">
        <v>32</v>
      </c>
      <c r="E1209" s="7" t="s">
        <v>1223</v>
      </c>
      <c r="F1209" s="37">
        <v>42436.583333333336</v>
      </c>
      <c r="G1209" s="37">
        <v>42436.59375</v>
      </c>
      <c r="H1209" s="1" t="s">
        <v>6</v>
      </c>
      <c r="I1209" s="1" t="s">
        <v>38</v>
      </c>
      <c r="J1209" s="1">
        <v>42436.683437500003</v>
      </c>
      <c r="K1209" s="1" t="s">
        <v>43</v>
      </c>
      <c r="L1209" s="14">
        <f>24*(TblTimeSheet[[#This Row],[End Date and Time]]-TblTimeSheet[[#This Row],[Start Date and Time]])</f>
        <v>0.24999999994179234</v>
      </c>
      <c r="M12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09">
        <f>--(0&gt;(TblTimeSheet[[#This Row],[End Date and Time]]-TblTimeSheet[[#This Row],[Start Date and Time]]))</f>
        <v>0</v>
      </c>
    </row>
    <row r="1210" spans="1:14" x14ac:dyDescent="0.25">
      <c r="A1210" s="1"/>
      <c r="B1210" s="2" t="s">
        <v>911</v>
      </c>
      <c r="C1210" s="2" t="s">
        <v>43</v>
      </c>
      <c r="D1210" s="2" t="s">
        <v>32</v>
      </c>
      <c r="E1210" s="7" t="s">
        <v>1458</v>
      </c>
      <c r="F1210" s="37">
        <v>42436.600694444445</v>
      </c>
      <c r="G1210" s="37">
        <v>42436.604166666664</v>
      </c>
      <c r="H1210" s="1" t="s">
        <v>6</v>
      </c>
      <c r="I1210" s="1" t="s">
        <v>38</v>
      </c>
      <c r="J1210" s="1">
        <v>42436.685578703706</v>
      </c>
      <c r="K1210" s="1" t="s">
        <v>43</v>
      </c>
      <c r="L1210" s="14">
        <f>24*(TblTimeSheet[[#This Row],[End Date and Time]]-TblTimeSheet[[#This Row],[Start Date and Time]])</f>
        <v>8.3333333255723119E-2</v>
      </c>
      <c r="M12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0">
        <f>--(0&gt;(TblTimeSheet[[#This Row],[End Date and Time]]-TblTimeSheet[[#This Row],[Start Date and Time]]))</f>
        <v>0</v>
      </c>
    </row>
    <row r="1211" spans="1:14" x14ac:dyDescent="0.25">
      <c r="A1211" s="1"/>
      <c r="B1211" s="2" t="s">
        <v>911</v>
      </c>
      <c r="C1211" s="2" t="s">
        <v>1117</v>
      </c>
      <c r="D1211" s="2" t="s">
        <v>32</v>
      </c>
      <c r="E1211" s="7" t="s">
        <v>1459</v>
      </c>
      <c r="F1211" s="37">
        <v>42436.388888888891</v>
      </c>
      <c r="G1211" s="37">
        <v>42436.541666666664</v>
      </c>
      <c r="H1211" s="1" t="s">
        <v>6</v>
      </c>
      <c r="I1211" s="1" t="s">
        <v>38</v>
      </c>
      <c r="J1211" s="1">
        <v>42436.686006944445</v>
      </c>
      <c r="K1211" s="1" t="s">
        <v>2865</v>
      </c>
      <c r="L1211" s="14">
        <f>24*(TblTimeSheet[[#This Row],[End Date and Time]]-TblTimeSheet[[#This Row],[Start Date and Time]])</f>
        <v>3.6666666665696539</v>
      </c>
      <c r="M12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1">
        <f>--(0&gt;(TblTimeSheet[[#This Row],[End Date and Time]]-TblTimeSheet[[#This Row],[Start Date and Time]]))</f>
        <v>0</v>
      </c>
    </row>
    <row r="1212" spans="1:14" x14ac:dyDescent="0.25">
      <c r="A1212" s="1"/>
      <c r="B1212" s="2" t="s">
        <v>911</v>
      </c>
      <c r="C1212" s="2" t="s">
        <v>118</v>
      </c>
      <c r="D1212" s="2" t="s">
        <v>32</v>
      </c>
      <c r="E1212" s="7" t="s">
        <v>1460</v>
      </c>
      <c r="F1212" s="37">
        <v>42436.604166666664</v>
      </c>
      <c r="G1212" s="37">
        <v>42436.6875</v>
      </c>
      <c r="H1212" s="1" t="s">
        <v>6</v>
      </c>
      <c r="I1212" s="1" t="s">
        <v>38</v>
      </c>
      <c r="J1212" s="1">
        <v>42436.691620370373</v>
      </c>
      <c r="K1212" s="1" t="s">
        <v>43</v>
      </c>
      <c r="L1212" s="14">
        <f>24*(TblTimeSheet[[#This Row],[End Date and Time]]-TblTimeSheet[[#This Row],[Start Date and Time]])</f>
        <v>2.0000000000582077</v>
      </c>
      <c r="M12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2">
        <f>--(0&gt;(TblTimeSheet[[#This Row],[End Date and Time]]-TblTimeSheet[[#This Row],[Start Date and Time]]))</f>
        <v>0</v>
      </c>
    </row>
    <row r="1213" spans="1:14" x14ac:dyDescent="0.25">
      <c r="A1213" s="1"/>
      <c r="B1213" s="2" t="s">
        <v>697</v>
      </c>
      <c r="C1213" s="2" t="s">
        <v>124</v>
      </c>
      <c r="D1213" s="2" t="s">
        <v>33</v>
      </c>
      <c r="E1213" s="7" t="s">
        <v>1386</v>
      </c>
      <c r="F1213" s="37">
        <v>42432.5625</v>
      </c>
      <c r="G1213" s="37">
        <v>42432.729166666664</v>
      </c>
      <c r="H1213" s="1" t="s">
        <v>6</v>
      </c>
      <c r="I1213" s="1" t="s">
        <v>38</v>
      </c>
      <c r="J1213" s="1">
        <v>42436.698657407411</v>
      </c>
      <c r="K1213" s="1" t="s">
        <v>2863</v>
      </c>
      <c r="L1213" s="14">
        <f>24*(TblTimeSheet[[#This Row],[End Date and Time]]-TblTimeSheet[[#This Row],[Start Date and Time]])</f>
        <v>3.9999999999417923</v>
      </c>
      <c r="M12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3">
        <f>--(0&gt;(TblTimeSheet[[#This Row],[End Date and Time]]-TblTimeSheet[[#This Row],[Start Date and Time]]))</f>
        <v>0</v>
      </c>
    </row>
    <row r="1214" spans="1:14" x14ac:dyDescent="0.25">
      <c r="A1214" s="1"/>
      <c r="B1214" s="2" t="s">
        <v>697</v>
      </c>
      <c r="C1214" s="2" t="s">
        <v>124</v>
      </c>
      <c r="D1214" s="2" t="s">
        <v>33</v>
      </c>
      <c r="E1214" s="7" t="s">
        <v>1413</v>
      </c>
      <c r="F1214" s="37">
        <v>42433.5625</v>
      </c>
      <c r="G1214" s="37">
        <v>42433.729166666664</v>
      </c>
      <c r="H1214" s="1" t="s">
        <v>6</v>
      </c>
      <c r="I1214" s="1" t="s">
        <v>38</v>
      </c>
      <c r="J1214" s="1">
        <v>42436.699814814812</v>
      </c>
      <c r="K1214" s="1" t="s">
        <v>2863</v>
      </c>
      <c r="L1214" s="14">
        <f>24*(TblTimeSheet[[#This Row],[End Date and Time]]-TblTimeSheet[[#This Row],[Start Date and Time]])</f>
        <v>3.9999999999417923</v>
      </c>
      <c r="M12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4">
        <f>--(0&gt;(TblTimeSheet[[#This Row],[End Date and Time]]-TblTimeSheet[[#This Row],[Start Date and Time]]))</f>
        <v>0</v>
      </c>
    </row>
    <row r="1215" spans="1:14" x14ac:dyDescent="0.25">
      <c r="A1215" s="1"/>
      <c r="B1215" s="2" t="s">
        <v>915</v>
      </c>
      <c r="C1215" s="2" t="s">
        <v>116</v>
      </c>
      <c r="D1215" s="2" t="s">
        <v>20</v>
      </c>
      <c r="E1215" s="7" t="s">
        <v>1461</v>
      </c>
      <c r="F1215" s="37">
        <v>42436.666666666664</v>
      </c>
      <c r="G1215" s="37">
        <v>42436.680555555555</v>
      </c>
      <c r="H1215" s="1" t="s">
        <v>6</v>
      </c>
      <c r="I1215" s="1" t="s">
        <v>38</v>
      </c>
      <c r="J1215" s="1">
        <v>42436.700243055559</v>
      </c>
      <c r="K1215" s="1" t="s">
        <v>39</v>
      </c>
      <c r="L1215" s="14">
        <f>24*(TblTimeSheet[[#This Row],[End Date and Time]]-TblTimeSheet[[#This Row],[Start Date and Time]])</f>
        <v>0.33333333337213844</v>
      </c>
      <c r="M12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15">
        <f>--(0&gt;(TblTimeSheet[[#This Row],[End Date and Time]]-TblTimeSheet[[#This Row],[Start Date and Time]]))</f>
        <v>0</v>
      </c>
    </row>
    <row r="1216" spans="1:14" x14ac:dyDescent="0.25">
      <c r="A1216" s="1"/>
      <c r="B1216" s="2" t="s">
        <v>697</v>
      </c>
      <c r="C1216" s="2" t="s">
        <v>124</v>
      </c>
      <c r="D1216" s="2" t="s">
        <v>33</v>
      </c>
      <c r="E1216" s="7" t="s">
        <v>721</v>
      </c>
      <c r="F1216" s="37">
        <v>42433.375</v>
      </c>
      <c r="G1216" s="37">
        <v>42433.541666666664</v>
      </c>
      <c r="H1216" s="1" t="s">
        <v>6</v>
      </c>
      <c r="I1216" s="1" t="s">
        <v>38</v>
      </c>
      <c r="J1216" s="1">
        <v>42436.701724537037</v>
      </c>
      <c r="K1216" s="1" t="s">
        <v>2863</v>
      </c>
      <c r="L1216" s="14">
        <f>24*(TblTimeSheet[[#This Row],[End Date and Time]]-TblTimeSheet[[#This Row],[Start Date and Time]])</f>
        <v>3.9999999999417923</v>
      </c>
      <c r="M12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6">
        <f>--(0&gt;(TblTimeSheet[[#This Row],[End Date and Time]]-TblTimeSheet[[#This Row],[Start Date and Time]]))</f>
        <v>0</v>
      </c>
    </row>
    <row r="1217" spans="1:14" x14ac:dyDescent="0.25">
      <c r="A1217" s="1"/>
      <c r="B1217" s="2" t="s">
        <v>697</v>
      </c>
      <c r="C1217" s="2" t="s">
        <v>124</v>
      </c>
      <c r="D1217" s="2" t="s">
        <v>33</v>
      </c>
      <c r="E1217" s="7" t="s">
        <v>1443</v>
      </c>
      <c r="F1217" s="37">
        <v>42434.375</v>
      </c>
      <c r="G1217" s="37">
        <v>42434.541666666664</v>
      </c>
      <c r="H1217" s="1" t="s">
        <v>6</v>
      </c>
      <c r="I1217" s="1" t="s">
        <v>38</v>
      </c>
      <c r="J1217" s="1">
        <v>42436.703657407408</v>
      </c>
      <c r="K1217" s="1" t="s">
        <v>2863</v>
      </c>
      <c r="L1217" s="14">
        <f>24*(TblTimeSheet[[#This Row],[End Date and Time]]-TblTimeSheet[[#This Row],[Start Date and Time]])</f>
        <v>3.9999999999417923</v>
      </c>
      <c r="M12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7">
        <f>--(0&gt;(TblTimeSheet[[#This Row],[End Date and Time]]-TblTimeSheet[[#This Row],[Start Date and Time]]))</f>
        <v>0</v>
      </c>
    </row>
    <row r="1218" spans="1:14" ht="30" x14ac:dyDescent="0.25">
      <c r="A1218" s="1"/>
      <c r="B1218" s="2" t="s">
        <v>697</v>
      </c>
      <c r="C1218" s="2" t="s">
        <v>124</v>
      </c>
      <c r="D1218" s="2" t="s">
        <v>33</v>
      </c>
      <c r="E1218" s="7" t="s">
        <v>1444</v>
      </c>
      <c r="F1218" s="37">
        <v>42434.5625</v>
      </c>
      <c r="G1218" s="37">
        <v>42434.729166666664</v>
      </c>
      <c r="H1218" s="1" t="s">
        <v>6</v>
      </c>
      <c r="I1218" s="1" t="s">
        <v>38</v>
      </c>
      <c r="J1218" s="1">
        <v>42436.704189814816</v>
      </c>
      <c r="K1218" s="1" t="s">
        <v>2863</v>
      </c>
      <c r="L1218" s="14">
        <f>24*(TblTimeSheet[[#This Row],[End Date and Time]]-TblTimeSheet[[#This Row],[Start Date and Time]])</f>
        <v>3.9999999999417923</v>
      </c>
      <c r="M12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8">
        <f>--(0&gt;(TblTimeSheet[[#This Row],[End Date and Time]]-TblTimeSheet[[#This Row],[Start Date and Time]]))</f>
        <v>0</v>
      </c>
    </row>
    <row r="1219" spans="1:14" x14ac:dyDescent="0.25">
      <c r="A1219" s="1"/>
      <c r="B1219" s="2" t="s">
        <v>697</v>
      </c>
      <c r="C1219" s="2" t="s">
        <v>124</v>
      </c>
      <c r="D1219" s="2" t="s">
        <v>33</v>
      </c>
      <c r="E1219" s="7" t="s">
        <v>1462</v>
      </c>
      <c r="F1219" s="37">
        <v>42436.375</v>
      </c>
      <c r="G1219" s="37">
        <v>42436.541666666664</v>
      </c>
      <c r="H1219" s="1" t="s">
        <v>6</v>
      </c>
      <c r="I1219" s="1" t="s">
        <v>38</v>
      </c>
      <c r="J1219" s="1">
        <v>42436.704861111109</v>
      </c>
      <c r="K1219" s="1" t="s">
        <v>2863</v>
      </c>
      <c r="L1219" s="14">
        <f>24*(TblTimeSheet[[#This Row],[End Date and Time]]-TblTimeSheet[[#This Row],[Start Date and Time]])</f>
        <v>3.9999999999417923</v>
      </c>
      <c r="M12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19">
        <f>--(0&gt;(TblTimeSheet[[#This Row],[End Date and Time]]-TblTimeSheet[[#This Row],[Start Date and Time]]))</f>
        <v>0</v>
      </c>
    </row>
    <row r="1220" spans="1:14" x14ac:dyDescent="0.25">
      <c r="A1220" s="1"/>
      <c r="B1220" s="2" t="s">
        <v>697</v>
      </c>
      <c r="C1220" s="2" t="s">
        <v>124</v>
      </c>
      <c r="D1220" s="2" t="s">
        <v>33</v>
      </c>
      <c r="E1220" s="7" t="s">
        <v>1463</v>
      </c>
      <c r="F1220" s="37">
        <v>42436.5625</v>
      </c>
      <c r="G1220" s="37">
        <v>42436.666666666664</v>
      </c>
      <c r="H1220" s="1" t="s">
        <v>6</v>
      </c>
      <c r="I1220" s="1" t="s">
        <v>38</v>
      </c>
      <c r="J1220" s="1">
        <v>42436.705405092594</v>
      </c>
      <c r="K1220" s="1" t="s">
        <v>2863</v>
      </c>
      <c r="L1220" s="14">
        <f>24*(TblTimeSheet[[#This Row],[End Date and Time]]-TblTimeSheet[[#This Row],[Start Date and Time]])</f>
        <v>2.4999999999417923</v>
      </c>
      <c r="M12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0">
        <f>--(0&gt;(TblTimeSheet[[#This Row],[End Date and Time]]-TblTimeSheet[[#This Row],[Start Date and Time]]))</f>
        <v>0</v>
      </c>
    </row>
    <row r="1221" spans="1:14" x14ac:dyDescent="0.25">
      <c r="A1221" s="1"/>
      <c r="B1221" s="2" t="s">
        <v>911</v>
      </c>
      <c r="C1221" s="2" t="s">
        <v>171</v>
      </c>
      <c r="D1221" s="2" t="s">
        <v>32</v>
      </c>
      <c r="E1221" s="7" t="s">
        <v>1464</v>
      </c>
      <c r="F1221" s="37">
        <v>42436.6875</v>
      </c>
      <c r="G1221" s="37">
        <v>42436.708333333336</v>
      </c>
      <c r="H1221" s="1" t="s">
        <v>6</v>
      </c>
      <c r="I1221" s="1" t="s">
        <v>38</v>
      </c>
      <c r="J1221" s="1">
        <v>42436.707789351851</v>
      </c>
      <c r="K1221" s="1" t="s">
        <v>171</v>
      </c>
      <c r="L1221" s="14">
        <f>24*(TblTimeSheet[[#This Row],[End Date and Time]]-TblTimeSheet[[#This Row],[Start Date and Time]])</f>
        <v>0.50000000005820766</v>
      </c>
      <c r="M12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1">
        <f>--(0&gt;(TblTimeSheet[[#This Row],[End Date and Time]]-TblTimeSheet[[#This Row],[Start Date and Time]]))</f>
        <v>0</v>
      </c>
    </row>
    <row r="1222" spans="1:14" x14ac:dyDescent="0.25">
      <c r="A1222" s="1"/>
      <c r="B1222" s="2" t="s">
        <v>911</v>
      </c>
      <c r="C1222" s="2" t="s">
        <v>1117</v>
      </c>
      <c r="D1222" s="2" t="s">
        <v>32</v>
      </c>
      <c r="E1222" s="7" t="s">
        <v>1465</v>
      </c>
      <c r="F1222" s="37">
        <v>42436.6875</v>
      </c>
      <c r="G1222" s="37">
        <v>42436.708333333336</v>
      </c>
      <c r="H1222" s="1" t="s">
        <v>6</v>
      </c>
      <c r="I1222" s="1" t="s">
        <v>38</v>
      </c>
      <c r="J1222" s="1">
        <v>42436.708645833336</v>
      </c>
      <c r="K1222" s="1" t="s">
        <v>2865</v>
      </c>
      <c r="L1222" s="14">
        <f>24*(TblTimeSheet[[#This Row],[End Date and Time]]-TblTimeSheet[[#This Row],[Start Date and Time]])</f>
        <v>0.50000000005820766</v>
      </c>
      <c r="M12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2">
        <f>--(0&gt;(TblTimeSheet[[#This Row],[End Date and Time]]-TblTimeSheet[[#This Row],[Start Date and Time]]))</f>
        <v>0</v>
      </c>
    </row>
    <row r="1223" spans="1:14" ht="30" x14ac:dyDescent="0.25">
      <c r="A1223" s="1"/>
      <c r="B1223" s="2" t="s">
        <v>913</v>
      </c>
      <c r="C1223" s="2" t="s">
        <v>116</v>
      </c>
      <c r="D1223" s="2" t="s">
        <v>32</v>
      </c>
      <c r="E1223" s="7" t="s">
        <v>1873</v>
      </c>
      <c r="F1223" s="37">
        <v>42436.6875</v>
      </c>
      <c r="G1223" s="37">
        <v>42436.715277777781</v>
      </c>
      <c r="H1223" s="1" t="s">
        <v>6</v>
      </c>
      <c r="I1223" s="1" t="s">
        <v>38</v>
      </c>
      <c r="J1223" s="1">
        <v>42436.722291666665</v>
      </c>
      <c r="K1223" s="1" t="s">
        <v>39</v>
      </c>
      <c r="L1223" s="14">
        <f>24*(TblTimeSheet[[#This Row],[End Date and Time]]-TblTimeSheet[[#This Row],[Start Date and Time]])</f>
        <v>0.66666666674427688</v>
      </c>
      <c r="M12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23">
        <f>--(0&gt;(TblTimeSheet[[#This Row],[End Date and Time]]-TblTimeSheet[[#This Row],[Start Date and Time]]))</f>
        <v>0</v>
      </c>
    </row>
    <row r="1224" spans="1:14" x14ac:dyDescent="0.25">
      <c r="A1224" s="1"/>
      <c r="B1224" s="2" t="s">
        <v>911</v>
      </c>
      <c r="C1224" s="2" t="s">
        <v>1117</v>
      </c>
      <c r="D1224" s="2" t="s">
        <v>32</v>
      </c>
      <c r="E1224" s="7" t="s">
        <v>1466</v>
      </c>
      <c r="F1224" s="37">
        <v>42436.708333333336</v>
      </c>
      <c r="G1224" s="37">
        <v>42436.722222222219</v>
      </c>
      <c r="H1224" s="1" t="s">
        <v>6</v>
      </c>
      <c r="I1224" s="1" t="s">
        <v>38</v>
      </c>
      <c r="J1224" s="1">
        <v>42436.724861111114</v>
      </c>
      <c r="K1224" s="1" t="s">
        <v>2865</v>
      </c>
      <c r="L1224" s="14">
        <f>24*(TblTimeSheet[[#This Row],[End Date and Time]]-TblTimeSheet[[#This Row],[Start Date and Time]])</f>
        <v>0.33333333319751546</v>
      </c>
      <c r="M12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4">
        <f>--(0&gt;(TblTimeSheet[[#This Row],[End Date and Time]]-TblTimeSheet[[#This Row],[Start Date and Time]]))</f>
        <v>0</v>
      </c>
    </row>
    <row r="1225" spans="1:14" x14ac:dyDescent="0.25">
      <c r="A1225" s="1"/>
      <c r="B1225" s="2" t="s">
        <v>911</v>
      </c>
      <c r="C1225" s="2" t="s">
        <v>171</v>
      </c>
      <c r="D1225" s="2" t="s">
        <v>32</v>
      </c>
      <c r="E1225" s="7" t="s">
        <v>1467</v>
      </c>
      <c r="F1225" s="37">
        <v>42436.725694444445</v>
      </c>
      <c r="G1225" s="37">
        <v>42436.732638888891</v>
      </c>
      <c r="H1225" s="1" t="s">
        <v>6</v>
      </c>
      <c r="I1225" s="1" t="s">
        <v>38</v>
      </c>
      <c r="J1225" s="1">
        <v>42436.728321759256</v>
      </c>
      <c r="K1225" s="1" t="s">
        <v>41</v>
      </c>
      <c r="L1225" s="14">
        <f>24*(TblTimeSheet[[#This Row],[End Date and Time]]-TblTimeSheet[[#This Row],[Start Date and Time]])</f>
        <v>0.16666666668606922</v>
      </c>
      <c r="M12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5">
        <f>--(0&gt;(TblTimeSheet[[#This Row],[End Date and Time]]-TblTimeSheet[[#This Row],[Start Date and Time]]))</f>
        <v>0</v>
      </c>
    </row>
    <row r="1226" spans="1:14" x14ac:dyDescent="0.25">
      <c r="A1226" s="1"/>
      <c r="B1226" s="2" t="s">
        <v>911</v>
      </c>
      <c r="C1226" s="2" t="s">
        <v>1117</v>
      </c>
      <c r="D1226" s="2" t="s">
        <v>32</v>
      </c>
      <c r="E1226" s="7" t="s">
        <v>1468</v>
      </c>
      <c r="F1226" s="37">
        <v>42436.725694444445</v>
      </c>
      <c r="G1226" s="37">
        <v>42436.732638888891</v>
      </c>
      <c r="H1226" s="1" t="s">
        <v>6</v>
      </c>
      <c r="I1226" s="1" t="s">
        <v>38</v>
      </c>
      <c r="J1226" s="1">
        <v>42436.728206018517</v>
      </c>
      <c r="K1226" s="1" t="s">
        <v>2865</v>
      </c>
      <c r="L1226" s="14">
        <f>24*(TblTimeSheet[[#This Row],[End Date and Time]]-TblTimeSheet[[#This Row],[Start Date and Time]])</f>
        <v>0.16666666668606922</v>
      </c>
      <c r="M12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6">
        <f>--(0&gt;(TblTimeSheet[[#This Row],[End Date and Time]]-TblTimeSheet[[#This Row],[Start Date and Time]]))</f>
        <v>0</v>
      </c>
    </row>
    <row r="1227" spans="1:14" x14ac:dyDescent="0.25">
      <c r="A1227" s="1"/>
      <c r="B1227" s="2" t="s">
        <v>915</v>
      </c>
      <c r="C1227" s="2" t="s">
        <v>1469</v>
      </c>
      <c r="D1227" s="2" t="s">
        <v>20</v>
      </c>
      <c r="E1227" s="7" t="s">
        <v>1470</v>
      </c>
      <c r="F1227" s="37">
        <v>42436.666666666664</v>
      </c>
      <c r="G1227" s="37">
        <v>42436.680555555555</v>
      </c>
      <c r="H1227" s="1" t="s">
        <v>6</v>
      </c>
      <c r="I1227" s="1" t="s">
        <v>38</v>
      </c>
      <c r="J1227" s="1">
        <v>42436.73165509259</v>
      </c>
      <c r="K1227" s="1" t="s">
        <v>1469</v>
      </c>
      <c r="L1227" s="14">
        <f>24*(TblTimeSheet[[#This Row],[End Date and Time]]-TblTimeSheet[[#This Row],[Start Date and Time]])</f>
        <v>0.33333333337213844</v>
      </c>
      <c r="M12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7">
        <f>--(0&gt;(TblTimeSheet[[#This Row],[End Date and Time]]-TblTimeSheet[[#This Row],[Start Date and Time]]))</f>
        <v>0</v>
      </c>
    </row>
    <row r="1228" spans="1:14" x14ac:dyDescent="0.25">
      <c r="A1228" s="1"/>
      <c r="B1228" s="2" t="s">
        <v>913</v>
      </c>
      <c r="C1228" s="2" t="s">
        <v>171</v>
      </c>
      <c r="D1228" s="2" t="s">
        <v>32</v>
      </c>
      <c r="E1228" s="7" t="s">
        <v>1471</v>
      </c>
      <c r="F1228" s="37">
        <v>42436.732638888891</v>
      </c>
      <c r="G1228" s="37">
        <v>42436.736111111109</v>
      </c>
      <c r="H1228" s="1" t="s">
        <v>6</v>
      </c>
      <c r="I1228" s="1" t="s">
        <v>38</v>
      </c>
      <c r="J1228" s="1">
        <v>42436.734155092592</v>
      </c>
      <c r="K1228" s="1" t="s">
        <v>171</v>
      </c>
      <c r="L1228" s="14">
        <f>24*(TblTimeSheet[[#This Row],[End Date and Time]]-TblTimeSheet[[#This Row],[Start Date and Time]])</f>
        <v>8.3333333255723119E-2</v>
      </c>
      <c r="M12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8">
        <f>--(0&gt;(TblTimeSheet[[#This Row],[End Date and Time]]-TblTimeSheet[[#This Row],[Start Date and Time]]))</f>
        <v>0</v>
      </c>
    </row>
    <row r="1229" spans="1:14" x14ac:dyDescent="0.25">
      <c r="A1229" s="1"/>
      <c r="B1229" s="2" t="s">
        <v>909</v>
      </c>
      <c r="C1229" s="2" t="s">
        <v>41</v>
      </c>
      <c r="D1229" s="2" t="s">
        <v>33</v>
      </c>
      <c r="E1229" s="7" t="s">
        <v>1874</v>
      </c>
      <c r="F1229" s="37">
        <v>42436.5625</v>
      </c>
      <c r="G1229" s="37">
        <v>42436.6875</v>
      </c>
      <c r="H1229" s="1" t="s">
        <v>6</v>
      </c>
      <c r="I1229" s="1" t="s">
        <v>38</v>
      </c>
      <c r="J1229" s="1">
        <v>42436.735127314816</v>
      </c>
      <c r="K1229" s="1" t="s">
        <v>41</v>
      </c>
      <c r="L1229" s="14">
        <f>24*(TblTimeSheet[[#This Row],[End Date and Time]]-TblTimeSheet[[#This Row],[Start Date and Time]])</f>
        <v>3</v>
      </c>
      <c r="M12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29">
        <f>--(0&gt;(TblTimeSheet[[#This Row],[End Date and Time]]-TblTimeSheet[[#This Row],[Start Date and Time]]))</f>
        <v>0</v>
      </c>
    </row>
    <row r="1230" spans="1:14" x14ac:dyDescent="0.25">
      <c r="A1230" s="1"/>
      <c r="B1230" s="2" t="s">
        <v>909</v>
      </c>
      <c r="C1230" s="2" t="s">
        <v>1105</v>
      </c>
      <c r="D1230" s="2" t="s">
        <v>33</v>
      </c>
      <c r="E1230" s="7" t="s">
        <v>1875</v>
      </c>
      <c r="F1230" s="37">
        <v>42436.5625</v>
      </c>
      <c r="G1230" s="37">
        <v>42436.6875</v>
      </c>
      <c r="H1230" s="1" t="s">
        <v>6</v>
      </c>
      <c r="I1230" s="1" t="s">
        <v>38</v>
      </c>
      <c r="J1230" s="1">
        <v>42436.735706018517</v>
      </c>
      <c r="K1230" s="1" t="s">
        <v>2864</v>
      </c>
      <c r="L1230" s="14">
        <f>24*(TblTimeSheet[[#This Row],[End Date and Time]]-TblTimeSheet[[#This Row],[Start Date and Time]])</f>
        <v>3</v>
      </c>
      <c r="M12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0">
        <f>--(0&gt;(TblTimeSheet[[#This Row],[End Date and Time]]-TblTimeSheet[[#This Row],[Start Date and Time]]))</f>
        <v>0</v>
      </c>
    </row>
    <row r="1231" spans="1:14" x14ac:dyDescent="0.25">
      <c r="A1231" s="1"/>
      <c r="B1231" s="2" t="s">
        <v>913</v>
      </c>
      <c r="C1231" s="2" t="s">
        <v>116</v>
      </c>
      <c r="D1231" s="2" t="s">
        <v>32</v>
      </c>
      <c r="E1231" s="7" t="s">
        <v>1472</v>
      </c>
      <c r="F1231" s="37">
        <v>42436.732638888891</v>
      </c>
      <c r="G1231" s="37">
        <v>42436.736111111109</v>
      </c>
      <c r="H1231" s="1" t="s">
        <v>6</v>
      </c>
      <c r="I1231" s="1" t="s">
        <v>38</v>
      </c>
      <c r="J1231" s="1">
        <v>42436.739247685182</v>
      </c>
      <c r="K1231" s="1" t="s">
        <v>39</v>
      </c>
      <c r="L1231" s="14">
        <f>24*(TblTimeSheet[[#This Row],[End Date and Time]]-TblTimeSheet[[#This Row],[Start Date and Time]])</f>
        <v>8.3333333255723119E-2</v>
      </c>
      <c r="M12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31">
        <f>--(0&gt;(TblTimeSheet[[#This Row],[End Date and Time]]-TblTimeSheet[[#This Row],[Start Date and Time]]))</f>
        <v>0</v>
      </c>
    </row>
    <row r="1232" spans="1:14" ht="30" x14ac:dyDescent="0.25">
      <c r="A1232" s="1"/>
      <c r="B1232" s="2" t="s">
        <v>697</v>
      </c>
      <c r="C1232" s="2" t="s">
        <v>116</v>
      </c>
      <c r="D1232" s="2" t="s">
        <v>33</v>
      </c>
      <c r="E1232" s="7" t="s">
        <v>1876</v>
      </c>
      <c r="F1232" s="37">
        <v>42436.375</v>
      </c>
      <c r="G1232" s="37">
        <v>42436.541666666664</v>
      </c>
      <c r="H1232" s="1" t="s">
        <v>6</v>
      </c>
      <c r="I1232" s="1" t="s">
        <v>38</v>
      </c>
      <c r="J1232" s="1">
        <v>42436.736817129633</v>
      </c>
      <c r="K1232" s="1" t="s">
        <v>1026</v>
      </c>
      <c r="L1232" s="14">
        <f>24*(TblTimeSheet[[#This Row],[End Date and Time]]-TblTimeSheet[[#This Row],[Start Date and Time]])</f>
        <v>3.9999999999417923</v>
      </c>
      <c r="M12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2">
        <f>--(0&gt;(TblTimeSheet[[#This Row],[End Date and Time]]-TblTimeSheet[[#This Row],[Start Date and Time]]))</f>
        <v>0</v>
      </c>
    </row>
    <row r="1233" spans="1:14" x14ac:dyDescent="0.25">
      <c r="A1233" s="1"/>
      <c r="B1233" s="2" t="s">
        <v>913</v>
      </c>
      <c r="C1233" s="2" t="s">
        <v>118</v>
      </c>
      <c r="D1233" s="2" t="s">
        <v>32</v>
      </c>
      <c r="E1233" s="7" t="s">
        <v>1473</v>
      </c>
      <c r="F1233" s="37">
        <v>42436.732638888891</v>
      </c>
      <c r="G1233" s="37">
        <v>42436.736111111109</v>
      </c>
      <c r="H1233" s="1" t="s">
        <v>6</v>
      </c>
      <c r="I1233" s="1" t="s">
        <v>38</v>
      </c>
      <c r="J1233" s="1">
        <v>42436.738692129627</v>
      </c>
      <c r="K1233" s="1" t="s">
        <v>118</v>
      </c>
      <c r="L1233" s="14">
        <f>24*(TblTimeSheet[[#This Row],[End Date and Time]]-TblTimeSheet[[#This Row],[Start Date and Time]])</f>
        <v>8.3333333255723119E-2</v>
      </c>
      <c r="M12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3">
        <f>--(0&gt;(TblTimeSheet[[#This Row],[End Date and Time]]-TblTimeSheet[[#This Row],[Start Date and Time]]))</f>
        <v>0</v>
      </c>
    </row>
    <row r="1234" spans="1:14" ht="30" x14ac:dyDescent="0.25">
      <c r="A1234" s="1"/>
      <c r="B1234" s="2" t="s">
        <v>697</v>
      </c>
      <c r="C1234" s="2" t="s">
        <v>116</v>
      </c>
      <c r="D1234" s="2" t="s">
        <v>33</v>
      </c>
      <c r="E1234" s="7" t="s">
        <v>1877</v>
      </c>
      <c r="F1234" s="37">
        <v>42436.5625</v>
      </c>
      <c r="G1234" s="37">
        <v>42436.604166666664</v>
      </c>
      <c r="H1234" s="1" t="s">
        <v>6</v>
      </c>
      <c r="I1234" s="1" t="s">
        <v>38</v>
      </c>
      <c r="J1234" s="1">
        <v>42448.739004629628</v>
      </c>
      <c r="K1234" s="1" t="s">
        <v>1026</v>
      </c>
      <c r="L1234" s="14">
        <f>24*(TblTimeSheet[[#This Row],[End Date and Time]]-TblTimeSheet[[#This Row],[Start Date and Time]])</f>
        <v>0.99999999994179234</v>
      </c>
      <c r="M12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34">
        <f>--(0&gt;(TblTimeSheet[[#This Row],[End Date and Time]]-TblTimeSheet[[#This Row],[Start Date and Time]]))</f>
        <v>0</v>
      </c>
    </row>
    <row r="1235" spans="1:14" x14ac:dyDescent="0.25">
      <c r="A1235" s="1"/>
      <c r="B1235" s="2" t="s">
        <v>913</v>
      </c>
      <c r="C1235" s="2" t="s">
        <v>43</v>
      </c>
      <c r="D1235" s="2" t="s">
        <v>32</v>
      </c>
      <c r="E1235" s="7" t="s">
        <v>1474</v>
      </c>
      <c r="F1235" s="37">
        <v>42434.736111111109</v>
      </c>
      <c r="G1235" s="37">
        <v>42434.739583333336</v>
      </c>
      <c r="H1235" s="1" t="s">
        <v>6</v>
      </c>
      <c r="I1235" s="1" t="s">
        <v>38</v>
      </c>
      <c r="J1235" s="1">
        <v>42437.403923611113</v>
      </c>
      <c r="K1235" s="1" t="s">
        <v>43</v>
      </c>
      <c r="L1235" s="14">
        <f>24*(TblTimeSheet[[#This Row],[End Date and Time]]-TblTimeSheet[[#This Row],[Start Date and Time]])</f>
        <v>8.3333333430346102E-2</v>
      </c>
      <c r="M12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5">
        <f>--(0&gt;(TblTimeSheet[[#This Row],[End Date and Time]]-TblTimeSheet[[#This Row],[Start Date and Time]]))</f>
        <v>0</v>
      </c>
    </row>
    <row r="1236" spans="1:14" x14ac:dyDescent="0.25">
      <c r="A1236" s="1"/>
      <c r="B1236" s="2" t="s">
        <v>915</v>
      </c>
      <c r="C1236" s="2" t="s">
        <v>961</v>
      </c>
      <c r="D1236" s="2" t="s">
        <v>20</v>
      </c>
      <c r="E1236" s="7" t="s">
        <v>1475</v>
      </c>
      <c r="F1236" s="37">
        <v>42436.618055555555</v>
      </c>
      <c r="G1236" s="37">
        <v>42436.635416666664</v>
      </c>
      <c r="H1236" s="1" t="s">
        <v>6</v>
      </c>
      <c r="I1236" s="1" t="s">
        <v>38</v>
      </c>
      <c r="J1236" s="1">
        <v>42437.410243055558</v>
      </c>
      <c r="K1236" s="1" t="s">
        <v>961</v>
      </c>
      <c r="L1236" s="14">
        <f>24*(TblTimeSheet[[#This Row],[End Date and Time]]-TblTimeSheet[[#This Row],[Start Date and Time]])</f>
        <v>0.41666666662786156</v>
      </c>
      <c r="M12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6">
        <f>--(0&gt;(TblTimeSheet[[#This Row],[End Date and Time]]-TblTimeSheet[[#This Row],[Start Date and Time]]))</f>
        <v>0</v>
      </c>
    </row>
    <row r="1237" spans="1:14" x14ac:dyDescent="0.25">
      <c r="A1237" s="1"/>
      <c r="B1237" s="2" t="s">
        <v>915</v>
      </c>
      <c r="C1237" s="2" t="s">
        <v>41</v>
      </c>
      <c r="D1237" s="2" t="s">
        <v>20</v>
      </c>
      <c r="E1237" s="7" t="s">
        <v>1476</v>
      </c>
      <c r="F1237" s="37">
        <v>42437.427083333336</v>
      </c>
      <c r="G1237" s="37">
        <v>42437.447916666664</v>
      </c>
      <c r="H1237" s="1" t="s">
        <v>6</v>
      </c>
      <c r="I1237" s="1" t="s">
        <v>38</v>
      </c>
      <c r="J1237" s="1">
        <v>42437.450289351851</v>
      </c>
      <c r="K1237" s="1" t="s">
        <v>41</v>
      </c>
      <c r="L1237" s="14">
        <f>24*(TblTimeSheet[[#This Row],[End Date and Time]]-TblTimeSheet[[#This Row],[Start Date and Time]])</f>
        <v>0.49999999988358468</v>
      </c>
      <c r="M12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7">
        <f>--(0&gt;(TblTimeSheet[[#This Row],[End Date and Time]]-TblTimeSheet[[#This Row],[Start Date and Time]]))</f>
        <v>0</v>
      </c>
    </row>
    <row r="1238" spans="1:14" x14ac:dyDescent="0.25">
      <c r="A1238" s="1"/>
      <c r="B1238" s="2" t="s">
        <v>915</v>
      </c>
      <c r="C1238" s="2" t="s">
        <v>1117</v>
      </c>
      <c r="D1238" s="2" t="s">
        <v>20</v>
      </c>
      <c r="E1238" s="7" t="s">
        <v>1477</v>
      </c>
      <c r="F1238" s="37">
        <v>42437.427083333336</v>
      </c>
      <c r="G1238" s="37">
        <v>42437.447916666664</v>
      </c>
      <c r="H1238" s="1" t="s">
        <v>6</v>
      </c>
      <c r="I1238" s="1" t="s">
        <v>38</v>
      </c>
      <c r="J1238" s="1">
        <v>42437.458518518521</v>
      </c>
      <c r="K1238" s="1" t="s">
        <v>2865</v>
      </c>
      <c r="L1238" s="14">
        <f>24*(TblTimeSheet[[#This Row],[End Date and Time]]-TblTimeSheet[[#This Row],[Start Date and Time]])</f>
        <v>0.49999999988358468</v>
      </c>
      <c r="M12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38">
        <f>--(0&gt;(TblTimeSheet[[#This Row],[End Date and Time]]-TblTimeSheet[[#This Row],[Start Date and Time]]))</f>
        <v>0</v>
      </c>
    </row>
    <row r="1239" spans="1:14" x14ac:dyDescent="0.25">
      <c r="A1239" s="1"/>
      <c r="B1239" s="2" t="s">
        <v>915</v>
      </c>
      <c r="C1239" s="2" t="s">
        <v>116</v>
      </c>
      <c r="D1239" s="2" t="s">
        <v>20</v>
      </c>
      <c r="E1239" s="7" t="s">
        <v>1878</v>
      </c>
      <c r="F1239" s="37">
        <v>42437.427083333336</v>
      </c>
      <c r="G1239" s="37">
        <v>42437.447916666664</v>
      </c>
      <c r="H1239" s="1" t="s">
        <v>6</v>
      </c>
      <c r="I1239" s="1" t="s">
        <v>38</v>
      </c>
      <c r="J1239" s="1">
        <v>42437.452592592592</v>
      </c>
      <c r="K1239" s="1" t="s">
        <v>701</v>
      </c>
      <c r="L1239" s="14">
        <f>24*(TblTimeSheet[[#This Row],[End Date and Time]]-TblTimeSheet[[#This Row],[Start Date and Time]])</f>
        <v>0.49999999988358468</v>
      </c>
      <c r="M12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39">
        <f>--(0&gt;(TblTimeSheet[[#This Row],[End Date and Time]]-TblTimeSheet[[#This Row],[Start Date and Time]]))</f>
        <v>0</v>
      </c>
    </row>
    <row r="1240" spans="1:14" x14ac:dyDescent="0.25">
      <c r="A1240" s="1"/>
      <c r="B1240" s="2" t="s">
        <v>915</v>
      </c>
      <c r="C1240" s="2" t="s">
        <v>118</v>
      </c>
      <c r="D1240" s="2" t="s">
        <v>20</v>
      </c>
      <c r="E1240" s="7" t="s">
        <v>1879</v>
      </c>
      <c r="F1240" s="37">
        <v>42437.427083333336</v>
      </c>
      <c r="G1240" s="37">
        <v>42437.447916666664</v>
      </c>
      <c r="H1240" s="1" t="s">
        <v>6</v>
      </c>
      <c r="I1240" s="1" t="s">
        <v>38</v>
      </c>
      <c r="J1240" s="1">
        <v>42437.453356481485</v>
      </c>
      <c r="K1240" s="1" t="s">
        <v>118</v>
      </c>
      <c r="L1240" s="14">
        <f>24*(TblTimeSheet[[#This Row],[End Date and Time]]-TblTimeSheet[[#This Row],[Start Date and Time]])</f>
        <v>0.49999999988358468</v>
      </c>
      <c r="M12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0">
        <f>--(0&gt;(TblTimeSheet[[#This Row],[End Date and Time]]-TblTimeSheet[[#This Row],[Start Date and Time]]))</f>
        <v>0</v>
      </c>
    </row>
    <row r="1241" spans="1:14" x14ac:dyDescent="0.25">
      <c r="A1241" s="1"/>
      <c r="B1241" s="2" t="s">
        <v>915</v>
      </c>
      <c r="C1241" s="2" t="s">
        <v>36</v>
      </c>
      <c r="D1241" s="2" t="s">
        <v>20</v>
      </c>
      <c r="E1241" s="7" t="s">
        <v>1478</v>
      </c>
      <c r="F1241" s="37">
        <v>42437.427083333336</v>
      </c>
      <c r="G1241" s="37">
        <v>42437.447916666664</v>
      </c>
      <c r="H1241" s="1" t="s">
        <v>6</v>
      </c>
      <c r="I1241" s="1" t="s">
        <v>38</v>
      </c>
      <c r="J1241" s="1">
        <v>42437.454675925925</v>
      </c>
      <c r="K1241" s="1" t="s">
        <v>36</v>
      </c>
      <c r="L1241" s="14">
        <f>24*(TblTimeSheet[[#This Row],[End Date and Time]]-TblTimeSheet[[#This Row],[Start Date and Time]])</f>
        <v>0.49999999988358468</v>
      </c>
      <c r="M12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1">
        <f>--(0&gt;(TblTimeSheet[[#This Row],[End Date and Time]]-TblTimeSheet[[#This Row],[Start Date and Time]]))</f>
        <v>0</v>
      </c>
    </row>
    <row r="1242" spans="1:14" x14ac:dyDescent="0.25">
      <c r="A1242" s="1"/>
      <c r="B1242" s="2" t="s">
        <v>915</v>
      </c>
      <c r="C1242" s="2" t="s">
        <v>43</v>
      </c>
      <c r="D1242" s="2" t="s">
        <v>20</v>
      </c>
      <c r="E1242" s="7" t="s">
        <v>1479</v>
      </c>
      <c r="F1242" s="37">
        <v>42437.427083333336</v>
      </c>
      <c r="G1242" s="37">
        <v>42437.447916666664</v>
      </c>
      <c r="H1242" s="1" t="s">
        <v>6</v>
      </c>
      <c r="I1242" s="1" t="s">
        <v>38</v>
      </c>
      <c r="J1242" s="1">
        <v>42437.455995370372</v>
      </c>
      <c r="K1242" s="1" t="s">
        <v>43</v>
      </c>
      <c r="L1242" s="14">
        <f>24*(TblTimeSheet[[#This Row],[End Date and Time]]-TblTimeSheet[[#This Row],[Start Date and Time]])</f>
        <v>0.49999999988358468</v>
      </c>
      <c r="M12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2">
        <f>--(0&gt;(TblTimeSheet[[#This Row],[End Date and Time]]-TblTimeSheet[[#This Row],[Start Date and Time]]))</f>
        <v>0</v>
      </c>
    </row>
    <row r="1243" spans="1:14" x14ac:dyDescent="0.25">
      <c r="A1243" s="1"/>
      <c r="B1243" s="2" t="s">
        <v>915</v>
      </c>
      <c r="C1243" s="2" t="s">
        <v>116</v>
      </c>
      <c r="D1243" s="2" t="s">
        <v>20</v>
      </c>
      <c r="E1243" s="7" t="s">
        <v>1880</v>
      </c>
      <c r="F1243" s="37">
        <v>42437.427083333336</v>
      </c>
      <c r="G1243" s="37">
        <v>42437.447916666664</v>
      </c>
      <c r="H1243" s="1" t="s">
        <v>6</v>
      </c>
      <c r="I1243" s="1" t="s">
        <v>38</v>
      </c>
      <c r="J1243" s="1">
        <v>42437.457118055558</v>
      </c>
      <c r="K1243" s="1" t="s">
        <v>81</v>
      </c>
      <c r="L1243" s="14">
        <f>24*(TblTimeSheet[[#This Row],[End Date and Time]]-TblTimeSheet[[#This Row],[Start Date and Time]])</f>
        <v>0.49999999988358468</v>
      </c>
      <c r="M12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43">
        <f>--(0&gt;(TblTimeSheet[[#This Row],[End Date and Time]]-TblTimeSheet[[#This Row],[Start Date and Time]]))</f>
        <v>0</v>
      </c>
    </row>
    <row r="1244" spans="1:14" x14ac:dyDescent="0.25">
      <c r="A1244" s="1"/>
      <c r="B1244" s="2" t="s">
        <v>911</v>
      </c>
      <c r="C1244" s="2" t="s">
        <v>118</v>
      </c>
      <c r="D1244" s="2" t="s">
        <v>32</v>
      </c>
      <c r="E1244" s="7" t="s">
        <v>1480</v>
      </c>
      <c r="F1244" s="37">
        <v>42437.375</v>
      </c>
      <c r="G1244" s="37">
        <v>42437.416666666664</v>
      </c>
      <c r="H1244" s="1" t="s">
        <v>6</v>
      </c>
      <c r="I1244" s="1" t="s">
        <v>38</v>
      </c>
      <c r="J1244" s="1">
        <v>42437.463796296295</v>
      </c>
      <c r="K1244" s="1" t="s">
        <v>118</v>
      </c>
      <c r="L1244" s="14">
        <f>24*(TblTimeSheet[[#This Row],[End Date and Time]]-TblTimeSheet[[#This Row],[Start Date and Time]])</f>
        <v>0.99999999994179234</v>
      </c>
      <c r="M12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4">
        <f>--(0&gt;(TblTimeSheet[[#This Row],[End Date and Time]]-TblTimeSheet[[#This Row],[Start Date and Time]]))</f>
        <v>0</v>
      </c>
    </row>
    <row r="1245" spans="1:14" x14ac:dyDescent="0.25">
      <c r="A1245" s="1"/>
      <c r="B1245" s="2" t="s">
        <v>913</v>
      </c>
      <c r="C1245" s="2" t="s">
        <v>36</v>
      </c>
      <c r="D1245" s="2" t="s">
        <v>32</v>
      </c>
      <c r="E1245" s="7" t="s">
        <v>1555</v>
      </c>
      <c r="F1245" s="37">
        <v>42436.732638888891</v>
      </c>
      <c r="G1245" s="37">
        <v>42436.736111111109</v>
      </c>
      <c r="H1245" s="1" t="s">
        <v>6</v>
      </c>
      <c r="I1245" s="1" t="s">
        <v>38</v>
      </c>
      <c r="J1245" s="1">
        <v>42437.478414351855</v>
      </c>
      <c r="K1245" s="1" t="s">
        <v>36</v>
      </c>
      <c r="L1245" s="14">
        <f>24*(TblTimeSheet[[#This Row],[End Date and Time]]-TblTimeSheet[[#This Row],[Start Date and Time]])</f>
        <v>8.3333333255723119E-2</v>
      </c>
      <c r="M12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5">
        <f>--(0&gt;(TblTimeSheet[[#This Row],[End Date and Time]]-TblTimeSheet[[#This Row],[Start Date and Time]]))</f>
        <v>0</v>
      </c>
    </row>
    <row r="1246" spans="1:14" x14ac:dyDescent="0.25">
      <c r="A1246" s="1"/>
      <c r="B1246" s="2" t="s">
        <v>697</v>
      </c>
      <c r="C1246" s="2" t="s">
        <v>43</v>
      </c>
      <c r="D1246" s="2" t="s">
        <v>33</v>
      </c>
      <c r="E1246" s="7" t="s">
        <v>1881</v>
      </c>
      <c r="F1246" s="37">
        <v>42437.520833333336</v>
      </c>
      <c r="G1246" s="37">
        <v>42437.53125</v>
      </c>
      <c r="H1246" s="1" t="s">
        <v>6</v>
      </c>
      <c r="I1246" s="1" t="s">
        <v>38</v>
      </c>
      <c r="J1246" s="1">
        <v>42437.534351851849</v>
      </c>
      <c r="K1246" s="1" t="s">
        <v>43</v>
      </c>
      <c r="L1246" s="14">
        <f>24*(TblTimeSheet[[#This Row],[End Date and Time]]-TblTimeSheet[[#This Row],[Start Date and Time]])</f>
        <v>0.24999999994179234</v>
      </c>
      <c r="M12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6">
        <f>--(0&gt;(TblTimeSheet[[#This Row],[End Date and Time]]-TblTimeSheet[[#This Row],[Start Date and Time]]))</f>
        <v>0</v>
      </c>
    </row>
    <row r="1247" spans="1:14" x14ac:dyDescent="0.25">
      <c r="A1247" s="1"/>
      <c r="B1247" s="2" t="s">
        <v>697</v>
      </c>
      <c r="C1247" s="2" t="s">
        <v>118</v>
      </c>
      <c r="D1247" s="2" t="s">
        <v>33</v>
      </c>
      <c r="E1247" s="7" t="s">
        <v>1481</v>
      </c>
      <c r="F1247" s="37">
        <v>42437.520833333336</v>
      </c>
      <c r="G1247" s="37">
        <v>42437.53125</v>
      </c>
      <c r="H1247" s="1" t="s">
        <v>6</v>
      </c>
      <c r="I1247" s="1" t="s">
        <v>38</v>
      </c>
      <c r="J1247" s="1">
        <v>42437.534456018519</v>
      </c>
      <c r="K1247" s="1" t="s">
        <v>118</v>
      </c>
      <c r="L1247" s="14">
        <f>24*(TblTimeSheet[[#This Row],[End Date and Time]]-TblTimeSheet[[#This Row],[Start Date and Time]])</f>
        <v>0.24999999994179234</v>
      </c>
      <c r="M12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7">
        <f>--(0&gt;(TblTimeSheet[[#This Row],[End Date and Time]]-TblTimeSheet[[#This Row],[Start Date and Time]]))</f>
        <v>0</v>
      </c>
    </row>
    <row r="1248" spans="1:14" x14ac:dyDescent="0.25">
      <c r="A1248" s="1"/>
      <c r="B1248" s="2" t="s">
        <v>911</v>
      </c>
      <c r="C1248" s="2" t="s">
        <v>118</v>
      </c>
      <c r="D1248" s="2" t="s">
        <v>32</v>
      </c>
      <c r="E1248" s="7" t="s">
        <v>1482</v>
      </c>
      <c r="F1248" s="37">
        <v>42437.458333333336</v>
      </c>
      <c r="G1248" s="37">
        <v>42437.5</v>
      </c>
      <c r="H1248" s="1" t="s">
        <v>6</v>
      </c>
      <c r="I1248" s="1" t="s">
        <v>38</v>
      </c>
      <c r="J1248" s="1">
        <v>42437.535104166665</v>
      </c>
      <c r="K1248" s="1" t="s">
        <v>118</v>
      </c>
      <c r="L1248" s="14">
        <f>24*(TblTimeSheet[[#This Row],[End Date and Time]]-TblTimeSheet[[#This Row],[Start Date and Time]])</f>
        <v>0.99999999994179234</v>
      </c>
      <c r="M12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48">
        <f>--(0&gt;(TblTimeSheet[[#This Row],[End Date and Time]]-TblTimeSheet[[#This Row],[Start Date and Time]]))</f>
        <v>0</v>
      </c>
    </row>
    <row r="1249" spans="1:14" ht="30" x14ac:dyDescent="0.25">
      <c r="A1249" s="1"/>
      <c r="B1249" s="2" t="s">
        <v>697</v>
      </c>
      <c r="C1249" s="2" t="s">
        <v>116</v>
      </c>
      <c r="D1249" s="2" t="s">
        <v>33</v>
      </c>
      <c r="E1249" s="7" t="s">
        <v>1483</v>
      </c>
      <c r="F1249" s="37">
        <v>42437.520833333336</v>
      </c>
      <c r="G1249" s="37">
        <v>42437.53125</v>
      </c>
      <c r="H1249" s="1" t="s">
        <v>6</v>
      </c>
      <c r="I1249" s="1" t="s">
        <v>38</v>
      </c>
      <c r="J1249" s="1">
        <v>42437.72047453704</v>
      </c>
      <c r="K1249" s="1" t="s">
        <v>39</v>
      </c>
      <c r="L1249" s="14">
        <f>24*(TblTimeSheet[[#This Row],[End Date and Time]]-TblTimeSheet[[#This Row],[Start Date and Time]])</f>
        <v>0.24999999994179234</v>
      </c>
      <c r="M12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49">
        <f>--(0&gt;(TblTimeSheet[[#This Row],[End Date and Time]]-TblTimeSheet[[#This Row],[Start Date and Time]]))</f>
        <v>0</v>
      </c>
    </row>
    <row r="1250" spans="1:14" x14ac:dyDescent="0.25">
      <c r="A1250" s="1"/>
      <c r="B1250" s="2" t="s">
        <v>913</v>
      </c>
      <c r="C1250" s="2" t="s">
        <v>118</v>
      </c>
      <c r="D1250" s="2" t="s">
        <v>32</v>
      </c>
      <c r="E1250" s="7" t="s">
        <v>1484</v>
      </c>
      <c r="F1250" s="37">
        <v>42437.597222222219</v>
      </c>
      <c r="G1250" s="37">
        <v>42437.604166666664</v>
      </c>
      <c r="H1250" s="1" t="s">
        <v>6</v>
      </c>
      <c r="I1250" s="1" t="s">
        <v>38</v>
      </c>
      <c r="J1250" s="1">
        <v>42437.620798611111</v>
      </c>
      <c r="K1250" s="1" t="s">
        <v>118</v>
      </c>
      <c r="L1250" s="14">
        <f>24*(TblTimeSheet[[#This Row],[End Date and Time]]-TblTimeSheet[[#This Row],[Start Date and Time]])</f>
        <v>0.16666666668606922</v>
      </c>
      <c r="M12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0">
        <f>--(0&gt;(TblTimeSheet[[#This Row],[End Date and Time]]-TblTimeSheet[[#This Row],[Start Date and Time]]))</f>
        <v>0</v>
      </c>
    </row>
    <row r="1251" spans="1:14" x14ac:dyDescent="0.25">
      <c r="A1251" s="1"/>
      <c r="B1251" s="2" t="s">
        <v>913</v>
      </c>
      <c r="C1251" s="2" t="s">
        <v>116</v>
      </c>
      <c r="D1251" s="2" t="s">
        <v>32</v>
      </c>
      <c r="E1251" s="7" t="s">
        <v>1485</v>
      </c>
      <c r="F1251" s="37">
        <v>42437.597222222219</v>
      </c>
      <c r="G1251" s="37">
        <v>42437.604166666664</v>
      </c>
      <c r="H1251" s="1" t="s">
        <v>6</v>
      </c>
      <c r="I1251" s="1" t="s">
        <v>38</v>
      </c>
      <c r="J1251" s="1">
        <v>42437.721134259256</v>
      </c>
      <c r="K1251" s="1" t="s">
        <v>39</v>
      </c>
      <c r="L1251" s="14">
        <f>24*(TblTimeSheet[[#This Row],[End Date and Time]]-TblTimeSheet[[#This Row],[Start Date and Time]])</f>
        <v>0.16666666668606922</v>
      </c>
      <c r="M12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51">
        <f>--(0&gt;(TblTimeSheet[[#This Row],[End Date and Time]]-TblTimeSheet[[#This Row],[Start Date and Time]]))</f>
        <v>0</v>
      </c>
    </row>
    <row r="1252" spans="1:14" x14ac:dyDescent="0.25">
      <c r="A1252" s="1"/>
      <c r="B1252" s="2" t="s">
        <v>913</v>
      </c>
      <c r="C1252" s="2" t="s">
        <v>171</v>
      </c>
      <c r="D1252" s="2" t="s">
        <v>32</v>
      </c>
      <c r="E1252" s="7" t="s">
        <v>1486</v>
      </c>
      <c r="F1252" s="37">
        <v>42437.597222222219</v>
      </c>
      <c r="G1252" s="37">
        <v>42437.604166666664</v>
      </c>
      <c r="H1252" s="1" t="s">
        <v>6</v>
      </c>
      <c r="I1252" s="1" t="s">
        <v>38</v>
      </c>
      <c r="J1252" s="1">
        <v>42437.62332175926</v>
      </c>
      <c r="K1252" s="1" t="s">
        <v>171</v>
      </c>
      <c r="L1252" s="14">
        <f>24*(TblTimeSheet[[#This Row],[End Date and Time]]-TblTimeSheet[[#This Row],[Start Date and Time]])</f>
        <v>0.16666666668606922</v>
      </c>
      <c r="M12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2">
        <f>--(0&gt;(TblTimeSheet[[#This Row],[End Date and Time]]-TblTimeSheet[[#This Row],[Start Date and Time]]))</f>
        <v>0</v>
      </c>
    </row>
    <row r="1253" spans="1:14" x14ac:dyDescent="0.25">
      <c r="A1253" s="1"/>
      <c r="B1253" s="2" t="s">
        <v>913</v>
      </c>
      <c r="C1253" s="2" t="s">
        <v>36</v>
      </c>
      <c r="D1253" s="2" t="s">
        <v>32</v>
      </c>
      <c r="E1253" s="7" t="s">
        <v>1487</v>
      </c>
      <c r="F1253" s="37">
        <v>42437.520833333336</v>
      </c>
      <c r="G1253" s="37">
        <v>42437.534722222219</v>
      </c>
      <c r="H1253" s="1" t="s">
        <v>6</v>
      </c>
      <c r="I1253" s="1" t="s">
        <v>38</v>
      </c>
      <c r="J1253" s="1">
        <v>42437.690983796296</v>
      </c>
      <c r="K1253" s="1" t="s">
        <v>36</v>
      </c>
      <c r="L1253" s="14">
        <f>24*(TblTimeSheet[[#This Row],[End Date and Time]]-TblTimeSheet[[#This Row],[Start Date and Time]])</f>
        <v>0.33333333319751546</v>
      </c>
      <c r="M12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3">
        <f>--(0&gt;(TblTimeSheet[[#This Row],[End Date and Time]]-TblTimeSheet[[#This Row],[Start Date and Time]]))</f>
        <v>0</v>
      </c>
    </row>
    <row r="1254" spans="1:14" x14ac:dyDescent="0.25">
      <c r="A1254" s="1"/>
      <c r="B1254" s="2" t="s">
        <v>913</v>
      </c>
      <c r="C1254" s="2" t="s">
        <v>36</v>
      </c>
      <c r="D1254" s="2" t="s">
        <v>32</v>
      </c>
      <c r="E1254" s="7" t="s">
        <v>1882</v>
      </c>
      <c r="F1254" s="37">
        <v>42437.597222222219</v>
      </c>
      <c r="G1254" s="37">
        <v>42437.604166666664</v>
      </c>
      <c r="H1254" s="1" t="s">
        <v>6</v>
      </c>
      <c r="I1254" s="1" t="s">
        <v>38</v>
      </c>
      <c r="J1254" s="1">
        <v>42437.691678240742</v>
      </c>
      <c r="K1254" s="1" t="s">
        <v>36</v>
      </c>
      <c r="L1254" s="14">
        <f>24*(TblTimeSheet[[#This Row],[End Date and Time]]-TblTimeSheet[[#This Row],[Start Date and Time]])</f>
        <v>0.16666666668606922</v>
      </c>
      <c r="M12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4">
        <f>--(0&gt;(TblTimeSheet[[#This Row],[End Date and Time]]-TblTimeSheet[[#This Row],[Start Date and Time]]))</f>
        <v>0</v>
      </c>
    </row>
    <row r="1255" spans="1:14" x14ac:dyDescent="0.25">
      <c r="A1255" s="1"/>
      <c r="B1255" s="2" t="s">
        <v>911</v>
      </c>
      <c r="C1255" s="2" t="s">
        <v>118</v>
      </c>
      <c r="D1255" s="2" t="s">
        <v>32</v>
      </c>
      <c r="E1255" s="7" t="s">
        <v>1488</v>
      </c>
      <c r="F1255" s="37">
        <v>42437.666666666664</v>
      </c>
      <c r="G1255" s="37">
        <v>42437.694444444445</v>
      </c>
      <c r="H1255" s="1" t="s">
        <v>6</v>
      </c>
      <c r="I1255" s="1" t="s">
        <v>38</v>
      </c>
      <c r="J1255" s="1">
        <v>42437.695763888885</v>
      </c>
      <c r="K1255" s="1" t="s">
        <v>118</v>
      </c>
      <c r="L1255" s="14">
        <f>24*(TblTimeSheet[[#This Row],[End Date and Time]]-TblTimeSheet[[#This Row],[Start Date and Time]])</f>
        <v>0.66666666674427688</v>
      </c>
      <c r="M12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5">
        <f>--(0&gt;(TblTimeSheet[[#This Row],[End Date and Time]]-TblTimeSheet[[#This Row],[Start Date and Time]]))</f>
        <v>0</v>
      </c>
    </row>
    <row r="1256" spans="1:14" ht="30" x14ac:dyDescent="0.25">
      <c r="A1256" s="1"/>
      <c r="B1256" s="2" t="s">
        <v>913</v>
      </c>
      <c r="C1256" s="2" t="s">
        <v>43</v>
      </c>
      <c r="D1256" s="2" t="s">
        <v>32</v>
      </c>
      <c r="E1256" s="7" t="s">
        <v>1489</v>
      </c>
      <c r="F1256" s="37">
        <v>42437.597222222219</v>
      </c>
      <c r="G1256" s="37">
        <v>42437.604166666664</v>
      </c>
      <c r="H1256" s="1" t="s">
        <v>6</v>
      </c>
      <c r="I1256" s="1" t="s">
        <v>38</v>
      </c>
      <c r="J1256" s="1">
        <v>42437.696863425925</v>
      </c>
      <c r="K1256" s="1" t="s">
        <v>43</v>
      </c>
      <c r="L1256" s="14">
        <f>24*(TblTimeSheet[[#This Row],[End Date and Time]]-TblTimeSheet[[#This Row],[Start Date and Time]])</f>
        <v>0.16666666668606922</v>
      </c>
      <c r="M12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6">
        <f>--(0&gt;(TblTimeSheet[[#This Row],[End Date and Time]]-TblTimeSheet[[#This Row],[Start Date and Time]]))</f>
        <v>0</v>
      </c>
    </row>
    <row r="1257" spans="1:14" x14ac:dyDescent="0.25">
      <c r="A1257" s="1"/>
      <c r="B1257" s="2" t="s">
        <v>911</v>
      </c>
      <c r="C1257" s="2" t="s">
        <v>1117</v>
      </c>
      <c r="D1257" s="2" t="s">
        <v>32</v>
      </c>
      <c r="E1257" s="7" t="s">
        <v>1753</v>
      </c>
      <c r="F1257" s="37">
        <v>42437.666666666664</v>
      </c>
      <c r="G1257" s="37">
        <v>42437.694444444445</v>
      </c>
      <c r="H1257" s="1" t="s">
        <v>6</v>
      </c>
      <c r="I1257" s="1" t="s">
        <v>38</v>
      </c>
      <c r="J1257" s="1">
        <v>42437.698229166665</v>
      </c>
      <c r="K1257" s="1" t="s">
        <v>2865</v>
      </c>
      <c r="L1257" s="14">
        <f>24*(TblTimeSheet[[#This Row],[End Date and Time]]-TblTimeSheet[[#This Row],[Start Date and Time]])</f>
        <v>0.66666666674427688</v>
      </c>
      <c r="M12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7">
        <f>--(0&gt;(TblTimeSheet[[#This Row],[End Date and Time]]-TblTimeSheet[[#This Row],[Start Date and Time]]))</f>
        <v>0</v>
      </c>
    </row>
    <row r="1258" spans="1:14" x14ac:dyDescent="0.25">
      <c r="A1258" s="1"/>
      <c r="B1258" s="2" t="s">
        <v>697</v>
      </c>
      <c r="C1258" s="2" t="s">
        <v>124</v>
      </c>
      <c r="D1258" s="2" t="s">
        <v>33</v>
      </c>
      <c r="E1258" s="7" t="s">
        <v>449</v>
      </c>
      <c r="F1258" s="37">
        <v>42437.520833333336</v>
      </c>
      <c r="G1258" s="37">
        <v>42437.53125</v>
      </c>
      <c r="H1258" s="1" t="s">
        <v>6</v>
      </c>
      <c r="I1258" s="1" t="s">
        <v>38</v>
      </c>
      <c r="J1258" s="1">
        <v>42437.699560185189</v>
      </c>
      <c r="K1258" s="1" t="s">
        <v>2863</v>
      </c>
      <c r="L1258" s="14">
        <f>24*(TblTimeSheet[[#This Row],[End Date and Time]]-TblTimeSheet[[#This Row],[Start Date and Time]])</f>
        <v>0.24999999994179234</v>
      </c>
      <c r="M12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8">
        <f>--(0&gt;(TblTimeSheet[[#This Row],[End Date and Time]]-TblTimeSheet[[#This Row],[Start Date and Time]]))</f>
        <v>0</v>
      </c>
    </row>
    <row r="1259" spans="1:14" x14ac:dyDescent="0.25">
      <c r="A1259" s="1"/>
      <c r="B1259" s="2" t="s">
        <v>911</v>
      </c>
      <c r="C1259" s="2" t="s">
        <v>1117</v>
      </c>
      <c r="D1259" s="2" t="s">
        <v>32</v>
      </c>
      <c r="E1259" s="7" t="s">
        <v>1490</v>
      </c>
      <c r="F1259" s="37">
        <v>42437.451388888891</v>
      </c>
      <c r="G1259" s="37">
        <v>42437.541666666664</v>
      </c>
      <c r="H1259" s="1" t="s">
        <v>6</v>
      </c>
      <c r="I1259" s="1" t="s">
        <v>38</v>
      </c>
      <c r="J1259" s="1">
        <v>42438.68677083333</v>
      </c>
      <c r="K1259" s="1" t="s">
        <v>2865</v>
      </c>
      <c r="L1259" s="14">
        <f>24*(TblTimeSheet[[#This Row],[End Date and Time]]-TblTimeSheet[[#This Row],[Start Date and Time]])</f>
        <v>2.1666666665696539</v>
      </c>
      <c r="M12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59">
        <f>--(0&gt;(TblTimeSheet[[#This Row],[End Date and Time]]-TblTimeSheet[[#This Row],[Start Date and Time]]))</f>
        <v>0</v>
      </c>
    </row>
    <row r="1260" spans="1:14" x14ac:dyDescent="0.25">
      <c r="A1260" s="1"/>
      <c r="B1260" s="2" t="s">
        <v>911</v>
      </c>
      <c r="C1260" s="2" t="s">
        <v>1117</v>
      </c>
      <c r="D1260" s="2" t="s">
        <v>32</v>
      </c>
      <c r="E1260" s="7" t="s">
        <v>1491</v>
      </c>
      <c r="F1260" s="37">
        <v>42437.590277777781</v>
      </c>
      <c r="G1260" s="37">
        <v>42437.625</v>
      </c>
      <c r="H1260" s="1" t="s">
        <v>6</v>
      </c>
      <c r="I1260" s="1" t="s">
        <v>38</v>
      </c>
      <c r="J1260" s="1">
        <v>42437.702199074076</v>
      </c>
      <c r="K1260" s="1" t="s">
        <v>2865</v>
      </c>
      <c r="L1260" s="14">
        <f>24*(TblTimeSheet[[#This Row],[End Date and Time]]-TblTimeSheet[[#This Row],[Start Date and Time]])</f>
        <v>0.83333333325572312</v>
      </c>
      <c r="M12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0">
        <f>--(0&gt;(TblTimeSheet[[#This Row],[End Date and Time]]-TblTimeSheet[[#This Row],[Start Date and Time]]))</f>
        <v>0</v>
      </c>
    </row>
    <row r="1261" spans="1:14" x14ac:dyDescent="0.25">
      <c r="A1261" s="1"/>
      <c r="B1261" s="2" t="s">
        <v>911</v>
      </c>
      <c r="C1261" s="2" t="s">
        <v>1117</v>
      </c>
      <c r="D1261" s="2" t="s">
        <v>32</v>
      </c>
      <c r="E1261" s="7" t="s">
        <v>1883</v>
      </c>
      <c r="F1261" s="37">
        <v>42437.625</v>
      </c>
      <c r="G1261" s="37">
        <v>42437.666666666664</v>
      </c>
      <c r="H1261" s="1" t="s">
        <v>6</v>
      </c>
      <c r="I1261" s="1" t="s">
        <v>38</v>
      </c>
      <c r="J1261" s="1">
        <v>42437.702800925923</v>
      </c>
      <c r="K1261" s="1" t="s">
        <v>2865</v>
      </c>
      <c r="L1261" s="14">
        <f>24*(TblTimeSheet[[#This Row],[End Date and Time]]-TblTimeSheet[[#This Row],[Start Date and Time]])</f>
        <v>0.99999999994179234</v>
      </c>
      <c r="M12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1">
        <f>--(0&gt;(TblTimeSheet[[#This Row],[End Date and Time]]-TblTimeSheet[[#This Row],[Start Date and Time]]))</f>
        <v>0</v>
      </c>
    </row>
    <row r="1262" spans="1:14" x14ac:dyDescent="0.25">
      <c r="A1262" s="1"/>
      <c r="B1262" s="2" t="s">
        <v>913</v>
      </c>
      <c r="C1262" s="2" t="s">
        <v>171</v>
      </c>
      <c r="D1262" s="2" t="s">
        <v>32</v>
      </c>
      <c r="E1262" s="7" t="s">
        <v>1492</v>
      </c>
      <c r="F1262" s="37">
        <v>42437.694444444445</v>
      </c>
      <c r="G1262" s="37">
        <v>42437.697916666664</v>
      </c>
      <c r="H1262" s="1" t="s">
        <v>6</v>
      </c>
      <c r="I1262" s="1" t="s">
        <v>38</v>
      </c>
      <c r="J1262" s="1">
        <v>42437.725034722222</v>
      </c>
      <c r="K1262" s="1" t="s">
        <v>171</v>
      </c>
      <c r="L1262" s="14">
        <f>24*(TblTimeSheet[[#This Row],[End Date and Time]]-TblTimeSheet[[#This Row],[Start Date and Time]])</f>
        <v>8.3333333255723119E-2</v>
      </c>
      <c r="M12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2">
        <f>--(0&gt;(TblTimeSheet[[#This Row],[End Date and Time]]-TblTimeSheet[[#This Row],[Start Date and Time]]))</f>
        <v>0</v>
      </c>
    </row>
    <row r="1263" spans="1:14" x14ac:dyDescent="0.25">
      <c r="A1263" s="1"/>
      <c r="B1263" s="2" t="s">
        <v>913</v>
      </c>
      <c r="C1263" s="2" t="s">
        <v>118</v>
      </c>
      <c r="D1263" s="2" t="s">
        <v>32</v>
      </c>
      <c r="E1263" s="7" t="s">
        <v>1493</v>
      </c>
      <c r="F1263" s="37">
        <v>42437.694444444445</v>
      </c>
      <c r="G1263" s="37">
        <v>42437.697916666664</v>
      </c>
      <c r="H1263" s="1" t="s">
        <v>6</v>
      </c>
      <c r="I1263" s="1" t="s">
        <v>38</v>
      </c>
      <c r="J1263" s="1">
        <v>42437.724930555552</v>
      </c>
      <c r="K1263" s="1" t="s">
        <v>118</v>
      </c>
      <c r="L1263" s="14">
        <f>24*(TblTimeSheet[[#This Row],[End Date and Time]]-TblTimeSheet[[#This Row],[Start Date and Time]])</f>
        <v>8.3333333255723119E-2</v>
      </c>
      <c r="M12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3">
        <f>--(0&gt;(TblTimeSheet[[#This Row],[End Date and Time]]-TblTimeSheet[[#This Row],[Start Date and Time]]))</f>
        <v>0</v>
      </c>
    </row>
    <row r="1264" spans="1:14" x14ac:dyDescent="0.25">
      <c r="A1264" s="1"/>
      <c r="B1264" s="2" t="s">
        <v>909</v>
      </c>
      <c r="C1264" s="2" t="s">
        <v>1061</v>
      </c>
      <c r="D1264" s="2" t="s">
        <v>34</v>
      </c>
      <c r="E1264" s="7" t="s">
        <v>1494</v>
      </c>
      <c r="F1264" s="37">
        <v>42437.625</v>
      </c>
      <c r="G1264" s="37">
        <v>42437.729166666664</v>
      </c>
      <c r="H1264" s="1" t="s">
        <v>6</v>
      </c>
      <c r="I1264" s="1" t="s">
        <v>38</v>
      </c>
      <c r="J1264" s="1">
        <v>42437.727048611108</v>
      </c>
      <c r="K1264" s="1" t="s">
        <v>1061</v>
      </c>
      <c r="L1264" s="14">
        <f>24*(TblTimeSheet[[#This Row],[End Date and Time]]-TblTimeSheet[[#This Row],[Start Date and Time]])</f>
        <v>2.4999999999417923</v>
      </c>
      <c r="M12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4">
        <f>--(0&gt;(TblTimeSheet[[#This Row],[End Date and Time]]-TblTimeSheet[[#This Row],[Start Date and Time]]))</f>
        <v>0</v>
      </c>
    </row>
    <row r="1265" spans="1:14" ht="30" x14ac:dyDescent="0.25">
      <c r="A1265" s="1"/>
      <c r="B1265" s="2" t="s">
        <v>913</v>
      </c>
      <c r="C1265" s="2" t="s">
        <v>1105</v>
      </c>
      <c r="D1265" s="2" t="s">
        <v>32</v>
      </c>
      <c r="E1265" s="7" t="s">
        <v>1884</v>
      </c>
      <c r="F1265" s="37">
        <v>42437.597222222219</v>
      </c>
      <c r="G1265" s="37">
        <v>42437.604166666664</v>
      </c>
      <c r="H1265" s="1" t="s">
        <v>6</v>
      </c>
      <c r="I1265" s="1" t="s">
        <v>38</v>
      </c>
      <c r="J1265" s="1">
        <v>42438.636087962965</v>
      </c>
      <c r="K1265" s="1" t="s">
        <v>2864</v>
      </c>
      <c r="L1265" s="14">
        <f>24*(TblTimeSheet[[#This Row],[End Date and Time]]-TblTimeSheet[[#This Row],[Start Date and Time]])</f>
        <v>0.16666666668606922</v>
      </c>
      <c r="M12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5">
        <f>--(0&gt;(TblTimeSheet[[#This Row],[End Date and Time]]-TblTimeSheet[[#This Row],[Start Date and Time]]))</f>
        <v>0</v>
      </c>
    </row>
    <row r="1266" spans="1:14" x14ac:dyDescent="0.25">
      <c r="A1266" s="1"/>
      <c r="B1266" s="2" t="s">
        <v>915</v>
      </c>
      <c r="C1266" s="2" t="s">
        <v>118</v>
      </c>
      <c r="D1266" s="2" t="s">
        <v>20</v>
      </c>
      <c r="E1266" s="7" t="s">
        <v>458</v>
      </c>
      <c r="F1266" s="37">
        <v>42437.697916666664</v>
      </c>
      <c r="G1266" s="37">
        <v>42437.729166666664</v>
      </c>
      <c r="H1266" s="1" t="s">
        <v>6</v>
      </c>
      <c r="I1266" s="1" t="s">
        <v>38</v>
      </c>
      <c r="J1266" s="1">
        <v>42438.616400462961</v>
      </c>
      <c r="K1266" s="1" t="s">
        <v>118</v>
      </c>
      <c r="L1266" s="14">
        <f>24*(TblTimeSheet[[#This Row],[End Date and Time]]-TblTimeSheet[[#This Row],[Start Date and Time]])</f>
        <v>0.75</v>
      </c>
      <c r="M12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6">
        <f>--(0&gt;(TblTimeSheet[[#This Row],[End Date and Time]]-TblTimeSheet[[#This Row],[Start Date and Time]]))</f>
        <v>0</v>
      </c>
    </row>
    <row r="1267" spans="1:14" ht="30" x14ac:dyDescent="0.25">
      <c r="A1267" s="1"/>
      <c r="B1267" s="2" t="s">
        <v>913</v>
      </c>
      <c r="C1267" s="2" t="s">
        <v>116</v>
      </c>
      <c r="D1267" s="2" t="s">
        <v>32</v>
      </c>
      <c r="E1267" s="7" t="s">
        <v>1495</v>
      </c>
      <c r="F1267" s="37">
        <v>42437.694444444445</v>
      </c>
      <c r="G1267" s="37">
        <v>42437.697916666664</v>
      </c>
      <c r="H1267" s="1" t="s">
        <v>6</v>
      </c>
      <c r="I1267" s="1" t="s">
        <v>38</v>
      </c>
      <c r="J1267" s="1">
        <v>42437.732685185183</v>
      </c>
      <c r="K1267" s="1" t="s">
        <v>39</v>
      </c>
      <c r="L1267" s="14">
        <f>24*(TblTimeSheet[[#This Row],[End Date and Time]]-TblTimeSheet[[#This Row],[Start Date and Time]])</f>
        <v>8.3333333255723119E-2</v>
      </c>
      <c r="M12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67">
        <f>--(0&gt;(TblTimeSheet[[#This Row],[End Date and Time]]-TblTimeSheet[[#This Row],[Start Date and Time]]))</f>
        <v>0</v>
      </c>
    </row>
    <row r="1268" spans="1:14" x14ac:dyDescent="0.25">
      <c r="A1268" s="1"/>
      <c r="B1268" s="2" t="s">
        <v>909</v>
      </c>
      <c r="C1268" s="2" t="s">
        <v>1105</v>
      </c>
      <c r="D1268" s="2" t="s">
        <v>33</v>
      </c>
      <c r="E1268" s="7" t="s">
        <v>1885</v>
      </c>
      <c r="F1268" s="37">
        <v>42437.645833333336</v>
      </c>
      <c r="G1268" s="37">
        <v>42437.729166666664</v>
      </c>
      <c r="H1268" s="1" t="s">
        <v>6</v>
      </c>
      <c r="I1268" s="1" t="s">
        <v>38</v>
      </c>
      <c r="J1268" s="1">
        <v>42437.733391203707</v>
      </c>
      <c r="K1268" s="1" t="s">
        <v>2864</v>
      </c>
      <c r="L1268" s="14">
        <f>24*(TblTimeSheet[[#This Row],[End Date and Time]]-TblTimeSheet[[#This Row],[Start Date and Time]])</f>
        <v>1.9999999998835847</v>
      </c>
      <c r="M12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8">
        <f>--(0&gt;(TblTimeSheet[[#This Row],[End Date and Time]]-TblTimeSheet[[#This Row],[Start Date and Time]]))</f>
        <v>0</v>
      </c>
    </row>
    <row r="1269" spans="1:14" x14ac:dyDescent="0.25">
      <c r="A1269" s="1"/>
      <c r="B1269" s="2" t="s">
        <v>913</v>
      </c>
      <c r="C1269" s="2" t="s">
        <v>454</v>
      </c>
      <c r="D1269" s="2" t="s">
        <v>32</v>
      </c>
      <c r="E1269" s="7" t="s">
        <v>1496</v>
      </c>
      <c r="F1269" s="37">
        <v>42437.597222222219</v>
      </c>
      <c r="G1269" s="37">
        <v>42437.604166666664</v>
      </c>
      <c r="H1269" s="1" t="s">
        <v>6</v>
      </c>
      <c r="I1269" s="1" t="s">
        <v>38</v>
      </c>
      <c r="J1269" s="1">
        <v>42437.734884259262</v>
      </c>
      <c r="K1269" s="1" t="s">
        <v>454</v>
      </c>
      <c r="L1269" s="14">
        <f>24*(TblTimeSheet[[#This Row],[End Date and Time]]-TblTimeSheet[[#This Row],[Start Date and Time]])</f>
        <v>0.16666666668606922</v>
      </c>
      <c r="M12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69">
        <f>--(0&gt;(TblTimeSheet[[#This Row],[End Date and Time]]-TblTimeSheet[[#This Row],[Start Date and Time]]))</f>
        <v>0</v>
      </c>
    </row>
    <row r="1270" spans="1:14" x14ac:dyDescent="0.25">
      <c r="A1270" s="1"/>
      <c r="B1270" s="2" t="s">
        <v>697</v>
      </c>
      <c r="C1270" s="2" t="s">
        <v>143</v>
      </c>
      <c r="D1270" s="2" t="s">
        <v>33</v>
      </c>
      <c r="E1270" s="7" t="s">
        <v>1497</v>
      </c>
      <c r="F1270" s="37">
        <v>42437.520833333336</v>
      </c>
      <c r="G1270" s="37">
        <v>42437.53125</v>
      </c>
      <c r="H1270" s="1" t="s">
        <v>6</v>
      </c>
      <c r="I1270" s="1" t="s">
        <v>38</v>
      </c>
      <c r="J1270" s="1">
        <v>42437.736597222225</v>
      </c>
      <c r="K1270" s="1" t="s">
        <v>143</v>
      </c>
      <c r="L1270" s="14">
        <f>24*(TblTimeSheet[[#This Row],[End Date and Time]]-TblTimeSheet[[#This Row],[Start Date and Time]])</f>
        <v>0.24999999994179234</v>
      </c>
      <c r="M12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0">
        <f>--(0&gt;(TblTimeSheet[[#This Row],[End Date and Time]]-TblTimeSheet[[#This Row],[Start Date and Time]]))</f>
        <v>0</v>
      </c>
    </row>
    <row r="1271" spans="1:14" x14ac:dyDescent="0.25">
      <c r="A1271" s="1"/>
      <c r="B1271" s="2" t="s">
        <v>909</v>
      </c>
      <c r="C1271" s="2" t="s">
        <v>41</v>
      </c>
      <c r="D1271" s="2" t="s">
        <v>33</v>
      </c>
      <c r="E1271" s="7" t="s">
        <v>1685</v>
      </c>
      <c r="F1271" s="37">
        <v>42437.666666666664</v>
      </c>
      <c r="G1271" s="37">
        <v>42437.701388888891</v>
      </c>
      <c r="H1271" s="1" t="s">
        <v>6</v>
      </c>
      <c r="I1271" s="1" t="s">
        <v>38</v>
      </c>
      <c r="J1271" s="1">
        <v>42448.472002314818</v>
      </c>
      <c r="K1271" s="1" t="s">
        <v>41</v>
      </c>
      <c r="L1271" s="14">
        <f>24*(TblTimeSheet[[#This Row],[End Date and Time]]-TblTimeSheet[[#This Row],[Start Date and Time]])</f>
        <v>0.8333333334303461</v>
      </c>
      <c r="M12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1">
        <f>--(0&gt;(TblTimeSheet[[#This Row],[End Date and Time]]-TblTimeSheet[[#This Row],[Start Date and Time]]))</f>
        <v>0</v>
      </c>
    </row>
    <row r="1272" spans="1:14" x14ac:dyDescent="0.25">
      <c r="A1272" s="1"/>
      <c r="B1272" s="2" t="s">
        <v>697</v>
      </c>
      <c r="C1272" s="2" t="s">
        <v>116</v>
      </c>
      <c r="D1272" s="2" t="s">
        <v>33</v>
      </c>
      <c r="E1272" s="7" t="s">
        <v>1498</v>
      </c>
      <c r="F1272" s="37">
        <v>42437.375</v>
      </c>
      <c r="G1272" s="37">
        <v>42437.541666666664</v>
      </c>
      <c r="H1272" s="1" t="s">
        <v>6</v>
      </c>
      <c r="I1272" s="1" t="s">
        <v>38</v>
      </c>
      <c r="J1272" s="1">
        <v>42437.745335648149</v>
      </c>
      <c r="K1272" s="1" t="s">
        <v>1026</v>
      </c>
      <c r="L1272" s="14">
        <f>24*(TblTimeSheet[[#This Row],[End Date and Time]]-TblTimeSheet[[#This Row],[Start Date and Time]])</f>
        <v>3.9999999999417923</v>
      </c>
      <c r="M12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72">
        <f>--(0&gt;(TblTimeSheet[[#This Row],[End Date and Time]]-TblTimeSheet[[#This Row],[Start Date and Time]]))</f>
        <v>0</v>
      </c>
    </row>
    <row r="1273" spans="1:14" x14ac:dyDescent="0.25">
      <c r="A1273" s="1"/>
      <c r="B1273" s="2" t="s">
        <v>697</v>
      </c>
      <c r="C1273" s="2" t="s">
        <v>116</v>
      </c>
      <c r="D1273" s="2" t="s">
        <v>33</v>
      </c>
      <c r="E1273" s="7" t="s">
        <v>1499</v>
      </c>
      <c r="F1273" s="37">
        <v>42437.5625</v>
      </c>
      <c r="G1273" s="37">
        <v>42437.729166666664</v>
      </c>
      <c r="H1273" s="1" t="s">
        <v>6</v>
      </c>
      <c r="I1273" s="1" t="s">
        <v>38</v>
      </c>
      <c r="J1273" s="1">
        <v>42437.747199074074</v>
      </c>
      <c r="K1273" s="1" t="s">
        <v>1026</v>
      </c>
      <c r="L1273" s="14">
        <f>24*(TblTimeSheet[[#This Row],[End Date and Time]]-TblTimeSheet[[#This Row],[Start Date and Time]])</f>
        <v>3.9999999999417923</v>
      </c>
      <c r="M12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3">
        <f>--(0&gt;(TblTimeSheet[[#This Row],[End Date and Time]]-TblTimeSheet[[#This Row],[Start Date and Time]]))</f>
        <v>0</v>
      </c>
    </row>
    <row r="1274" spans="1:14" x14ac:dyDescent="0.25">
      <c r="A1274" s="1"/>
      <c r="B1274" s="2" t="s">
        <v>911</v>
      </c>
      <c r="C1274" s="2" t="s">
        <v>1117</v>
      </c>
      <c r="D1274" s="2" t="s">
        <v>32</v>
      </c>
      <c r="E1274" s="7" t="s">
        <v>1500</v>
      </c>
      <c r="F1274" s="37">
        <v>42437.708333333336</v>
      </c>
      <c r="G1274" s="37">
        <v>42437.75</v>
      </c>
      <c r="H1274" s="1" t="s">
        <v>6</v>
      </c>
      <c r="I1274" s="1" t="s">
        <v>38</v>
      </c>
      <c r="J1274" s="1">
        <v>42438.385092592594</v>
      </c>
      <c r="K1274" s="1" t="s">
        <v>2865</v>
      </c>
      <c r="L1274" s="14">
        <f>24*(TblTimeSheet[[#This Row],[End Date and Time]]-TblTimeSheet[[#This Row],[Start Date and Time]])</f>
        <v>0.99999999994179234</v>
      </c>
      <c r="M12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4">
        <f>--(0&gt;(TblTimeSheet[[#This Row],[End Date and Time]]-TblTimeSheet[[#This Row],[Start Date and Time]]))</f>
        <v>0</v>
      </c>
    </row>
    <row r="1275" spans="1:14" x14ac:dyDescent="0.25">
      <c r="A1275" s="1"/>
      <c r="B1275" s="2" t="s">
        <v>911</v>
      </c>
      <c r="C1275" s="2" t="s">
        <v>1117</v>
      </c>
      <c r="D1275" s="2" t="s">
        <v>32</v>
      </c>
      <c r="E1275" s="7" t="s">
        <v>1501</v>
      </c>
      <c r="F1275" s="37">
        <v>42438.375</v>
      </c>
      <c r="G1275" s="37">
        <v>42438.385416666664</v>
      </c>
      <c r="H1275" s="1" t="s">
        <v>6</v>
      </c>
      <c r="I1275" s="1" t="s">
        <v>38</v>
      </c>
      <c r="J1275" s="1">
        <v>42441.423194444447</v>
      </c>
      <c r="K1275" s="1" t="s">
        <v>2865</v>
      </c>
      <c r="L1275" s="14">
        <f>24*(TblTimeSheet[[#This Row],[End Date and Time]]-TblTimeSheet[[#This Row],[Start Date and Time]])</f>
        <v>0.24999999994179234</v>
      </c>
      <c r="M12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5">
        <f>--(0&gt;(TblTimeSheet[[#This Row],[End Date and Time]]-TblTimeSheet[[#This Row],[Start Date and Time]]))</f>
        <v>0</v>
      </c>
    </row>
    <row r="1276" spans="1:14" x14ac:dyDescent="0.25">
      <c r="A1276" s="1"/>
      <c r="B1276" s="2" t="s">
        <v>909</v>
      </c>
      <c r="C1276" s="2" t="s">
        <v>41</v>
      </c>
      <c r="D1276" s="2" t="s">
        <v>34</v>
      </c>
      <c r="E1276" s="7" t="s">
        <v>1502</v>
      </c>
      <c r="F1276" s="37">
        <v>42438.375</v>
      </c>
      <c r="G1276" s="37">
        <v>42438.385416666664</v>
      </c>
      <c r="H1276" s="1" t="s">
        <v>6</v>
      </c>
      <c r="I1276" s="1" t="s">
        <v>38</v>
      </c>
      <c r="J1276" s="1">
        <v>42439.6012962963</v>
      </c>
      <c r="K1276" s="1" t="s">
        <v>41</v>
      </c>
      <c r="L1276" s="14">
        <f>24*(TblTimeSheet[[#This Row],[End Date and Time]]-TblTimeSheet[[#This Row],[Start Date and Time]])</f>
        <v>0.24999999994179234</v>
      </c>
      <c r="M12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6">
        <f>--(0&gt;(TblTimeSheet[[#This Row],[End Date and Time]]-TblTimeSheet[[#This Row],[Start Date and Time]]))</f>
        <v>0</v>
      </c>
    </row>
    <row r="1277" spans="1:14" ht="45" x14ac:dyDescent="0.25">
      <c r="A1277" s="1"/>
      <c r="B1277" s="2" t="s">
        <v>909</v>
      </c>
      <c r="C1277" s="2" t="s">
        <v>1105</v>
      </c>
      <c r="D1277" s="2" t="s">
        <v>34</v>
      </c>
      <c r="E1277" s="7" t="s">
        <v>1886</v>
      </c>
      <c r="F1277" s="37">
        <v>42438.375</v>
      </c>
      <c r="G1277" s="37">
        <v>42438.385416666664</v>
      </c>
      <c r="H1277" s="1" t="s">
        <v>6</v>
      </c>
      <c r="I1277" s="1" t="s">
        <v>38</v>
      </c>
      <c r="J1277" s="1">
        <v>42438.403958333336</v>
      </c>
      <c r="K1277" s="1" t="s">
        <v>2864</v>
      </c>
      <c r="L1277" s="14">
        <f>24*(TblTimeSheet[[#This Row],[End Date and Time]]-TblTimeSheet[[#This Row],[Start Date and Time]])</f>
        <v>0.24999999994179234</v>
      </c>
      <c r="M12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7">
        <f>--(0&gt;(TblTimeSheet[[#This Row],[End Date and Time]]-TblTimeSheet[[#This Row],[Start Date and Time]]))</f>
        <v>0</v>
      </c>
    </row>
    <row r="1278" spans="1:14" x14ac:dyDescent="0.25">
      <c r="A1278" s="1"/>
      <c r="B1278" s="2" t="s">
        <v>909</v>
      </c>
      <c r="C1278" s="2" t="s">
        <v>1061</v>
      </c>
      <c r="D1278" s="2" t="s">
        <v>34</v>
      </c>
      <c r="E1278" s="7" t="s">
        <v>1887</v>
      </c>
      <c r="F1278" s="37">
        <v>42438.375</v>
      </c>
      <c r="G1278" s="37">
        <v>42438.385416666664</v>
      </c>
      <c r="H1278" s="1" t="s">
        <v>6</v>
      </c>
      <c r="I1278" s="1" t="s">
        <v>38</v>
      </c>
      <c r="J1278" s="1">
        <v>42438.405335648145</v>
      </c>
      <c r="K1278" s="1" t="s">
        <v>1061</v>
      </c>
      <c r="L1278" s="14">
        <f>24*(TblTimeSheet[[#This Row],[End Date and Time]]-TblTimeSheet[[#This Row],[Start Date and Time]])</f>
        <v>0.24999999994179234</v>
      </c>
      <c r="M12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8">
        <f>--(0&gt;(TblTimeSheet[[#This Row],[End Date and Time]]-TblTimeSheet[[#This Row],[Start Date and Time]]))</f>
        <v>0</v>
      </c>
    </row>
    <row r="1279" spans="1:14" x14ac:dyDescent="0.25">
      <c r="A1279" s="1"/>
      <c r="B1279" s="2" t="s">
        <v>909</v>
      </c>
      <c r="C1279" s="2" t="s">
        <v>1503</v>
      </c>
      <c r="D1279" s="2" t="s">
        <v>34</v>
      </c>
      <c r="E1279" s="7" t="s">
        <v>1888</v>
      </c>
      <c r="F1279" s="37">
        <v>42438.375</v>
      </c>
      <c r="G1279" s="37">
        <v>42438.385416666664</v>
      </c>
      <c r="H1279" s="1" t="s">
        <v>6</v>
      </c>
      <c r="I1279" s="1" t="s">
        <v>38</v>
      </c>
      <c r="J1279" s="1">
        <v>42438.407210648147</v>
      </c>
      <c r="K1279" s="1" t="s">
        <v>2866</v>
      </c>
      <c r="L1279" s="14">
        <f>24*(TblTimeSheet[[#This Row],[End Date and Time]]-TblTimeSheet[[#This Row],[Start Date and Time]])</f>
        <v>0.24999999994179234</v>
      </c>
      <c r="M12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79">
        <f>--(0&gt;(TblTimeSheet[[#This Row],[End Date and Time]]-TblTimeSheet[[#This Row],[Start Date and Time]]))</f>
        <v>0</v>
      </c>
    </row>
    <row r="1280" spans="1:14" x14ac:dyDescent="0.25">
      <c r="A1280" s="1"/>
      <c r="B1280" s="2" t="s">
        <v>911</v>
      </c>
      <c r="C1280" s="2" t="s">
        <v>171</v>
      </c>
      <c r="D1280" s="2" t="s">
        <v>32</v>
      </c>
      <c r="E1280" s="7" t="s">
        <v>1504</v>
      </c>
      <c r="F1280" s="37">
        <v>42438.40625</v>
      </c>
      <c r="G1280" s="37">
        <v>42438.427083333336</v>
      </c>
      <c r="H1280" s="1" t="s">
        <v>6</v>
      </c>
      <c r="I1280" s="1" t="s">
        <v>38</v>
      </c>
      <c r="J1280" s="1">
        <v>42438.435011574074</v>
      </c>
      <c r="K1280" s="1" t="s">
        <v>171</v>
      </c>
      <c r="L1280" s="14">
        <f>24*(TblTimeSheet[[#This Row],[End Date and Time]]-TblTimeSheet[[#This Row],[Start Date and Time]])</f>
        <v>0.50000000005820766</v>
      </c>
      <c r="M12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0">
        <f>--(0&gt;(TblTimeSheet[[#This Row],[End Date and Time]]-TblTimeSheet[[#This Row],[Start Date and Time]]))</f>
        <v>0</v>
      </c>
    </row>
    <row r="1281" spans="1:14" x14ac:dyDescent="0.25">
      <c r="A1281" s="1"/>
      <c r="B1281" s="2" t="s">
        <v>911</v>
      </c>
      <c r="C1281" s="2" t="s">
        <v>1117</v>
      </c>
      <c r="D1281" s="2" t="s">
        <v>32</v>
      </c>
      <c r="E1281" s="7" t="s">
        <v>1505</v>
      </c>
      <c r="F1281" s="37">
        <v>42438.40625</v>
      </c>
      <c r="G1281" s="37">
        <v>42438.427083333336</v>
      </c>
      <c r="H1281" s="1" t="s">
        <v>6</v>
      </c>
      <c r="I1281" s="1" t="s">
        <v>38</v>
      </c>
      <c r="J1281" s="1">
        <v>42438.435601851852</v>
      </c>
      <c r="K1281" s="1" t="s">
        <v>2865</v>
      </c>
      <c r="L1281" s="14">
        <f>24*(TblTimeSheet[[#This Row],[End Date and Time]]-TblTimeSheet[[#This Row],[Start Date and Time]])</f>
        <v>0.50000000005820766</v>
      </c>
      <c r="M12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1">
        <f>--(0&gt;(TblTimeSheet[[#This Row],[End Date and Time]]-TblTimeSheet[[#This Row],[Start Date and Time]]))</f>
        <v>0</v>
      </c>
    </row>
    <row r="1282" spans="1:14" x14ac:dyDescent="0.25">
      <c r="A1282" s="1"/>
      <c r="B1282" s="2" t="s">
        <v>913</v>
      </c>
      <c r="C1282" s="2" t="s">
        <v>171</v>
      </c>
      <c r="D1282" s="2" t="s">
        <v>32</v>
      </c>
      <c r="E1282" s="7" t="s">
        <v>1506</v>
      </c>
      <c r="F1282" s="37">
        <v>42438.447916666664</v>
      </c>
      <c r="G1282" s="37">
        <v>42438.454861111109</v>
      </c>
      <c r="H1282" s="1" t="s">
        <v>6</v>
      </c>
      <c r="I1282" s="1" t="s">
        <v>38</v>
      </c>
      <c r="J1282" s="1">
        <v>42438.452013888891</v>
      </c>
      <c r="K1282" s="1" t="s">
        <v>171</v>
      </c>
      <c r="L1282" s="14">
        <f>24*(TblTimeSheet[[#This Row],[End Date and Time]]-TblTimeSheet[[#This Row],[Start Date and Time]])</f>
        <v>0.16666666668606922</v>
      </c>
      <c r="M12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2">
        <f>--(0&gt;(TblTimeSheet[[#This Row],[End Date and Time]]-TblTimeSheet[[#This Row],[Start Date and Time]]))</f>
        <v>0</v>
      </c>
    </row>
    <row r="1283" spans="1:14" x14ac:dyDescent="0.25">
      <c r="A1283" s="1"/>
      <c r="B1283" s="2" t="s">
        <v>913</v>
      </c>
      <c r="C1283" s="2" t="s">
        <v>116</v>
      </c>
      <c r="D1283" s="2" t="s">
        <v>32</v>
      </c>
      <c r="E1283" s="7" t="s">
        <v>1507</v>
      </c>
      <c r="F1283" s="37">
        <v>42438.461805555555</v>
      </c>
      <c r="G1283" s="37">
        <v>42438.46875</v>
      </c>
      <c r="H1283" s="1" t="s">
        <v>6</v>
      </c>
      <c r="I1283" s="1" t="s">
        <v>38</v>
      </c>
      <c r="J1283" s="1">
        <v>42438.469375000001</v>
      </c>
      <c r="K1283" s="1" t="s">
        <v>39</v>
      </c>
      <c r="L1283" s="14">
        <f>24*(TblTimeSheet[[#This Row],[End Date and Time]]-TblTimeSheet[[#This Row],[Start Date and Time]])</f>
        <v>0.16666666668606922</v>
      </c>
      <c r="M12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83">
        <f>--(0&gt;(TblTimeSheet[[#This Row],[End Date and Time]]-TblTimeSheet[[#This Row],[Start Date and Time]]))</f>
        <v>0</v>
      </c>
    </row>
    <row r="1284" spans="1:14" x14ac:dyDescent="0.25">
      <c r="A1284" s="1"/>
      <c r="B1284" s="2" t="s">
        <v>911</v>
      </c>
      <c r="C1284" s="2" t="s">
        <v>41</v>
      </c>
      <c r="D1284" s="2" t="s">
        <v>32</v>
      </c>
      <c r="E1284" s="7" t="s">
        <v>1508</v>
      </c>
      <c r="F1284" s="37">
        <v>42438.479166666664</v>
      </c>
      <c r="G1284" s="37">
        <v>42438.510416666664</v>
      </c>
      <c r="H1284" s="1" t="s">
        <v>6</v>
      </c>
      <c r="I1284" s="1" t="s">
        <v>38</v>
      </c>
      <c r="J1284" s="1">
        <v>42438.508136574077</v>
      </c>
      <c r="K1284" s="1" t="s">
        <v>41</v>
      </c>
      <c r="L1284" s="14">
        <f>24*(TblTimeSheet[[#This Row],[End Date and Time]]-TblTimeSheet[[#This Row],[Start Date and Time]])</f>
        <v>0.75</v>
      </c>
      <c r="M12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4">
        <f>--(0&gt;(TblTimeSheet[[#This Row],[End Date and Time]]-TblTimeSheet[[#This Row],[Start Date and Time]]))</f>
        <v>0</v>
      </c>
    </row>
    <row r="1285" spans="1:14" x14ac:dyDescent="0.25">
      <c r="A1285" s="1"/>
      <c r="B1285" s="2" t="s">
        <v>911</v>
      </c>
      <c r="C1285" s="2" t="s">
        <v>1117</v>
      </c>
      <c r="D1285" s="2" t="s">
        <v>32</v>
      </c>
      <c r="E1285" s="7" t="s">
        <v>1508</v>
      </c>
      <c r="F1285" s="37">
        <v>42438.493055555555</v>
      </c>
      <c r="G1285" s="37">
        <v>42438.524305555555</v>
      </c>
      <c r="H1285" s="1" t="s">
        <v>6</v>
      </c>
      <c r="I1285" s="1" t="s">
        <v>38</v>
      </c>
      <c r="J1285" s="1">
        <v>42448.480034722219</v>
      </c>
      <c r="K1285" s="1" t="s">
        <v>2865</v>
      </c>
      <c r="L1285" s="14">
        <f>24*(TblTimeSheet[[#This Row],[End Date and Time]]-TblTimeSheet[[#This Row],[Start Date and Time]])</f>
        <v>0.75</v>
      </c>
      <c r="M12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5">
        <f>--(0&gt;(TblTimeSheet[[#This Row],[End Date and Time]]-TblTimeSheet[[#This Row],[Start Date and Time]]))</f>
        <v>0</v>
      </c>
    </row>
    <row r="1286" spans="1:14" x14ac:dyDescent="0.25">
      <c r="A1286" s="1"/>
      <c r="B1286" s="2" t="s">
        <v>911</v>
      </c>
      <c r="C1286" s="2" t="s">
        <v>176</v>
      </c>
      <c r="D1286" s="2" t="s">
        <v>32</v>
      </c>
      <c r="E1286" s="7" t="s">
        <v>1508</v>
      </c>
      <c r="F1286" s="37">
        <v>42438.493055555555</v>
      </c>
      <c r="G1286" s="37">
        <v>42438.524305555555</v>
      </c>
      <c r="H1286" s="1" t="s">
        <v>6</v>
      </c>
      <c r="I1286" s="1" t="s">
        <v>38</v>
      </c>
      <c r="J1286" s="1">
        <v>42448.463726851849</v>
      </c>
      <c r="K1286" s="1" t="s">
        <v>176</v>
      </c>
      <c r="L1286" s="14">
        <f>24*(TblTimeSheet[[#This Row],[End Date and Time]]-TblTimeSheet[[#This Row],[Start Date and Time]])</f>
        <v>0.75</v>
      </c>
      <c r="M12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6">
        <f>--(0&gt;(TblTimeSheet[[#This Row],[End Date and Time]]-TblTimeSheet[[#This Row],[Start Date and Time]]))</f>
        <v>0</v>
      </c>
    </row>
    <row r="1287" spans="1:14" x14ac:dyDescent="0.25">
      <c r="A1287" s="1"/>
      <c r="B1287" s="2" t="s">
        <v>913</v>
      </c>
      <c r="C1287" s="2" t="s">
        <v>118</v>
      </c>
      <c r="D1287" s="2" t="s">
        <v>32</v>
      </c>
      <c r="E1287" s="7" t="s">
        <v>1509</v>
      </c>
      <c r="F1287" s="37">
        <v>42438.416666666664</v>
      </c>
      <c r="G1287" s="37">
        <v>42438.430555555555</v>
      </c>
      <c r="H1287" s="1" t="s">
        <v>6</v>
      </c>
      <c r="I1287" s="1" t="s">
        <v>38</v>
      </c>
      <c r="J1287" s="1">
        <v>42438.512546296297</v>
      </c>
      <c r="K1287" s="1" t="s">
        <v>118</v>
      </c>
      <c r="L1287" s="14">
        <f>24*(TblTimeSheet[[#This Row],[End Date and Time]]-TblTimeSheet[[#This Row],[Start Date and Time]])</f>
        <v>0.33333333337213844</v>
      </c>
      <c r="M12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7">
        <f>--(0&gt;(TblTimeSheet[[#This Row],[End Date and Time]]-TblTimeSheet[[#This Row],[Start Date and Time]]))</f>
        <v>0</v>
      </c>
    </row>
    <row r="1288" spans="1:14" x14ac:dyDescent="0.25">
      <c r="A1288" s="1"/>
      <c r="B1288" s="2" t="s">
        <v>909</v>
      </c>
      <c r="C1288" s="2" t="s">
        <v>1105</v>
      </c>
      <c r="D1288" s="2" t="s">
        <v>33</v>
      </c>
      <c r="E1288" s="7" t="s">
        <v>1510</v>
      </c>
      <c r="F1288" s="37">
        <v>42438.5</v>
      </c>
      <c r="G1288" s="37">
        <v>42438.503472222219</v>
      </c>
      <c r="H1288" s="1" t="s">
        <v>6</v>
      </c>
      <c r="I1288" s="1" t="s">
        <v>38</v>
      </c>
      <c r="J1288" s="1">
        <v>42438.518425925926</v>
      </c>
      <c r="K1288" s="1" t="s">
        <v>2864</v>
      </c>
      <c r="L1288" s="14">
        <f>24*(TblTimeSheet[[#This Row],[End Date and Time]]-TblTimeSheet[[#This Row],[Start Date and Time]])</f>
        <v>8.3333333255723119E-2</v>
      </c>
      <c r="M12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8">
        <f>--(0&gt;(TblTimeSheet[[#This Row],[End Date and Time]]-TblTimeSheet[[#This Row],[Start Date and Time]]))</f>
        <v>0</v>
      </c>
    </row>
    <row r="1289" spans="1:14" x14ac:dyDescent="0.25">
      <c r="A1289" s="1"/>
      <c r="B1289" s="2" t="s">
        <v>909</v>
      </c>
      <c r="C1289" s="2" t="s">
        <v>1061</v>
      </c>
      <c r="D1289" s="2" t="s">
        <v>34</v>
      </c>
      <c r="E1289" s="7" t="s">
        <v>1511</v>
      </c>
      <c r="F1289" s="37">
        <v>42438.388888888891</v>
      </c>
      <c r="G1289" s="37">
        <v>42438.555555555555</v>
      </c>
      <c r="H1289" s="1" t="s">
        <v>6</v>
      </c>
      <c r="I1289" s="1" t="s">
        <v>38</v>
      </c>
      <c r="J1289" s="1">
        <v>42438.579652777778</v>
      </c>
      <c r="K1289" s="1" t="s">
        <v>1061</v>
      </c>
      <c r="L1289" s="14">
        <f>24*(TblTimeSheet[[#This Row],[End Date and Time]]-TblTimeSheet[[#This Row],[Start Date and Time]])</f>
        <v>3.9999999999417923</v>
      </c>
      <c r="M12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89">
        <f>--(0&gt;(TblTimeSheet[[#This Row],[End Date and Time]]-TblTimeSheet[[#This Row],[Start Date and Time]]))</f>
        <v>0</v>
      </c>
    </row>
    <row r="1290" spans="1:14" x14ac:dyDescent="0.25">
      <c r="A1290" s="1"/>
      <c r="B1290" s="2" t="s">
        <v>913</v>
      </c>
      <c r="C1290" s="2" t="s">
        <v>171</v>
      </c>
      <c r="D1290" s="2" t="s">
        <v>32</v>
      </c>
      <c r="E1290" s="7" t="s">
        <v>1512</v>
      </c>
      <c r="F1290" s="37">
        <v>42438.375</v>
      </c>
      <c r="G1290" s="37">
        <v>42438.395833333336</v>
      </c>
      <c r="H1290" s="1" t="s">
        <v>6</v>
      </c>
      <c r="I1290" s="1" t="s">
        <v>38</v>
      </c>
      <c r="J1290" s="1">
        <v>42450.385011574072</v>
      </c>
      <c r="K1290" s="1" t="s">
        <v>171</v>
      </c>
      <c r="L1290" s="14">
        <f>24*(TblTimeSheet[[#This Row],[End Date and Time]]-TblTimeSheet[[#This Row],[Start Date and Time]])</f>
        <v>0.50000000005820766</v>
      </c>
      <c r="M12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0">
        <f>--(0&gt;(TblTimeSheet[[#This Row],[End Date and Time]]-TblTimeSheet[[#This Row],[Start Date and Time]]))</f>
        <v>0</v>
      </c>
    </row>
    <row r="1291" spans="1:14" x14ac:dyDescent="0.25">
      <c r="A1291" s="1"/>
      <c r="B1291" s="2" t="s">
        <v>913</v>
      </c>
      <c r="C1291" s="2" t="s">
        <v>171</v>
      </c>
      <c r="D1291" s="2" t="s">
        <v>32</v>
      </c>
      <c r="E1291" s="7" t="s">
        <v>1889</v>
      </c>
      <c r="F1291" s="37">
        <v>42437.375</v>
      </c>
      <c r="G1291" s="37">
        <v>42437.465277777781</v>
      </c>
      <c r="H1291" s="1" t="s">
        <v>6</v>
      </c>
      <c r="I1291" s="1" t="s">
        <v>38</v>
      </c>
      <c r="J1291" s="1">
        <v>42438.6096875</v>
      </c>
      <c r="K1291" s="1" t="s">
        <v>149</v>
      </c>
      <c r="L1291" s="14">
        <f>24*(TblTimeSheet[[#This Row],[End Date and Time]]-TblTimeSheet[[#This Row],[Start Date and Time]])</f>
        <v>2.1666666667442769</v>
      </c>
      <c r="M12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1">
        <f>--(0&gt;(TblTimeSheet[[#This Row],[End Date and Time]]-TblTimeSheet[[#This Row],[Start Date and Time]]))</f>
        <v>0</v>
      </c>
    </row>
    <row r="1292" spans="1:14" x14ac:dyDescent="0.25">
      <c r="A1292" s="1"/>
      <c r="B1292" s="2" t="s">
        <v>913</v>
      </c>
      <c r="C1292" s="2" t="s">
        <v>116</v>
      </c>
      <c r="D1292" s="2" t="s">
        <v>32</v>
      </c>
      <c r="E1292" s="7" t="s">
        <v>1513</v>
      </c>
      <c r="F1292" s="37">
        <v>42437.375</v>
      </c>
      <c r="G1292" s="37">
        <v>42437.465277777781</v>
      </c>
      <c r="H1292" s="1" t="s">
        <v>6</v>
      </c>
      <c r="I1292" s="1" t="s">
        <v>38</v>
      </c>
      <c r="J1292" s="1">
        <v>42438.608530092592</v>
      </c>
      <c r="K1292" s="1" t="s">
        <v>149</v>
      </c>
      <c r="L1292" s="14">
        <f>24*(TblTimeSheet[[#This Row],[End Date and Time]]-TblTimeSheet[[#This Row],[Start Date and Time]])</f>
        <v>2.1666666667442769</v>
      </c>
      <c r="M12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92">
        <f>--(0&gt;(TblTimeSheet[[#This Row],[End Date and Time]]-TblTimeSheet[[#This Row],[Start Date and Time]]))</f>
        <v>0</v>
      </c>
    </row>
    <row r="1293" spans="1:14" x14ac:dyDescent="0.25">
      <c r="A1293" s="1"/>
      <c r="B1293" s="2" t="s">
        <v>915</v>
      </c>
      <c r="C1293" s="2" t="s">
        <v>116</v>
      </c>
      <c r="D1293" s="2" t="s">
        <v>20</v>
      </c>
      <c r="E1293" s="7" t="s">
        <v>1461</v>
      </c>
      <c r="F1293" s="37">
        <v>42436.666666666664</v>
      </c>
      <c r="G1293" s="37">
        <v>42436.680555555555</v>
      </c>
      <c r="H1293" s="1" t="s">
        <v>6</v>
      </c>
      <c r="I1293" s="1" t="s">
        <v>38</v>
      </c>
      <c r="J1293" s="1">
        <v>42440.707152777781</v>
      </c>
      <c r="K1293" s="1" t="s">
        <v>701</v>
      </c>
      <c r="L1293" s="14">
        <f>24*(TblTimeSheet[[#This Row],[End Date and Time]]-TblTimeSheet[[#This Row],[Start Date and Time]])</f>
        <v>0.33333333337213844</v>
      </c>
      <c r="M12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93">
        <f>--(0&gt;(TblTimeSheet[[#This Row],[End Date and Time]]-TblTimeSheet[[#This Row],[Start Date and Time]]))</f>
        <v>0</v>
      </c>
    </row>
    <row r="1294" spans="1:14" x14ac:dyDescent="0.25">
      <c r="A1294" s="1"/>
      <c r="B1294" s="2" t="s">
        <v>915</v>
      </c>
      <c r="C1294" s="2" t="s">
        <v>116</v>
      </c>
      <c r="D1294" s="2" t="s">
        <v>20</v>
      </c>
      <c r="E1294" s="7" t="s">
        <v>1514</v>
      </c>
      <c r="F1294" s="37">
        <v>42438.385416666664</v>
      </c>
      <c r="G1294" s="37">
        <v>42438.458333333336</v>
      </c>
      <c r="H1294" s="1" t="s">
        <v>6</v>
      </c>
      <c r="I1294" s="1" t="s">
        <v>38</v>
      </c>
      <c r="J1294" s="1">
        <v>42438.6172337963</v>
      </c>
      <c r="K1294" s="1" t="s">
        <v>701</v>
      </c>
      <c r="L1294" s="14">
        <f>24*(TblTimeSheet[[#This Row],[End Date and Time]]-TblTimeSheet[[#This Row],[Start Date and Time]])</f>
        <v>1.7500000001164153</v>
      </c>
      <c r="M12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294">
        <f>--(0&gt;(TblTimeSheet[[#This Row],[End Date and Time]]-TblTimeSheet[[#This Row],[Start Date and Time]]))</f>
        <v>0</v>
      </c>
    </row>
    <row r="1295" spans="1:14" ht="30" x14ac:dyDescent="0.25">
      <c r="A1295" s="1"/>
      <c r="B1295" s="2" t="s">
        <v>913</v>
      </c>
      <c r="C1295" s="2" t="s">
        <v>36</v>
      </c>
      <c r="D1295" s="2" t="s">
        <v>32</v>
      </c>
      <c r="E1295" s="7" t="s">
        <v>1515</v>
      </c>
      <c r="F1295" s="37">
        <v>42438.534722222219</v>
      </c>
      <c r="G1295" s="37">
        <v>42438.552083333336</v>
      </c>
      <c r="H1295" s="1" t="s">
        <v>6</v>
      </c>
      <c r="I1295" s="1" t="s">
        <v>38</v>
      </c>
      <c r="J1295" s="1">
        <v>42438.620069444441</v>
      </c>
      <c r="K1295" s="1" t="s">
        <v>36</v>
      </c>
      <c r="L1295" s="14">
        <f>24*(TblTimeSheet[[#This Row],[End Date and Time]]-TblTimeSheet[[#This Row],[Start Date and Time]])</f>
        <v>0.41666666680248454</v>
      </c>
      <c r="M12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5">
        <f>--(0&gt;(TblTimeSheet[[#This Row],[End Date and Time]]-TblTimeSheet[[#This Row],[Start Date and Time]]))</f>
        <v>0</v>
      </c>
    </row>
    <row r="1296" spans="1:14" x14ac:dyDescent="0.25">
      <c r="A1296" s="1"/>
      <c r="B1296" s="2" t="s">
        <v>909</v>
      </c>
      <c r="C1296" s="2" t="s">
        <v>1061</v>
      </c>
      <c r="D1296" s="2" t="s">
        <v>34</v>
      </c>
      <c r="E1296" s="7" t="s">
        <v>1890</v>
      </c>
      <c r="F1296" s="37">
        <v>42438.5625</v>
      </c>
      <c r="G1296" s="37">
        <v>42438.631944444445</v>
      </c>
      <c r="H1296" s="1" t="s">
        <v>6</v>
      </c>
      <c r="I1296" s="1" t="s">
        <v>38</v>
      </c>
      <c r="J1296" s="1">
        <v>42448.483807870369</v>
      </c>
      <c r="K1296" s="1" t="s">
        <v>1061</v>
      </c>
      <c r="L1296" s="14">
        <f>24*(TblTimeSheet[[#This Row],[End Date and Time]]-TblTimeSheet[[#This Row],[Start Date and Time]])</f>
        <v>1.6666666666860692</v>
      </c>
      <c r="M12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6">
        <f>--(0&gt;(TblTimeSheet[[#This Row],[End Date and Time]]-TblTimeSheet[[#This Row],[Start Date and Time]]))</f>
        <v>0</v>
      </c>
    </row>
    <row r="1297" spans="1:14" x14ac:dyDescent="0.25">
      <c r="A1297" s="1"/>
      <c r="B1297" s="2" t="s">
        <v>909</v>
      </c>
      <c r="C1297" s="2" t="s">
        <v>41</v>
      </c>
      <c r="D1297" s="2" t="s">
        <v>34</v>
      </c>
      <c r="E1297" s="7" t="s">
        <v>1419</v>
      </c>
      <c r="F1297" s="37">
        <v>42438.618055555555</v>
      </c>
      <c r="G1297" s="37">
        <v>42438.628472222219</v>
      </c>
      <c r="H1297" s="1" t="s">
        <v>6</v>
      </c>
      <c r="I1297" s="1" t="s">
        <v>38</v>
      </c>
      <c r="J1297" s="1">
        <v>42438.667824074073</v>
      </c>
      <c r="K1297" s="1" t="s">
        <v>41</v>
      </c>
      <c r="L1297" s="14">
        <f>24*(TblTimeSheet[[#This Row],[End Date and Time]]-TblTimeSheet[[#This Row],[Start Date and Time]])</f>
        <v>0.24999999994179234</v>
      </c>
      <c r="M12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7">
        <f>--(0&gt;(TblTimeSheet[[#This Row],[End Date and Time]]-TblTimeSheet[[#This Row],[Start Date and Time]]))</f>
        <v>0</v>
      </c>
    </row>
    <row r="1298" spans="1:14" x14ac:dyDescent="0.25">
      <c r="A1298" s="1"/>
      <c r="B1298" s="2" t="s">
        <v>911</v>
      </c>
      <c r="C1298" s="2" t="s">
        <v>171</v>
      </c>
      <c r="D1298" s="2" t="s">
        <v>32</v>
      </c>
      <c r="E1298" s="7" t="s">
        <v>1516</v>
      </c>
      <c r="F1298" s="37">
        <v>42438.652777777781</v>
      </c>
      <c r="G1298" s="37">
        <v>42438.659722222219</v>
      </c>
      <c r="H1298" s="1" t="s">
        <v>6</v>
      </c>
      <c r="I1298" s="1" t="s">
        <v>38</v>
      </c>
      <c r="J1298" s="1">
        <v>42438.659861111111</v>
      </c>
      <c r="K1298" s="1" t="s">
        <v>171</v>
      </c>
      <c r="L1298" s="14">
        <f>24*(TblTimeSheet[[#This Row],[End Date and Time]]-TblTimeSheet[[#This Row],[Start Date and Time]])</f>
        <v>0.16666666651144624</v>
      </c>
      <c r="M12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8">
        <f>--(0&gt;(TblTimeSheet[[#This Row],[End Date and Time]]-TblTimeSheet[[#This Row],[Start Date and Time]]))</f>
        <v>0</v>
      </c>
    </row>
    <row r="1299" spans="1:14" x14ac:dyDescent="0.25">
      <c r="A1299" s="1"/>
      <c r="B1299" s="2" t="s">
        <v>911</v>
      </c>
      <c r="C1299" s="2" t="s">
        <v>1117</v>
      </c>
      <c r="D1299" s="2" t="s">
        <v>32</v>
      </c>
      <c r="E1299" s="7" t="s">
        <v>1517</v>
      </c>
      <c r="F1299" s="37">
        <v>42438.652777777781</v>
      </c>
      <c r="G1299" s="37">
        <v>42438.659722222219</v>
      </c>
      <c r="H1299" s="1" t="s">
        <v>6</v>
      </c>
      <c r="I1299" s="1" t="s">
        <v>38</v>
      </c>
      <c r="J1299" s="1">
        <v>42438.660115740742</v>
      </c>
      <c r="K1299" s="1" t="s">
        <v>2865</v>
      </c>
      <c r="L1299" s="14">
        <f>24*(TblTimeSheet[[#This Row],[End Date and Time]]-TblTimeSheet[[#This Row],[Start Date and Time]])</f>
        <v>0.16666666651144624</v>
      </c>
      <c r="M12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299">
        <f>--(0&gt;(TblTimeSheet[[#This Row],[End Date and Time]]-TblTimeSheet[[#This Row],[Start Date and Time]]))</f>
        <v>0</v>
      </c>
    </row>
    <row r="1300" spans="1:14" x14ac:dyDescent="0.25">
      <c r="A1300" s="1"/>
      <c r="B1300" s="2" t="s">
        <v>911</v>
      </c>
      <c r="C1300" s="2" t="s">
        <v>1117</v>
      </c>
      <c r="D1300" s="2" t="s">
        <v>32</v>
      </c>
      <c r="E1300" s="7" t="s">
        <v>1518</v>
      </c>
      <c r="F1300" s="37">
        <v>42438.583333333336</v>
      </c>
      <c r="G1300" s="37">
        <v>42438.645833333336</v>
      </c>
      <c r="H1300" s="1" t="s">
        <v>6</v>
      </c>
      <c r="I1300" s="1" t="s">
        <v>38</v>
      </c>
      <c r="J1300" s="1">
        <v>42438.660821759258</v>
      </c>
      <c r="K1300" s="1" t="s">
        <v>2865</v>
      </c>
      <c r="L1300" s="14">
        <f>24*(TblTimeSheet[[#This Row],[End Date and Time]]-TblTimeSheet[[#This Row],[Start Date and Time]])</f>
        <v>1.5</v>
      </c>
      <c r="M13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0">
        <f>--(0&gt;(TblTimeSheet[[#This Row],[End Date and Time]]-TblTimeSheet[[#This Row],[Start Date and Time]]))</f>
        <v>0</v>
      </c>
    </row>
    <row r="1301" spans="1:14" x14ac:dyDescent="0.25">
      <c r="A1301" s="1"/>
      <c r="B1301" s="2" t="s">
        <v>911</v>
      </c>
      <c r="C1301" s="2" t="s">
        <v>1117</v>
      </c>
      <c r="D1301" s="2" t="s">
        <v>32</v>
      </c>
      <c r="E1301" s="7" t="s">
        <v>1519</v>
      </c>
      <c r="F1301" s="37">
        <v>42434.677083333336</v>
      </c>
      <c r="G1301" s="37">
        <v>42434.71875</v>
      </c>
      <c r="H1301" s="1" t="s">
        <v>6</v>
      </c>
      <c r="I1301" s="1" t="s">
        <v>38</v>
      </c>
      <c r="J1301" s="1">
        <v>42438.684814814813</v>
      </c>
      <c r="K1301" s="1" t="s">
        <v>2865</v>
      </c>
      <c r="L1301" s="14">
        <f>24*(TblTimeSheet[[#This Row],[End Date and Time]]-TblTimeSheet[[#This Row],[Start Date and Time]])</f>
        <v>0.99999999994179234</v>
      </c>
      <c r="M13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1">
        <f>--(0&gt;(TblTimeSheet[[#This Row],[End Date and Time]]-TblTimeSheet[[#This Row],[Start Date and Time]]))</f>
        <v>0</v>
      </c>
    </row>
    <row r="1302" spans="1:14" x14ac:dyDescent="0.25">
      <c r="A1302" s="1"/>
      <c r="B1302" s="2" t="s">
        <v>911</v>
      </c>
      <c r="C1302" s="2" t="s">
        <v>1117</v>
      </c>
      <c r="D1302" s="2" t="s">
        <v>32</v>
      </c>
      <c r="E1302" s="7" t="s">
        <v>1490</v>
      </c>
      <c r="F1302" s="37">
        <v>42437.375</v>
      </c>
      <c r="G1302" s="37">
        <v>42437.427083333336</v>
      </c>
      <c r="H1302" s="1" t="s">
        <v>6</v>
      </c>
      <c r="I1302" s="1" t="s">
        <v>38</v>
      </c>
      <c r="J1302" s="1">
        <v>42438.687071759261</v>
      </c>
      <c r="K1302" s="1" t="s">
        <v>2865</v>
      </c>
      <c r="L1302" s="14">
        <f>24*(TblTimeSheet[[#This Row],[End Date and Time]]-TblTimeSheet[[#This Row],[Start Date and Time]])</f>
        <v>1.2500000000582077</v>
      </c>
      <c r="M13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2">
        <f>--(0&gt;(TblTimeSheet[[#This Row],[End Date and Time]]-TblTimeSheet[[#This Row],[Start Date and Time]]))</f>
        <v>0</v>
      </c>
    </row>
    <row r="1303" spans="1:14" x14ac:dyDescent="0.25">
      <c r="A1303" s="1"/>
      <c r="B1303" s="2" t="s">
        <v>911</v>
      </c>
      <c r="C1303" s="2" t="s">
        <v>78</v>
      </c>
      <c r="D1303" s="2" t="s">
        <v>32</v>
      </c>
      <c r="E1303" s="7" t="s">
        <v>1520</v>
      </c>
      <c r="F1303" s="37">
        <v>42437.666666666664</v>
      </c>
      <c r="G1303" s="37">
        <v>42437.708333333336</v>
      </c>
      <c r="H1303" s="1" t="s">
        <v>6</v>
      </c>
      <c r="I1303" s="1" t="s">
        <v>38</v>
      </c>
      <c r="J1303" s="1">
        <v>42438.688379629632</v>
      </c>
      <c r="K1303" s="1" t="s">
        <v>78</v>
      </c>
      <c r="L1303" s="14">
        <f>24*(TblTimeSheet[[#This Row],[End Date and Time]]-TblTimeSheet[[#This Row],[Start Date and Time]])</f>
        <v>1.0000000001164153</v>
      </c>
      <c r="M13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3">
        <f>--(0&gt;(TblTimeSheet[[#This Row],[End Date and Time]]-TblTimeSheet[[#This Row],[Start Date and Time]]))</f>
        <v>0</v>
      </c>
    </row>
    <row r="1304" spans="1:14" x14ac:dyDescent="0.25">
      <c r="A1304" s="1"/>
      <c r="B1304" s="2" t="s">
        <v>913</v>
      </c>
      <c r="C1304" s="2" t="s">
        <v>171</v>
      </c>
      <c r="D1304" s="2" t="s">
        <v>32</v>
      </c>
      <c r="E1304" s="7" t="s">
        <v>1521</v>
      </c>
      <c r="F1304" s="37">
        <v>42438.6875</v>
      </c>
      <c r="G1304" s="37">
        <v>42438.708333333336</v>
      </c>
      <c r="H1304" s="1" t="s">
        <v>6</v>
      </c>
      <c r="I1304" s="1" t="s">
        <v>38</v>
      </c>
      <c r="J1304" s="1">
        <v>42438.699872685182</v>
      </c>
      <c r="K1304" s="1" t="s">
        <v>171</v>
      </c>
      <c r="L1304" s="14">
        <f>24*(TblTimeSheet[[#This Row],[End Date and Time]]-TblTimeSheet[[#This Row],[Start Date and Time]])</f>
        <v>0.50000000005820766</v>
      </c>
      <c r="M13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4">
        <f>--(0&gt;(TblTimeSheet[[#This Row],[End Date and Time]]-TblTimeSheet[[#This Row],[Start Date and Time]]))</f>
        <v>0</v>
      </c>
    </row>
    <row r="1305" spans="1:14" x14ac:dyDescent="0.25">
      <c r="A1305" s="1"/>
      <c r="B1305" s="2" t="s">
        <v>911</v>
      </c>
      <c r="C1305" s="2" t="s">
        <v>176</v>
      </c>
      <c r="D1305" s="2" t="s">
        <v>32</v>
      </c>
      <c r="E1305" s="7" t="s">
        <v>1522</v>
      </c>
      <c r="F1305" s="37">
        <v>42438.524305555555</v>
      </c>
      <c r="G1305" s="37">
        <v>42438.586805555555</v>
      </c>
      <c r="H1305" s="1" t="s">
        <v>6</v>
      </c>
      <c r="I1305" s="1" t="s">
        <v>38</v>
      </c>
      <c r="J1305" s="1">
        <v>42448.464016203703</v>
      </c>
      <c r="K1305" s="1" t="s">
        <v>176</v>
      </c>
      <c r="L1305" s="14">
        <f>24*(TblTimeSheet[[#This Row],[End Date and Time]]-TblTimeSheet[[#This Row],[Start Date and Time]])</f>
        <v>1.5</v>
      </c>
      <c r="M13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5">
        <f>--(0&gt;(TblTimeSheet[[#This Row],[End Date and Time]]-TblTimeSheet[[#This Row],[Start Date and Time]]))</f>
        <v>0</v>
      </c>
    </row>
    <row r="1306" spans="1:14" x14ac:dyDescent="0.25">
      <c r="A1306" s="1"/>
      <c r="B1306" s="2" t="s">
        <v>911</v>
      </c>
      <c r="C1306" s="2" t="s">
        <v>176</v>
      </c>
      <c r="D1306" s="2" t="s">
        <v>32</v>
      </c>
      <c r="E1306" s="7" t="s">
        <v>1522</v>
      </c>
      <c r="F1306" s="37">
        <v>42438.604166666664</v>
      </c>
      <c r="G1306" s="37">
        <v>42438.729166666664</v>
      </c>
      <c r="H1306" s="1" t="s">
        <v>6</v>
      </c>
      <c r="I1306" s="1" t="s">
        <v>38</v>
      </c>
      <c r="J1306" s="1">
        <v>42446.688275462962</v>
      </c>
      <c r="K1306" s="1" t="s">
        <v>176</v>
      </c>
      <c r="L1306" s="14">
        <f>24*(TblTimeSheet[[#This Row],[End Date and Time]]-TblTimeSheet[[#This Row],[Start Date and Time]])</f>
        <v>3</v>
      </c>
      <c r="M13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6">
        <f>--(0&gt;(TblTimeSheet[[#This Row],[End Date and Time]]-TblTimeSheet[[#This Row],[Start Date and Time]]))</f>
        <v>0</v>
      </c>
    </row>
    <row r="1307" spans="1:14" x14ac:dyDescent="0.25">
      <c r="A1307" s="1"/>
      <c r="B1307" s="2" t="s">
        <v>915</v>
      </c>
      <c r="C1307" s="2" t="s">
        <v>116</v>
      </c>
      <c r="D1307" s="2" t="s">
        <v>20</v>
      </c>
      <c r="E1307" s="7" t="s">
        <v>449</v>
      </c>
      <c r="F1307" s="37">
        <v>42433.666666666664</v>
      </c>
      <c r="G1307" s="37">
        <v>42433.680555555555</v>
      </c>
      <c r="H1307" s="1" t="s">
        <v>6</v>
      </c>
      <c r="I1307" s="1" t="s">
        <v>38</v>
      </c>
      <c r="J1307" s="1">
        <v>42439.452696759261</v>
      </c>
      <c r="K1307" s="1" t="s">
        <v>701</v>
      </c>
      <c r="L1307" s="14">
        <f>24*(TblTimeSheet[[#This Row],[End Date and Time]]-TblTimeSheet[[#This Row],[Start Date and Time]])</f>
        <v>0.33333333337213844</v>
      </c>
      <c r="M13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07">
        <f>--(0&gt;(TblTimeSheet[[#This Row],[End Date and Time]]-TblTimeSheet[[#This Row],[Start Date and Time]]))</f>
        <v>0</v>
      </c>
    </row>
    <row r="1308" spans="1:14" x14ac:dyDescent="0.25">
      <c r="A1308" s="1"/>
      <c r="B1308" s="2" t="s">
        <v>909</v>
      </c>
      <c r="C1308" s="2" t="s">
        <v>1503</v>
      </c>
      <c r="D1308" s="2" t="s">
        <v>34</v>
      </c>
      <c r="E1308" s="7" t="s">
        <v>1523</v>
      </c>
      <c r="F1308" s="37">
        <v>42438.388888888891</v>
      </c>
      <c r="G1308" s="37">
        <v>42438.479166666664</v>
      </c>
      <c r="H1308" s="1" t="s">
        <v>6</v>
      </c>
      <c r="I1308" s="1" t="s">
        <v>38</v>
      </c>
      <c r="J1308" s="1">
        <v>42438.731550925928</v>
      </c>
      <c r="K1308" s="1" t="s">
        <v>2866</v>
      </c>
      <c r="L1308" s="14">
        <f>24*(TblTimeSheet[[#This Row],[End Date and Time]]-TblTimeSheet[[#This Row],[Start Date and Time]])</f>
        <v>2.1666666665696539</v>
      </c>
      <c r="M13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8">
        <f>--(0&gt;(TblTimeSheet[[#This Row],[End Date and Time]]-TblTimeSheet[[#This Row],[Start Date and Time]]))</f>
        <v>0</v>
      </c>
    </row>
    <row r="1309" spans="1:14" x14ac:dyDescent="0.25">
      <c r="A1309" s="1"/>
      <c r="B1309" s="2" t="s">
        <v>909</v>
      </c>
      <c r="C1309" s="2" t="s">
        <v>1503</v>
      </c>
      <c r="D1309" s="2" t="s">
        <v>34</v>
      </c>
      <c r="E1309" s="7" t="s">
        <v>1524</v>
      </c>
      <c r="F1309" s="37">
        <v>42438.479166666664</v>
      </c>
      <c r="G1309" s="37">
        <v>42438.5625</v>
      </c>
      <c r="H1309" s="1" t="s">
        <v>6</v>
      </c>
      <c r="I1309" s="1" t="s">
        <v>38</v>
      </c>
      <c r="J1309" s="1">
        <v>42438.732129629629</v>
      </c>
      <c r="K1309" s="1" t="s">
        <v>2866</v>
      </c>
      <c r="L1309" s="14">
        <f>24*(TblTimeSheet[[#This Row],[End Date and Time]]-TblTimeSheet[[#This Row],[Start Date and Time]])</f>
        <v>2.0000000000582077</v>
      </c>
      <c r="M13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09">
        <f>--(0&gt;(TblTimeSheet[[#This Row],[End Date and Time]]-TblTimeSheet[[#This Row],[Start Date and Time]]))</f>
        <v>0</v>
      </c>
    </row>
    <row r="1310" spans="1:14" x14ac:dyDescent="0.25">
      <c r="A1310" s="1"/>
      <c r="B1310" s="2" t="s">
        <v>909</v>
      </c>
      <c r="C1310" s="2" t="s">
        <v>1503</v>
      </c>
      <c r="D1310" s="2" t="s">
        <v>34</v>
      </c>
      <c r="E1310" s="7" t="s">
        <v>1525</v>
      </c>
      <c r="F1310" s="37">
        <v>42438.583333333336</v>
      </c>
      <c r="G1310" s="37">
        <v>42438.729166666664</v>
      </c>
      <c r="H1310" s="1" t="s">
        <v>6</v>
      </c>
      <c r="I1310" s="1" t="s">
        <v>38</v>
      </c>
      <c r="J1310" s="1">
        <v>42439.610474537039</v>
      </c>
      <c r="K1310" s="1" t="s">
        <v>41</v>
      </c>
      <c r="L1310" s="14">
        <f>24*(TblTimeSheet[[#This Row],[End Date and Time]]-TblTimeSheet[[#This Row],[Start Date and Time]])</f>
        <v>3.4999999998835847</v>
      </c>
      <c r="M13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0">
        <f>--(0&gt;(TblTimeSheet[[#This Row],[End Date and Time]]-TblTimeSheet[[#This Row],[Start Date and Time]]))</f>
        <v>0</v>
      </c>
    </row>
    <row r="1311" spans="1:14" x14ac:dyDescent="0.25">
      <c r="A1311" s="1"/>
      <c r="B1311" s="2" t="s">
        <v>913</v>
      </c>
      <c r="C1311" s="2" t="s">
        <v>118</v>
      </c>
      <c r="D1311" s="2" t="s">
        <v>32</v>
      </c>
      <c r="E1311" s="7" t="s">
        <v>1526</v>
      </c>
      <c r="F1311" s="37">
        <v>42438.729166666664</v>
      </c>
      <c r="G1311" s="37">
        <v>42438.732638888891</v>
      </c>
      <c r="H1311" s="1" t="s">
        <v>6</v>
      </c>
      <c r="I1311" s="1" t="s">
        <v>38</v>
      </c>
      <c r="J1311" s="1">
        <v>42438.734629629631</v>
      </c>
      <c r="K1311" s="1" t="s">
        <v>118</v>
      </c>
      <c r="L1311" s="14">
        <f>24*(TblTimeSheet[[#This Row],[End Date and Time]]-TblTimeSheet[[#This Row],[Start Date and Time]])</f>
        <v>8.3333333430346102E-2</v>
      </c>
      <c r="M13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1">
        <f>--(0&gt;(TblTimeSheet[[#This Row],[End Date and Time]]-TblTimeSheet[[#This Row],[Start Date and Time]]))</f>
        <v>0</v>
      </c>
    </row>
    <row r="1312" spans="1:14" x14ac:dyDescent="0.25">
      <c r="A1312" s="1"/>
      <c r="B1312" s="2" t="s">
        <v>913</v>
      </c>
      <c r="C1312" s="2" t="s">
        <v>171</v>
      </c>
      <c r="D1312" s="2" t="s">
        <v>32</v>
      </c>
      <c r="E1312" s="7" t="s">
        <v>1527</v>
      </c>
      <c r="F1312" s="37">
        <v>42438.729166666664</v>
      </c>
      <c r="G1312" s="37">
        <v>42438.732638888891</v>
      </c>
      <c r="H1312" s="1" t="s">
        <v>6</v>
      </c>
      <c r="I1312" s="1" t="s">
        <v>38</v>
      </c>
      <c r="J1312" s="1">
        <v>42438.734780092593</v>
      </c>
      <c r="K1312" s="1" t="s">
        <v>171</v>
      </c>
      <c r="L1312" s="14">
        <f>24*(TblTimeSheet[[#This Row],[End Date and Time]]-TblTimeSheet[[#This Row],[Start Date and Time]])</f>
        <v>8.3333333430346102E-2</v>
      </c>
      <c r="M13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2">
        <f>--(0&gt;(TblTimeSheet[[#This Row],[End Date and Time]]-TblTimeSheet[[#This Row],[Start Date and Time]]))</f>
        <v>0</v>
      </c>
    </row>
    <row r="1313" spans="1:14" ht="30" x14ac:dyDescent="0.25">
      <c r="A1313" s="1"/>
      <c r="B1313" s="2" t="s">
        <v>913</v>
      </c>
      <c r="C1313" s="2" t="s">
        <v>1105</v>
      </c>
      <c r="D1313" s="2" t="s">
        <v>32</v>
      </c>
      <c r="E1313" s="7" t="s">
        <v>1891</v>
      </c>
      <c r="F1313" s="37">
        <v>42438.729166666664</v>
      </c>
      <c r="G1313" s="37">
        <v>42438.732638888891</v>
      </c>
      <c r="H1313" s="1" t="s">
        <v>6</v>
      </c>
      <c r="I1313" s="1" t="s">
        <v>38</v>
      </c>
      <c r="J1313" s="1">
        <v>42438.735763888886</v>
      </c>
      <c r="K1313" s="1" t="s">
        <v>2864</v>
      </c>
      <c r="L1313" s="14">
        <f>24*(TblTimeSheet[[#This Row],[End Date and Time]]-TblTimeSheet[[#This Row],[Start Date and Time]])</f>
        <v>8.3333333430346102E-2</v>
      </c>
      <c r="M13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3">
        <f>--(0&gt;(TblTimeSheet[[#This Row],[End Date and Time]]-TblTimeSheet[[#This Row],[Start Date and Time]]))</f>
        <v>0</v>
      </c>
    </row>
    <row r="1314" spans="1:14" x14ac:dyDescent="0.25">
      <c r="A1314" s="1"/>
      <c r="B1314" s="2" t="s">
        <v>913</v>
      </c>
      <c r="C1314" s="2" t="s">
        <v>454</v>
      </c>
      <c r="D1314" s="2" t="s">
        <v>32</v>
      </c>
      <c r="E1314" s="7" t="s">
        <v>449</v>
      </c>
      <c r="F1314" s="37">
        <v>42438.729166666664</v>
      </c>
      <c r="G1314" s="37">
        <v>42438.732638888891</v>
      </c>
      <c r="H1314" s="1" t="s">
        <v>6</v>
      </c>
      <c r="I1314" s="1" t="s">
        <v>38</v>
      </c>
      <c r="J1314" s="1">
        <v>42438.737060185187</v>
      </c>
      <c r="K1314" s="1" t="s">
        <v>454</v>
      </c>
      <c r="L1314" s="14">
        <f>24*(TblTimeSheet[[#This Row],[End Date and Time]]-TblTimeSheet[[#This Row],[Start Date and Time]])</f>
        <v>8.3333333430346102E-2</v>
      </c>
      <c r="M13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4">
        <f>--(0&gt;(TblTimeSheet[[#This Row],[End Date and Time]]-TblTimeSheet[[#This Row],[Start Date and Time]]))</f>
        <v>0</v>
      </c>
    </row>
    <row r="1315" spans="1:14" x14ac:dyDescent="0.25">
      <c r="A1315" s="1"/>
      <c r="B1315" s="2" t="s">
        <v>913</v>
      </c>
      <c r="C1315" s="2" t="s">
        <v>116</v>
      </c>
      <c r="D1315" s="2" t="s">
        <v>32</v>
      </c>
      <c r="E1315" s="7" t="s">
        <v>1528</v>
      </c>
      <c r="F1315" s="37">
        <v>42438.729166666664</v>
      </c>
      <c r="G1315" s="37">
        <v>42438.732638888891</v>
      </c>
      <c r="H1315" s="1" t="s">
        <v>6</v>
      </c>
      <c r="I1315" s="1" t="s">
        <v>38</v>
      </c>
      <c r="J1315" s="1">
        <v>42438.74013888889</v>
      </c>
      <c r="K1315" s="1" t="s">
        <v>39</v>
      </c>
      <c r="L1315" s="14">
        <f>24*(TblTimeSheet[[#This Row],[End Date and Time]]-TblTimeSheet[[#This Row],[Start Date and Time]])</f>
        <v>8.3333333430346102E-2</v>
      </c>
      <c r="M13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5">
        <f>--(0&gt;(TblTimeSheet[[#This Row],[End Date and Time]]-TblTimeSheet[[#This Row],[Start Date and Time]]))</f>
        <v>0</v>
      </c>
    </row>
    <row r="1316" spans="1:14" x14ac:dyDescent="0.25">
      <c r="A1316" s="1"/>
      <c r="B1316" s="2" t="s">
        <v>909</v>
      </c>
      <c r="C1316" s="2" t="s">
        <v>41</v>
      </c>
      <c r="D1316" s="2" t="s">
        <v>34</v>
      </c>
      <c r="E1316" s="7" t="s">
        <v>1529</v>
      </c>
      <c r="F1316" s="37">
        <v>42438.708333333336</v>
      </c>
      <c r="G1316" s="37">
        <v>42438.739583333336</v>
      </c>
      <c r="H1316" s="1" t="s">
        <v>6</v>
      </c>
      <c r="I1316" s="1" t="s">
        <v>38</v>
      </c>
      <c r="J1316" s="1">
        <v>42438.740624999999</v>
      </c>
      <c r="K1316" s="1" t="s">
        <v>41</v>
      </c>
      <c r="L1316" s="14">
        <f>24*(TblTimeSheet[[#This Row],[End Date and Time]]-TblTimeSheet[[#This Row],[Start Date and Time]])</f>
        <v>0.75</v>
      </c>
      <c r="M13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6">
        <f>--(0&gt;(TblTimeSheet[[#This Row],[End Date and Time]]-TblTimeSheet[[#This Row],[Start Date and Time]]))</f>
        <v>0</v>
      </c>
    </row>
    <row r="1317" spans="1:14" x14ac:dyDescent="0.25">
      <c r="A1317" s="1"/>
      <c r="B1317" s="2" t="s">
        <v>909</v>
      </c>
      <c r="C1317" s="2" t="s">
        <v>1061</v>
      </c>
      <c r="D1317" s="2" t="s">
        <v>34</v>
      </c>
      <c r="E1317" s="7" t="s">
        <v>1530</v>
      </c>
      <c r="F1317" s="37">
        <v>42439.378472222219</v>
      </c>
      <c r="G1317" s="37">
        <v>42439.385416666664</v>
      </c>
      <c r="H1317" s="1" t="s">
        <v>6</v>
      </c>
      <c r="I1317" s="1" t="s">
        <v>38</v>
      </c>
      <c r="J1317" s="1">
        <v>42439.396273148152</v>
      </c>
      <c r="K1317" s="1" t="s">
        <v>1061</v>
      </c>
      <c r="L1317" s="14">
        <f>24*(TblTimeSheet[[#This Row],[End Date and Time]]-TblTimeSheet[[#This Row],[Start Date and Time]])</f>
        <v>0.16666666668606922</v>
      </c>
      <c r="M13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7">
        <f>--(0&gt;(TblTimeSheet[[#This Row],[End Date and Time]]-TblTimeSheet[[#This Row],[Start Date and Time]]))</f>
        <v>0</v>
      </c>
    </row>
    <row r="1318" spans="1:14" x14ac:dyDescent="0.25">
      <c r="A1318" s="1"/>
      <c r="B1318" s="2" t="s">
        <v>913</v>
      </c>
      <c r="C1318" s="2" t="s">
        <v>171</v>
      </c>
      <c r="D1318" s="2" t="s">
        <v>32</v>
      </c>
      <c r="E1318" s="7" t="s">
        <v>1531</v>
      </c>
      <c r="F1318" s="37">
        <v>42438.465277777781</v>
      </c>
      <c r="G1318" s="37">
        <v>42438.493055555555</v>
      </c>
      <c r="H1318" s="1" t="s">
        <v>6</v>
      </c>
      <c r="I1318" s="1" t="s">
        <v>38</v>
      </c>
      <c r="J1318" s="1">
        <v>42439.396631944444</v>
      </c>
      <c r="K1318" s="1" t="s">
        <v>171</v>
      </c>
      <c r="L1318" s="14">
        <f>24*(TblTimeSheet[[#This Row],[End Date and Time]]-TblTimeSheet[[#This Row],[Start Date and Time]])</f>
        <v>0.6666666665696539</v>
      </c>
      <c r="M13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8">
        <f>--(0&gt;(TblTimeSheet[[#This Row],[End Date and Time]]-TblTimeSheet[[#This Row],[Start Date and Time]]))</f>
        <v>0</v>
      </c>
    </row>
    <row r="1319" spans="1:14" ht="30" x14ac:dyDescent="0.25">
      <c r="A1319" s="1"/>
      <c r="B1319" s="2" t="s">
        <v>913</v>
      </c>
      <c r="C1319" s="2" t="s">
        <v>36</v>
      </c>
      <c r="D1319" s="2" t="s">
        <v>32</v>
      </c>
      <c r="E1319" s="7" t="s">
        <v>1892</v>
      </c>
      <c r="F1319" s="37">
        <v>42438.729166666664</v>
      </c>
      <c r="G1319" s="37">
        <v>42438.732638888891</v>
      </c>
      <c r="H1319" s="1" t="s">
        <v>6</v>
      </c>
      <c r="I1319" s="1" t="s">
        <v>38</v>
      </c>
      <c r="J1319" s="1">
        <v>42439.396770833337</v>
      </c>
      <c r="K1319" s="1" t="s">
        <v>36</v>
      </c>
      <c r="L1319" s="14">
        <f>24*(TblTimeSheet[[#This Row],[End Date and Time]]-TblTimeSheet[[#This Row],[Start Date and Time]])</f>
        <v>8.3333333430346102E-2</v>
      </c>
      <c r="M13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19">
        <f>--(0&gt;(TblTimeSheet[[#This Row],[End Date and Time]]-TblTimeSheet[[#This Row],[Start Date and Time]]))</f>
        <v>0</v>
      </c>
    </row>
    <row r="1320" spans="1:14" x14ac:dyDescent="0.25">
      <c r="A1320" s="1"/>
      <c r="B1320" s="2" t="s">
        <v>697</v>
      </c>
      <c r="C1320" s="2" t="s">
        <v>116</v>
      </c>
      <c r="D1320" s="2" t="s">
        <v>33</v>
      </c>
      <c r="E1320" s="7" t="s">
        <v>1532</v>
      </c>
      <c r="F1320" s="37">
        <v>42438.645833333336</v>
      </c>
      <c r="G1320" s="37">
        <v>42438.729166666664</v>
      </c>
      <c r="H1320" s="1" t="s">
        <v>6</v>
      </c>
      <c r="I1320" s="1" t="s">
        <v>38</v>
      </c>
      <c r="J1320" s="1">
        <v>42439.408935185187</v>
      </c>
      <c r="K1320" s="1" t="s">
        <v>701</v>
      </c>
      <c r="L1320" s="14">
        <f>24*(TblTimeSheet[[#This Row],[End Date and Time]]-TblTimeSheet[[#This Row],[Start Date and Time]])</f>
        <v>1.9999999998835847</v>
      </c>
      <c r="M13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20">
        <f>--(0&gt;(TblTimeSheet[[#This Row],[End Date and Time]]-TblTimeSheet[[#This Row],[Start Date and Time]]))</f>
        <v>0</v>
      </c>
    </row>
    <row r="1321" spans="1:14" x14ac:dyDescent="0.25">
      <c r="A1321" s="1"/>
      <c r="B1321" s="2" t="s">
        <v>697</v>
      </c>
      <c r="C1321" s="2" t="s">
        <v>116</v>
      </c>
      <c r="D1321" s="2" t="s">
        <v>33</v>
      </c>
      <c r="E1321" s="7" t="s">
        <v>1893</v>
      </c>
      <c r="F1321" s="37">
        <v>42438.375</v>
      </c>
      <c r="G1321" s="37">
        <v>42438.541666666664</v>
      </c>
      <c r="H1321" s="1" t="s">
        <v>6</v>
      </c>
      <c r="I1321" s="1" t="s">
        <v>38</v>
      </c>
      <c r="J1321" s="1">
        <v>42439.428807870368</v>
      </c>
      <c r="K1321" s="1" t="s">
        <v>1026</v>
      </c>
      <c r="L1321" s="14">
        <f>24*(TblTimeSheet[[#This Row],[End Date and Time]]-TblTimeSheet[[#This Row],[Start Date and Time]])</f>
        <v>3.9999999999417923</v>
      </c>
      <c r="M13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1">
        <f>--(0&gt;(TblTimeSheet[[#This Row],[End Date and Time]]-TblTimeSheet[[#This Row],[Start Date and Time]]))</f>
        <v>0</v>
      </c>
    </row>
    <row r="1322" spans="1:14" x14ac:dyDescent="0.25">
      <c r="A1322" s="1"/>
      <c r="B1322" s="2" t="s">
        <v>697</v>
      </c>
      <c r="C1322" s="2" t="s">
        <v>116</v>
      </c>
      <c r="D1322" s="2" t="s">
        <v>33</v>
      </c>
      <c r="E1322" s="7" t="s">
        <v>1894</v>
      </c>
      <c r="F1322" s="37">
        <v>42438.5625</v>
      </c>
      <c r="G1322" s="37">
        <v>42438.729166666664</v>
      </c>
      <c r="H1322" s="1" t="s">
        <v>6</v>
      </c>
      <c r="I1322" s="1" t="s">
        <v>38</v>
      </c>
      <c r="J1322" s="1">
        <v>42439.430972222224</v>
      </c>
      <c r="K1322" s="1" t="s">
        <v>1026</v>
      </c>
      <c r="L1322" s="14">
        <f>24*(TblTimeSheet[[#This Row],[End Date and Time]]-TblTimeSheet[[#This Row],[Start Date and Time]])</f>
        <v>3.9999999999417923</v>
      </c>
      <c r="M13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22">
        <f>--(0&gt;(TblTimeSheet[[#This Row],[End Date and Time]]-TblTimeSheet[[#This Row],[Start Date and Time]]))</f>
        <v>0</v>
      </c>
    </row>
    <row r="1323" spans="1:14" x14ac:dyDescent="0.25">
      <c r="A1323" s="1"/>
      <c r="B1323" s="2" t="s">
        <v>911</v>
      </c>
      <c r="C1323" s="2" t="s">
        <v>176</v>
      </c>
      <c r="D1323" s="2" t="s">
        <v>32</v>
      </c>
      <c r="E1323" s="7" t="s">
        <v>1533</v>
      </c>
      <c r="F1323" s="37">
        <v>42439.604166666664</v>
      </c>
      <c r="G1323" s="37">
        <v>42439.729166666664</v>
      </c>
      <c r="H1323" s="1" t="s">
        <v>6</v>
      </c>
      <c r="I1323" s="1" t="s">
        <v>38</v>
      </c>
      <c r="J1323" s="1">
        <v>42448.463101851848</v>
      </c>
      <c r="K1323" s="1" t="s">
        <v>176</v>
      </c>
      <c r="L1323" s="14">
        <f>24*(TblTimeSheet[[#This Row],[End Date and Time]]-TblTimeSheet[[#This Row],[Start Date and Time]])</f>
        <v>3</v>
      </c>
      <c r="M13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3">
        <f>--(0&gt;(TblTimeSheet[[#This Row],[End Date and Time]]-TblTimeSheet[[#This Row],[Start Date and Time]]))</f>
        <v>0</v>
      </c>
    </row>
    <row r="1324" spans="1:14" x14ac:dyDescent="0.25">
      <c r="A1324" s="1"/>
      <c r="B1324" s="2" t="s">
        <v>913</v>
      </c>
      <c r="C1324" s="2" t="s">
        <v>176</v>
      </c>
      <c r="D1324" s="2" t="s">
        <v>32</v>
      </c>
      <c r="E1324" s="7" t="s">
        <v>1534</v>
      </c>
      <c r="F1324" s="37">
        <v>42438.465277777781</v>
      </c>
      <c r="G1324" s="37">
        <v>42438.493055555555</v>
      </c>
      <c r="H1324" s="1" t="s">
        <v>6</v>
      </c>
      <c r="I1324" s="1" t="s">
        <v>38</v>
      </c>
      <c r="J1324" s="1">
        <v>42439.461863425924</v>
      </c>
      <c r="K1324" s="1" t="s">
        <v>176</v>
      </c>
      <c r="L1324" s="14">
        <f>24*(TblTimeSheet[[#This Row],[End Date and Time]]-TblTimeSheet[[#This Row],[Start Date and Time]])</f>
        <v>0.6666666665696539</v>
      </c>
      <c r="M13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4">
        <f>--(0&gt;(TblTimeSheet[[#This Row],[End Date and Time]]-TblTimeSheet[[#This Row],[Start Date and Time]]))</f>
        <v>0</v>
      </c>
    </row>
    <row r="1325" spans="1:14" x14ac:dyDescent="0.25">
      <c r="A1325" s="1"/>
      <c r="B1325" s="2" t="s">
        <v>697</v>
      </c>
      <c r="C1325" s="2" t="s">
        <v>124</v>
      </c>
      <c r="D1325" s="2" t="s">
        <v>33</v>
      </c>
      <c r="E1325" s="7" t="s">
        <v>1535</v>
      </c>
      <c r="F1325" s="37">
        <v>42437.583333333336</v>
      </c>
      <c r="G1325" s="37">
        <v>42437.666666666664</v>
      </c>
      <c r="H1325" s="1" t="s">
        <v>6</v>
      </c>
      <c r="I1325" s="1" t="s">
        <v>38</v>
      </c>
      <c r="J1325" s="1">
        <v>42439.480243055557</v>
      </c>
      <c r="K1325" s="1" t="s">
        <v>2863</v>
      </c>
      <c r="L1325" s="14">
        <f>24*(TblTimeSheet[[#This Row],[End Date and Time]]-TblTimeSheet[[#This Row],[Start Date and Time]])</f>
        <v>1.9999999998835847</v>
      </c>
      <c r="M13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5">
        <f>--(0&gt;(TblTimeSheet[[#This Row],[End Date and Time]]-TblTimeSheet[[#This Row],[Start Date and Time]]))</f>
        <v>0</v>
      </c>
    </row>
    <row r="1326" spans="1:14" x14ac:dyDescent="0.25">
      <c r="A1326" s="1"/>
      <c r="B1326" s="2" t="s">
        <v>697</v>
      </c>
      <c r="C1326" s="2" t="s">
        <v>124</v>
      </c>
      <c r="D1326" s="2" t="s">
        <v>33</v>
      </c>
      <c r="E1326" s="7" t="s">
        <v>1893</v>
      </c>
      <c r="F1326" s="37">
        <v>42438.395833333336</v>
      </c>
      <c r="G1326" s="37">
        <v>42438.541666666664</v>
      </c>
      <c r="H1326" s="1" t="s">
        <v>6</v>
      </c>
      <c r="I1326" s="1" t="s">
        <v>38</v>
      </c>
      <c r="J1326" s="1">
        <v>42439.468541666669</v>
      </c>
      <c r="K1326" s="1" t="s">
        <v>2863</v>
      </c>
      <c r="L1326" s="14">
        <f>24*(TblTimeSheet[[#This Row],[End Date and Time]]-TblTimeSheet[[#This Row],[Start Date and Time]])</f>
        <v>3.4999999998835847</v>
      </c>
      <c r="M13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6">
        <f>--(0&gt;(TblTimeSheet[[#This Row],[End Date and Time]]-TblTimeSheet[[#This Row],[Start Date and Time]]))</f>
        <v>0</v>
      </c>
    </row>
    <row r="1327" spans="1:14" x14ac:dyDescent="0.25">
      <c r="A1327" s="1"/>
      <c r="B1327" s="2" t="s">
        <v>697</v>
      </c>
      <c r="C1327" s="2" t="s">
        <v>124</v>
      </c>
      <c r="D1327" s="2" t="s">
        <v>33</v>
      </c>
      <c r="E1327" s="7" t="s">
        <v>1893</v>
      </c>
      <c r="F1327" s="37">
        <v>42438.583333333336</v>
      </c>
      <c r="G1327" s="37">
        <v>42438.729166666664</v>
      </c>
      <c r="H1327" s="1" t="s">
        <v>6</v>
      </c>
      <c r="I1327" s="1" t="s">
        <v>38</v>
      </c>
      <c r="J1327" s="1">
        <v>42439.468981481485</v>
      </c>
      <c r="K1327" s="1" t="s">
        <v>2863</v>
      </c>
      <c r="L1327" s="14">
        <f>24*(TblTimeSheet[[#This Row],[End Date and Time]]-TblTimeSheet[[#This Row],[Start Date and Time]])</f>
        <v>3.4999999998835847</v>
      </c>
      <c r="M13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7">
        <f>--(0&gt;(TblTimeSheet[[#This Row],[End Date and Time]]-TblTimeSheet[[#This Row],[Start Date and Time]]))</f>
        <v>0</v>
      </c>
    </row>
    <row r="1328" spans="1:14" x14ac:dyDescent="0.25">
      <c r="A1328" s="1"/>
      <c r="B1328" s="2" t="s">
        <v>909</v>
      </c>
      <c r="C1328" s="2" t="s">
        <v>1061</v>
      </c>
      <c r="D1328" s="2" t="s">
        <v>34</v>
      </c>
      <c r="E1328" s="7" t="s">
        <v>1530</v>
      </c>
      <c r="F1328" s="37">
        <v>42439.5</v>
      </c>
      <c r="G1328" s="37">
        <v>42439.510416666664</v>
      </c>
      <c r="H1328" s="1" t="s">
        <v>6</v>
      </c>
      <c r="I1328" s="1" t="s">
        <v>38</v>
      </c>
      <c r="J1328" s="1">
        <v>42439.507418981484</v>
      </c>
      <c r="K1328" s="1" t="s">
        <v>1061</v>
      </c>
      <c r="L1328" s="14">
        <f>24*(TblTimeSheet[[#This Row],[End Date and Time]]-TblTimeSheet[[#This Row],[Start Date and Time]])</f>
        <v>0.24999999994179234</v>
      </c>
      <c r="M13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8">
        <f>--(0&gt;(TblTimeSheet[[#This Row],[End Date and Time]]-TblTimeSheet[[#This Row],[Start Date and Time]]))</f>
        <v>0</v>
      </c>
    </row>
    <row r="1329" spans="1:14" x14ac:dyDescent="0.25">
      <c r="A1329" s="1"/>
      <c r="B1329" s="2" t="s">
        <v>909</v>
      </c>
      <c r="C1329" s="2" t="s">
        <v>1061</v>
      </c>
      <c r="D1329" s="2" t="s">
        <v>34</v>
      </c>
      <c r="E1329" s="7" t="s">
        <v>1536</v>
      </c>
      <c r="F1329" s="37">
        <v>42439.388888888891</v>
      </c>
      <c r="G1329" s="37">
        <v>42439.5</v>
      </c>
      <c r="H1329" s="1" t="s">
        <v>6</v>
      </c>
      <c r="I1329" s="1" t="s">
        <v>38</v>
      </c>
      <c r="J1329" s="1">
        <v>42439.508784722224</v>
      </c>
      <c r="K1329" s="1" t="s">
        <v>1061</v>
      </c>
      <c r="L1329" s="14">
        <f>24*(TblTimeSheet[[#This Row],[End Date and Time]]-TblTimeSheet[[#This Row],[Start Date and Time]])</f>
        <v>2.6666666666278616</v>
      </c>
      <c r="M13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29">
        <f>--(0&gt;(TblTimeSheet[[#This Row],[End Date and Time]]-TblTimeSheet[[#This Row],[Start Date and Time]]))</f>
        <v>0</v>
      </c>
    </row>
    <row r="1330" spans="1:14" x14ac:dyDescent="0.25">
      <c r="A1330" s="1"/>
      <c r="B1330" s="2" t="s">
        <v>697</v>
      </c>
      <c r="C1330" s="2" t="s">
        <v>116</v>
      </c>
      <c r="D1330" s="2" t="s">
        <v>33</v>
      </c>
      <c r="E1330" s="7" t="s">
        <v>1537</v>
      </c>
      <c r="F1330" s="37">
        <v>42439.416666666664</v>
      </c>
      <c r="G1330" s="37">
        <v>42439.5</v>
      </c>
      <c r="H1330" s="1" t="s">
        <v>6</v>
      </c>
      <c r="I1330" s="1" t="s">
        <v>38</v>
      </c>
      <c r="J1330" s="1">
        <v>42439.515115740738</v>
      </c>
      <c r="K1330" s="1" t="s">
        <v>1026</v>
      </c>
      <c r="L1330" s="14">
        <f>24*(TblTimeSheet[[#This Row],[End Date and Time]]-TblTimeSheet[[#This Row],[Start Date and Time]])</f>
        <v>2.0000000000582077</v>
      </c>
      <c r="M13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30">
        <f>--(0&gt;(TblTimeSheet[[#This Row],[End Date and Time]]-TblTimeSheet[[#This Row],[Start Date and Time]]))</f>
        <v>0</v>
      </c>
    </row>
    <row r="1331" spans="1:14" x14ac:dyDescent="0.25">
      <c r="A1331" s="1"/>
      <c r="B1331" s="2" t="s">
        <v>911</v>
      </c>
      <c r="C1331" s="2" t="s">
        <v>176</v>
      </c>
      <c r="D1331" s="2" t="s">
        <v>32</v>
      </c>
      <c r="E1331" s="7" t="s">
        <v>1538</v>
      </c>
      <c r="F1331" s="37">
        <v>42439.375</v>
      </c>
      <c r="G1331" s="37">
        <v>42439.5625</v>
      </c>
      <c r="H1331" s="1" t="s">
        <v>6</v>
      </c>
      <c r="I1331" s="1" t="s">
        <v>38</v>
      </c>
      <c r="J1331" s="1">
        <v>42439.589884259258</v>
      </c>
      <c r="K1331" s="1" t="s">
        <v>176</v>
      </c>
      <c r="L1331" s="14">
        <f>24*(TblTimeSheet[[#This Row],[End Date and Time]]-TblTimeSheet[[#This Row],[Start Date and Time]])</f>
        <v>4.5</v>
      </c>
      <c r="M13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1">
        <f>--(0&gt;(TblTimeSheet[[#This Row],[End Date and Time]]-TblTimeSheet[[#This Row],[Start Date and Time]]))</f>
        <v>0</v>
      </c>
    </row>
    <row r="1332" spans="1:14" x14ac:dyDescent="0.25">
      <c r="A1332" s="1"/>
      <c r="B1332" s="2" t="s">
        <v>913</v>
      </c>
      <c r="C1332" s="2" t="s">
        <v>118</v>
      </c>
      <c r="D1332" s="2" t="s">
        <v>32</v>
      </c>
      <c r="E1332" s="7" t="s">
        <v>1220</v>
      </c>
      <c r="F1332" s="37">
        <v>42439.395833333336</v>
      </c>
      <c r="G1332" s="37">
        <v>42439.416666666664</v>
      </c>
      <c r="H1332" s="1" t="s">
        <v>6</v>
      </c>
      <c r="I1332" s="1" t="s">
        <v>38</v>
      </c>
      <c r="J1332" s="1">
        <v>42439.59171296296</v>
      </c>
      <c r="K1332" s="1" t="s">
        <v>118</v>
      </c>
      <c r="L1332" s="14">
        <f>24*(TblTimeSheet[[#This Row],[End Date and Time]]-TblTimeSheet[[#This Row],[Start Date and Time]])</f>
        <v>0.49999999988358468</v>
      </c>
      <c r="M13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2">
        <f>--(0&gt;(TblTimeSheet[[#This Row],[End Date and Time]]-TblTimeSheet[[#This Row],[Start Date and Time]]))</f>
        <v>0</v>
      </c>
    </row>
    <row r="1333" spans="1:14" x14ac:dyDescent="0.25">
      <c r="A1333" s="1"/>
      <c r="B1333" s="2" t="s">
        <v>911</v>
      </c>
      <c r="C1333" s="2" t="s">
        <v>1117</v>
      </c>
      <c r="D1333" s="2" t="s">
        <v>32</v>
      </c>
      <c r="E1333" s="7" t="s">
        <v>1424</v>
      </c>
      <c r="F1333" s="37">
        <v>42438.666666666664</v>
      </c>
      <c r="G1333" s="37">
        <v>42438.708333333336</v>
      </c>
      <c r="H1333" s="1" t="s">
        <v>6</v>
      </c>
      <c r="I1333" s="1" t="s">
        <v>38</v>
      </c>
      <c r="J1333" s="1">
        <v>42439.594351851854</v>
      </c>
      <c r="K1333" s="1" t="s">
        <v>2865</v>
      </c>
      <c r="L1333" s="14">
        <f>24*(TblTimeSheet[[#This Row],[End Date and Time]]-TblTimeSheet[[#This Row],[Start Date and Time]])</f>
        <v>1.0000000001164153</v>
      </c>
      <c r="M13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3">
        <f>--(0&gt;(TblTimeSheet[[#This Row],[End Date and Time]]-TblTimeSheet[[#This Row],[Start Date and Time]]))</f>
        <v>0</v>
      </c>
    </row>
    <row r="1334" spans="1:14" x14ac:dyDescent="0.25">
      <c r="A1334" s="1"/>
      <c r="B1334" s="2" t="s">
        <v>911</v>
      </c>
      <c r="C1334" s="2" t="s">
        <v>1117</v>
      </c>
      <c r="D1334" s="2" t="s">
        <v>32</v>
      </c>
      <c r="E1334" s="7" t="s">
        <v>1539</v>
      </c>
      <c r="F1334" s="37">
        <v>42439.416666666664</v>
      </c>
      <c r="G1334" s="37">
        <v>42439.458333333336</v>
      </c>
      <c r="H1334" s="1" t="s">
        <v>6</v>
      </c>
      <c r="I1334" s="1" t="s">
        <v>38</v>
      </c>
      <c r="J1334" s="1">
        <v>42439.606956018521</v>
      </c>
      <c r="K1334" s="1" t="s">
        <v>2865</v>
      </c>
      <c r="L1334" s="14">
        <f>24*(TblTimeSheet[[#This Row],[End Date and Time]]-TblTimeSheet[[#This Row],[Start Date and Time]])</f>
        <v>1.0000000001164153</v>
      </c>
      <c r="M13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4">
        <f>--(0&gt;(TblTimeSheet[[#This Row],[End Date and Time]]-TblTimeSheet[[#This Row],[Start Date and Time]]))</f>
        <v>0</v>
      </c>
    </row>
    <row r="1335" spans="1:14" x14ac:dyDescent="0.25">
      <c r="A1335" s="1"/>
      <c r="B1335" s="2" t="s">
        <v>909</v>
      </c>
      <c r="C1335" s="2" t="s">
        <v>1061</v>
      </c>
      <c r="D1335" s="2" t="s">
        <v>34</v>
      </c>
      <c r="E1335" s="7" t="s">
        <v>1540</v>
      </c>
      <c r="F1335" s="37">
        <v>42434.611111111109</v>
      </c>
      <c r="G1335" s="37">
        <v>42434.659722222219</v>
      </c>
      <c r="H1335" s="1" t="s">
        <v>6</v>
      </c>
      <c r="I1335" s="1" t="s">
        <v>38</v>
      </c>
      <c r="J1335" s="1">
        <v>42439.607800925929</v>
      </c>
      <c r="K1335" s="1" t="s">
        <v>1061</v>
      </c>
      <c r="L1335" s="14">
        <f>24*(TblTimeSheet[[#This Row],[End Date and Time]]-TblTimeSheet[[#This Row],[Start Date and Time]])</f>
        <v>1.1666666666278616</v>
      </c>
      <c r="M13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5">
        <f>--(0&gt;(TblTimeSheet[[#This Row],[End Date and Time]]-TblTimeSheet[[#This Row],[Start Date and Time]]))</f>
        <v>0</v>
      </c>
    </row>
    <row r="1336" spans="1:14" x14ac:dyDescent="0.25">
      <c r="A1336" s="1"/>
      <c r="B1336" s="2" t="s">
        <v>909</v>
      </c>
      <c r="C1336" s="2" t="s">
        <v>1503</v>
      </c>
      <c r="D1336" s="2" t="s">
        <v>34</v>
      </c>
      <c r="E1336" s="7" t="s">
        <v>1541</v>
      </c>
      <c r="F1336" s="37">
        <v>42439.375</v>
      </c>
      <c r="G1336" s="37">
        <v>42439.5625</v>
      </c>
      <c r="H1336" s="1" t="s">
        <v>6</v>
      </c>
      <c r="I1336" s="1" t="s">
        <v>38</v>
      </c>
      <c r="J1336" s="1">
        <v>42439.632106481484</v>
      </c>
      <c r="K1336" s="1" t="s">
        <v>2866</v>
      </c>
      <c r="L1336" s="14">
        <f>24*(TblTimeSheet[[#This Row],[End Date and Time]]-TblTimeSheet[[#This Row],[Start Date and Time]])</f>
        <v>4.5</v>
      </c>
      <c r="M13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6">
        <f>--(0&gt;(TblTimeSheet[[#This Row],[End Date and Time]]-TblTimeSheet[[#This Row],[Start Date and Time]]))</f>
        <v>0</v>
      </c>
    </row>
    <row r="1337" spans="1:14" x14ac:dyDescent="0.25">
      <c r="A1337" s="1"/>
      <c r="B1337" s="2" t="s">
        <v>913</v>
      </c>
      <c r="C1337" s="2" t="s">
        <v>41</v>
      </c>
      <c r="D1337" s="2" t="s">
        <v>32</v>
      </c>
      <c r="E1337" s="7" t="s">
        <v>1542</v>
      </c>
      <c r="F1337" s="37">
        <v>42439.652777777781</v>
      </c>
      <c r="G1337" s="37">
        <v>42439.659722222219</v>
      </c>
      <c r="H1337" s="1" t="s">
        <v>6</v>
      </c>
      <c r="I1337" s="1" t="s">
        <v>38</v>
      </c>
      <c r="J1337" s="1">
        <v>42439.656585648147</v>
      </c>
      <c r="K1337" s="1" t="s">
        <v>41</v>
      </c>
      <c r="L1337" s="14">
        <f>24*(TblTimeSheet[[#This Row],[End Date and Time]]-TblTimeSheet[[#This Row],[Start Date and Time]])</f>
        <v>0.16666666651144624</v>
      </c>
      <c r="M13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7">
        <f>--(0&gt;(TblTimeSheet[[#This Row],[End Date and Time]]-TblTimeSheet[[#This Row],[Start Date and Time]]))</f>
        <v>0</v>
      </c>
    </row>
    <row r="1338" spans="1:14" x14ac:dyDescent="0.25">
      <c r="A1338" s="1"/>
      <c r="B1338" s="2" t="s">
        <v>913</v>
      </c>
      <c r="C1338" s="2" t="s">
        <v>171</v>
      </c>
      <c r="D1338" s="2" t="s">
        <v>32</v>
      </c>
      <c r="E1338" s="7" t="s">
        <v>1543</v>
      </c>
      <c r="F1338" s="37">
        <v>42439.652777777781</v>
      </c>
      <c r="G1338" s="37">
        <v>42439.659722222219</v>
      </c>
      <c r="H1338" s="1" t="s">
        <v>6</v>
      </c>
      <c r="I1338" s="1" t="s">
        <v>38</v>
      </c>
      <c r="J1338" s="1">
        <v>42439.657453703701</v>
      </c>
      <c r="K1338" s="1" t="s">
        <v>171</v>
      </c>
      <c r="L1338" s="14">
        <f>24*(TblTimeSheet[[#This Row],[End Date and Time]]-TblTimeSheet[[#This Row],[Start Date and Time]])</f>
        <v>0.16666666651144624</v>
      </c>
      <c r="M13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8">
        <f>--(0&gt;(TblTimeSheet[[#This Row],[End Date and Time]]-TblTimeSheet[[#This Row],[Start Date and Time]]))</f>
        <v>0</v>
      </c>
    </row>
    <row r="1339" spans="1:14" x14ac:dyDescent="0.25">
      <c r="A1339" s="1"/>
      <c r="B1339" s="2" t="s">
        <v>909</v>
      </c>
      <c r="C1339" s="2" t="s">
        <v>1061</v>
      </c>
      <c r="D1339" s="2" t="s">
        <v>34</v>
      </c>
      <c r="E1339" s="7" t="s">
        <v>1536</v>
      </c>
      <c r="F1339" s="37">
        <v>42439.513888888891</v>
      </c>
      <c r="G1339" s="37">
        <v>42439.666666666664</v>
      </c>
      <c r="H1339" s="1" t="s">
        <v>6</v>
      </c>
      <c r="I1339" s="1" t="s">
        <v>38</v>
      </c>
      <c r="J1339" s="1">
        <v>42439.665625000001</v>
      </c>
      <c r="K1339" s="1" t="s">
        <v>1061</v>
      </c>
      <c r="L1339" s="14">
        <f>24*(TblTimeSheet[[#This Row],[End Date and Time]]-TblTimeSheet[[#This Row],[Start Date and Time]])</f>
        <v>3.6666666665696539</v>
      </c>
      <c r="M13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39">
        <f>--(0&gt;(TblTimeSheet[[#This Row],[End Date and Time]]-TblTimeSheet[[#This Row],[Start Date and Time]]))</f>
        <v>0</v>
      </c>
    </row>
    <row r="1340" spans="1:14" x14ac:dyDescent="0.25">
      <c r="A1340" s="1"/>
      <c r="B1340" s="2" t="s">
        <v>909</v>
      </c>
      <c r="C1340" s="2" t="s">
        <v>961</v>
      </c>
      <c r="D1340" s="2" t="s">
        <v>34</v>
      </c>
      <c r="E1340" s="7" t="s">
        <v>1544</v>
      </c>
      <c r="F1340" s="37">
        <v>42439.541666666664</v>
      </c>
      <c r="G1340" s="37">
        <v>42439.583333333336</v>
      </c>
      <c r="H1340" s="1" t="s">
        <v>6</v>
      </c>
      <c r="I1340" s="1" t="s">
        <v>38</v>
      </c>
      <c r="J1340" s="1">
        <v>42439.676064814812</v>
      </c>
      <c r="K1340" s="1" t="s">
        <v>961</v>
      </c>
      <c r="L1340" s="14">
        <f>24*(TblTimeSheet[[#This Row],[End Date and Time]]-TblTimeSheet[[#This Row],[Start Date and Time]])</f>
        <v>1.0000000001164153</v>
      </c>
      <c r="M13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0">
        <f>--(0&gt;(TblTimeSheet[[#This Row],[End Date and Time]]-TblTimeSheet[[#This Row],[Start Date and Time]]))</f>
        <v>0</v>
      </c>
    </row>
    <row r="1341" spans="1:14" x14ac:dyDescent="0.25">
      <c r="A1341" s="1"/>
      <c r="B1341" s="2" t="s">
        <v>913</v>
      </c>
      <c r="C1341" s="2" t="s">
        <v>116</v>
      </c>
      <c r="D1341" s="2" t="s">
        <v>32</v>
      </c>
      <c r="E1341" s="7" t="s">
        <v>1545</v>
      </c>
      <c r="F1341" s="37">
        <v>42439.666666666664</v>
      </c>
      <c r="G1341" s="37">
        <v>42439.677083333336</v>
      </c>
      <c r="H1341" s="1" t="s">
        <v>6</v>
      </c>
      <c r="I1341" s="1" t="s">
        <v>38</v>
      </c>
      <c r="J1341" s="1">
        <v>42439.676724537036</v>
      </c>
      <c r="K1341" s="1" t="s">
        <v>701</v>
      </c>
      <c r="L1341" s="14">
        <f>24*(TblTimeSheet[[#This Row],[End Date and Time]]-TblTimeSheet[[#This Row],[Start Date and Time]])</f>
        <v>0.25000000011641532</v>
      </c>
      <c r="M13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41">
        <f>--(0&gt;(TblTimeSheet[[#This Row],[End Date and Time]]-TblTimeSheet[[#This Row],[Start Date and Time]]))</f>
        <v>0</v>
      </c>
    </row>
    <row r="1342" spans="1:14" x14ac:dyDescent="0.25">
      <c r="A1342" s="1"/>
      <c r="B1342" s="2" t="s">
        <v>909</v>
      </c>
      <c r="C1342" s="2" t="s">
        <v>116</v>
      </c>
      <c r="D1342" s="2" t="s">
        <v>34</v>
      </c>
      <c r="E1342" s="7" t="s">
        <v>1546</v>
      </c>
      <c r="F1342" s="37">
        <v>42439.625</v>
      </c>
      <c r="G1342" s="37">
        <v>42439.631944444445</v>
      </c>
      <c r="H1342" s="1" t="s">
        <v>6</v>
      </c>
      <c r="I1342" s="1" t="s">
        <v>38</v>
      </c>
      <c r="J1342" s="1">
        <v>42439.676840277774</v>
      </c>
      <c r="K1342" s="1" t="s">
        <v>701</v>
      </c>
      <c r="L1342" s="14">
        <f>24*(TblTimeSheet[[#This Row],[End Date and Time]]-TblTimeSheet[[#This Row],[Start Date and Time]])</f>
        <v>0.16666666668606922</v>
      </c>
      <c r="M13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2">
        <f>--(0&gt;(TblTimeSheet[[#This Row],[End Date and Time]]-TblTimeSheet[[#This Row],[Start Date and Time]]))</f>
        <v>0</v>
      </c>
    </row>
    <row r="1343" spans="1:14" ht="30" x14ac:dyDescent="0.25">
      <c r="A1343" s="1"/>
      <c r="B1343" s="2" t="s">
        <v>913</v>
      </c>
      <c r="C1343" s="2" t="s">
        <v>116</v>
      </c>
      <c r="D1343" s="2" t="s">
        <v>32</v>
      </c>
      <c r="E1343" s="7" t="s">
        <v>1547</v>
      </c>
      <c r="F1343" s="37">
        <v>42439.5</v>
      </c>
      <c r="G1343" s="37">
        <v>42439.541666666664</v>
      </c>
      <c r="H1343" s="1" t="s">
        <v>6</v>
      </c>
      <c r="I1343" s="1" t="s">
        <v>38</v>
      </c>
      <c r="J1343" s="1">
        <v>42439.680266203701</v>
      </c>
      <c r="K1343" s="1" t="s">
        <v>39</v>
      </c>
      <c r="L1343" s="14">
        <f>24*(TblTimeSheet[[#This Row],[End Date and Time]]-TblTimeSheet[[#This Row],[Start Date and Time]])</f>
        <v>0.99999999994179234</v>
      </c>
      <c r="M13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3">
        <f>--(0&gt;(TblTimeSheet[[#This Row],[End Date and Time]]-TblTimeSheet[[#This Row],[Start Date and Time]]))</f>
        <v>0</v>
      </c>
    </row>
    <row r="1344" spans="1:14" x14ac:dyDescent="0.25">
      <c r="A1344" s="1"/>
      <c r="B1344" s="2" t="s">
        <v>911</v>
      </c>
      <c r="C1344" s="2" t="s">
        <v>1117</v>
      </c>
      <c r="D1344" s="2" t="s">
        <v>32</v>
      </c>
      <c r="E1344" s="7" t="s">
        <v>1548</v>
      </c>
      <c r="F1344" s="37">
        <v>42439.583333333336</v>
      </c>
      <c r="G1344" s="37">
        <v>42439.6875</v>
      </c>
      <c r="H1344" s="1" t="s">
        <v>6</v>
      </c>
      <c r="I1344" s="1" t="s">
        <v>38</v>
      </c>
      <c r="J1344" s="1">
        <v>42439.686226851853</v>
      </c>
      <c r="K1344" s="1" t="s">
        <v>2865</v>
      </c>
      <c r="L1344" s="14">
        <f>24*(TblTimeSheet[[#This Row],[End Date and Time]]-TblTimeSheet[[#This Row],[Start Date and Time]])</f>
        <v>2.4999999999417923</v>
      </c>
      <c r="M13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4">
        <f>--(0&gt;(TblTimeSheet[[#This Row],[End Date and Time]]-TblTimeSheet[[#This Row],[Start Date and Time]]))</f>
        <v>0</v>
      </c>
    </row>
    <row r="1345" spans="1:14" x14ac:dyDescent="0.25">
      <c r="A1345" s="1"/>
      <c r="B1345" s="2" t="s">
        <v>913</v>
      </c>
      <c r="C1345" s="2" t="s">
        <v>116</v>
      </c>
      <c r="D1345" s="2" t="s">
        <v>32</v>
      </c>
      <c r="E1345" s="7" t="s">
        <v>1895</v>
      </c>
      <c r="F1345" s="37">
        <v>42439.666666666664</v>
      </c>
      <c r="G1345" s="37">
        <v>42439.677083333336</v>
      </c>
      <c r="H1345" s="1" t="s">
        <v>6</v>
      </c>
      <c r="I1345" s="1" t="s">
        <v>38</v>
      </c>
      <c r="J1345" s="1">
        <v>42439.68712962963</v>
      </c>
      <c r="K1345" s="1" t="s">
        <v>39</v>
      </c>
      <c r="L1345" s="14">
        <f>24*(TblTimeSheet[[#This Row],[End Date and Time]]-TblTimeSheet[[#This Row],[Start Date and Time]])</f>
        <v>0.25000000011641532</v>
      </c>
      <c r="M13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45">
        <f>--(0&gt;(TblTimeSheet[[#This Row],[End Date and Time]]-TblTimeSheet[[#This Row],[Start Date and Time]]))</f>
        <v>0</v>
      </c>
    </row>
    <row r="1346" spans="1:14" x14ac:dyDescent="0.25">
      <c r="A1346" s="1"/>
      <c r="B1346" s="2" t="s">
        <v>913</v>
      </c>
      <c r="C1346" s="2" t="s">
        <v>43</v>
      </c>
      <c r="D1346" s="2" t="s">
        <v>32</v>
      </c>
      <c r="E1346" s="7" t="s">
        <v>1549</v>
      </c>
      <c r="F1346" s="37">
        <v>42439.666666666664</v>
      </c>
      <c r="G1346" s="37">
        <v>42439.677083333336</v>
      </c>
      <c r="H1346" s="1" t="s">
        <v>6</v>
      </c>
      <c r="I1346" s="1" t="s">
        <v>38</v>
      </c>
      <c r="J1346" s="1">
        <v>42439.689131944448</v>
      </c>
      <c r="K1346" s="1" t="s">
        <v>43</v>
      </c>
      <c r="L1346" s="14">
        <f>24*(TblTimeSheet[[#This Row],[End Date and Time]]-TblTimeSheet[[#This Row],[Start Date and Time]])</f>
        <v>0.25000000011641532</v>
      </c>
      <c r="M13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6">
        <f>--(0&gt;(TblTimeSheet[[#This Row],[End Date and Time]]-TblTimeSheet[[#This Row],[Start Date and Time]]))</f>
        <v>0</v>
      </c>
    </row>
    <row r="1347" spans="1:14" x14ac:dyDescent="0.25">
      <c r="A1347" s="1"/>
      <c r="B1347" s="2" t="s">
        <v>913</v>
      </c>
      <c r="C1347" s="2" t="s">
        <v>171</v>
      </c>
      <c r="D1347" s="2" t="s">
        <v>32</v>
      </c>
      <c r="E1347" s="7" t="s">
        <v>1550</v>
      </c>
      <c r="F1347" s="37">
        <v>42439.6875</v>
      </c>
      <c r="G1347" s="37">
        <v>42439.694444444445</v>
      </c>
      <c r="H1347" s="1" t="s">
        <v>6</v>
      </c>
      <c r="I1347" s="1" t="s">
        <v>38</v>
      </c>
      <c r="J1347" s="1">
        <v>42439.692129629628</v>
      </c>
      <c r="K1347" s="1" t="s">
        <v>171</v>
      </c>
      <c r="L1347" s="14">
        <f>24*(TblTimeSheet[[#This Row],[End Date and Time]]-TblTimeSheet[[#This Row],[Start Date and Time]])</f>
        <v>0.16666666668606922</v>
      </c>
      <c r="M13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7">
        <f>--(0&gt;(TblTimeSheet[[#This Row],[End Date and Time]]-TblTimeSheet[[#This Row],[Start Date and Time]]))</f>
        <v>0</v>
      </c>
    </row>
    <row r="1348" spans="1:14" x14ac:dyDescent="0.25">
      <c r="A1348" s="1"/>
      <c r="B1348" s="2" t="s">
        <v>911</v>
      </c>
      <c r="C1348" s="2" t="s">
        <v>1117</v>
      </c>
      <c r="D1348" s="2" t="s">
        <v>32</v>
      </c>
      <c r="E1348" s="7" t="s">
        <v>1551</v>
      </c>
      <c r="F1348" s="37">
        <v>42439.458333333336</v>
      </c>
      <c r="G1348" s="37">
        <v>42439.5</v>
      </c>
      <c r="H1348" s="1" t="s">
        <v>6</v>
      </c>
      <c r="I1348" s="1" t="s">
        <v>38</v>
      </c>
      <c r="J1348" s="1">
        <v>42439.703993055555</v>
      </c>
      <c r="K1348" s="1" t="s">
        <v>2865</v>
      </c>
      <c r="L1348" s="14">
        <f>24*(TblTimeSheet[[#This Row],[End Date and Time]]-TblTimeSheet[[#This Row],[Start Date and Time]])</f>
        <v>0.99999999994179234</v>
      </c>
      <c r="M13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8">
        <f>--(0&gt;(TblTimeSheet[[#This Row],[End Date and Time]]-TblTimeSheet[[#This Row],[Start Date and Time]]))</f>
        <v>0</v>
      </c>
    </row>
    <row r="1349" spans="1:14" x14ac:dyDescent="0.25">
      <c r="A1349" s="1"/>
      <c r="B1349" s="2" t="s">
        <v>909</v>
      </c>
      <c r="C1349" s="2" t="s">
        <v>41</v>
      </c>
      <c r="D1349" s="2" t="s">
        <v>34</v>
      </c>
      <c r="E1349" s="7" t="s">
        <v>1292</v>
      </c>
      <c r="F1349" s="37">
        <v>42438.739583333336</v>
      </c>
      <c r="G1349" s="37">
        <v>42438.75</v>
      </c>
      <c r="H1349" s="1" t="s">
        <v>6</v>
      </c>
      <c r="I1349" s="1" t="s">
        <v>38</v>
      </c>
      <c r="J1349" s="1">
        <v>42439.712696759256</v>
      </c>
      <c r="K1349" s="1" t="s">
        <v>41</v>
      </c>
      <c r="L1349" s="14">
        <f>24*(TblTimeSheet[[#This Row],[End Date and Time]]-TblTimeSheet[[#This Row],[Start Date and Time]])</f>
        <v>0.24999999994179234</v>
      </c>
      <c r="M13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49">
        <f>--(0&gt;(TblTimeSheet[[#This Row],[End Date and Time]]-TblTimeSheet[[#This Row],[Start Date and Time]]))</f>
        <v>0</v>
      </c>
    </row>
    <row r="1350" spans="1:14" x14ac:dyDescent="0.25">
      <c r="A1350" s="1"/>
      <c r="B1350" s="2" t="s">
        <v>909</v>
      </c>
      <c r="C1350" s="2" t="s">
        <v>1105</v>
      </c>
      <c r="D1350" s="2" t="s">
        <v>34</v>
      </c>
      <c r="E1350" s="7" t="s">
        <v>1896</v>
      </c>
      <c r="F1350" s="37">
        <v>42438.736111111109</v>
      </c>
      <c r="G1350" s="37">
        <v>42438.767361111109</v>
      </c>
      <c r="H1350" s="1" t="s">
        <v>6</v>
      </c>
      <c r="I1350" s="1" t="s">
        <v>38</v>
      </c>
      <c r="J1350" s="1">
        <v>42448.466782407406</v>
      </c>
      <c r="K1350" s="1" t="s">
        <v>2864</v>
      </c>
      <c r="L1350" s="14">
        <f>24*(TblTimeSheet[[#This Row],[End Date and Time]]-TblTimeSheet[[#This Row],[Start Date and Time]])</f>
        <v>0.75</v>
      </c>
      <c r="M13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0">
        <f>--(0&gt;(TblTimeSheet[[#This Row],[End Date and Time]]-TblTimeSheet[[#This Row],[Start Date and Time]]))</f>
        <v>0</v>
      </c>
    </row>
    <row r="1351" spans="1:14" x14ac:dyDescent="0.25">
      <c r="A1351" s="1"/>
      <c r="B1351" s="2" t="s">
        <v>915</v>
      </c>
      <c r="C1351" s="2" t="s">
        <v>36</v>
      </c>
      <c r="D1351" s="2" t="s">
        <v>20</v>
      </c>
      <c r="E1351" s="7" t="s">
        <v>1552</v>
      </c>
      <c r="F1351" s="37">
        <v>42439.6875</v>
      </c>
      <c r="G1351" s="37">
        <v>42439.704861111109</v>
      </c>
      <c r="H1351" s="1" t="s">
        <v>6</v>
      </c>
      <c r="I1351" s="1" t="s">
        <v>38</v>
      </c>
      <c r="J1351" s="1">
        <v>42439.720949074072</v>
      </c>
      <c r="K1351" s="1" t="s">
        <v>36</v>
      </c>
      <c r="L1351" s="14">
        <f>24*(TblTimeSheet[[#This Row],[End Date and Time]]-TblTimeSheet[[#This Row],[Start Date and Time]])</f>
        <v>0.41666666662786156</v>
      </c>
      <c r="M13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1">
        <f>--(0&gt;(TblTimeSheet[[#This Row],[End Date and Time]]-TblTimeSheet[[#This Row],[Start Date and Time]]))</f>
        <v>0</v>
      </c>
    </row>
    <row r="1352" spans="1:14" x14ac:dyDescent="0.25">
      <c r="A1352" s="1"/>
      <c r="B1352" s="2" t="s">
        <v>913</v>
      </c>
      <c r="C1352" s="2" t="s">
        <v>118</v>
      </c>
      <c r="D1352" s="2" t="s">
        <v>32</v>
      </c>
      <c r="E1352" s="7" t="s">
        <v>1553</v>
      </c>
      <c r="F1352" s="37">
        <v>42439.6875</v>
      </c>
      <c r="G1352" s="37">
        <v>42439.725694444445</v>
      </c>
      <c r="H1352" s="1" t="s">
        <v>6</v>
      </c>
      <c r="I1352" s="1" t="s">
        <v>38</v>
      </c>
      <c r="J1352" s="1">
        <v>42439.725925925923</v>
      </c>
      <c r="K1352" s="1" t="s">
        <v>118</v>
      </c>
      <c r="L1352" s="14">
        <f>24*(TblTimeSheet[[#This Row],[End Date and Time]]-TblTimeSheet[[#This Row],[Start Date and Time]])</f>
        <v>0.91666666668606922</v>
      </c>
      <c r="M13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2">
        <f>--(0&gt;(TblTimeSheet[[#This Row],[End Date and Time]]-TblTimeSheet[[#This Row],[Start Date and Time]]))</f>
        <v>0</v>
      </c>
    </row>
    <row r="1353" spans="1:14" x14ac:dyDescent="0.25">
      <c r="A1353" s="1"/>
      <c r="B1353" s="2" t="s">
        <v>913</v>
      </c>
      <c r="C1353" s="2" t="s">
        <v>118</v>
      </c>
      <c r="D1353" s="2" t="s">
        <v>32</v>
      </c>
      <c r="E1353" s="7" t="s">
        <v>1554</v>
      </c>
      <c r="F1353" s="37">
        <v>42439.729166666664</v>
      </c>
      <c r="G1353" s="37">
        <v>42439.732638888891</v>
      </c>
      <c r="H1353" s="1" t="s">
        <v>6</v>
      </c>
      <c r="I1353" s="1" t="s">
        <v>38</v>
      </c>
      <c r="J1353" s="1">
        <v>42439.733275462961</v>
      </c>
      <c r="K1353" s="1" t="s">
        <v>118</v>
      </c>
      <c r="L1353" s="14">
        <f>24*(TblTimeSheet[[#This Row],[End Date and Time]]-TblTimeSheet[[#This Row],[Start Date and Time]])</f>
        <v>8.3333333430346102E-2</v>
      </c>
      <c r="M13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3">
        <f>--(0&gt;(TblTimeSheet[[#This Row],[End Date and Time]]-TblTimeSheet[[#This Row],[Start Date and Time]]))</f>
        <v>0</v>
      </c>
    </row>
    <row r="1354" spans="1:14" x14ac:dyDescent="0.25">
      <c r="A1354" s="1"/>
      <c r="B1354" s="2" t="s">
        <v>909</v>
      </c>
      <c r="C1354" s="2" t="s">
        <v>1503</v>
      </c>
      <c r="D1354" s="2" t="s">
        <v>34</v>
      </c>
      <c r="E1354" s="7" t="s">
        <v>1541</v>
      </c>
      <c r="F1354" s="37">
        <v>42439.583333333336</v>
      </c>
      <c r="G1354" s="37">
        <v>42439.729166666664</v>
      </c>
      <c r="H1354" s="1" t="s">
        <v>6</v>
      </c>
      <c r="I1354" s="1" t="s">
        <v>38</v>
      </c>
      <c r="J1354" s="1">
        <v>42439.733414351853</v>
      </c>
      <c r="K1354" s="1" t="s">
        <v>2866</v>
      </c>
      <c r="L1354" s="14">
        <f>24*(TblTimeSheet[[#This Row],[End Date and Time]]-TblTimeSheet[[#This Row],[Start Date and Time]])</f>
        <v>3.4999999998835847</v>
      </c>
      <c r="M13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4">
        <f>--(0&gt;(TblTimeSheet[[#This Row],[End Date and Time]]-TblTimeSheet[[#This Row],[Start Date and Time]]))</f>
        <v>0</v>
      </c>
    </row>
    <row r="1355" spans="1:14" x14ac:dyDescent="0.25">
      <c r="A1355" s="1"/>
      <c r="B1355" s="2" t="s">
        <v>909</v>
      </c>
      <c r="C1355" s="2" t="s">
        <v>1061</v>
      </c>
      <c r="D1355" s="2" t="s">
        <v>34</v>
      </c>
      <c r="E1355" s="7" t="s">
        <v>1897</v>
      </c>
      <c r="F1355" s="37">
        <v>42439.673611111109</v>
      </c>
      <c r="G1355" s="37">
        <v>42439.736111111109</v>
      </c>
      <c r="H1355" s="1" t="s">
        <v>6</v>
      </c>
      <c r="I1355" s="1" t="s">
        <v>38</v>
      </c>
      <c r="J1355" s="1">
        <v>42439.734120370369</v>
      </c>
      <c r="K1355" s="1" t="s">
        <v>1061</v>
      </c>
      <c r="L1355" s="14">
        <f>24*(TblTimeSheet[[#This Row],[End Date and Time]]-TblTimeSheet[[#This Row],[Start Date and Time]])</f>
        <v>1.5</v>
      </c>
      <c r="M13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5">
        <f>--(0&gt;(TblTimeSheet[[#This Row],[End Date and Time]]-TblTimeSheet[[#This Row],[Start Date and Time]]))</f>
        <v>0</v>
      </c>
    </row>
    <row r="1356" spans="1:14" x14ac:dyDescent="0.25">
      <c r="A1356" s="1"/>
      <c r="B1356" s="2" t="s">
        <v>913</v>
      </c>
      <c r="C1356" s="2" t="s">
        <v>116</v>
      </c>
      <c r="D1356" s="2" t="s">
        <v>32</v>
      </c>
      <c r="E1356" s="7" t="s">
        <v>1416</v>
      </c>
      <c r="F1356" s="37">
        <v>42439.708333333336</v>
      </c>
      <c r="G1356" s="37">
        <v>42439.732638888891</v>
      </c>
      <c r="H1356" s="1" t="s">
        <v>6</v>
      </c>
      <c r="I1356" s="1" t="s">
        <v>38</v>
      </c>
      <c r="J1356" s="1">
        <v>42439.743750000001</v>
      </c>
      <c r="K1356" s="1" t="s">
        <v>39</v>
      </c>
      <c r="L1356" s="14">
        <f>24*(TblTimeSheet[[#This Row],[End Date and Time]]-TblTimeSheet[[#This Row],[Start Date and Time]])</f>
        <v>0.58333333331393078</v>
      </c>
      <c r="M13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6">
        <f>--(0&gt;(TblTimeSheet[[#This Row],[End Date and Time]]-TblTimeSheet[[#This Row],[Start Date and Time]]))</f>
        <v>0</v>
      </c>
    </row>
    <row r="1357" spans="1:14" x14ac:dyDescent="0.25">
      <c r="A1357" s="1"/>
      <c r="B1357" s="2" t="s">
        <v>913</v>
      </c>
      <c r="C1357" s="2" t="s">
        <v>171</v>
      </c>
      <c r="D1357" s="2" t="s">
        <v>32</v>
      </c>
      <c r="E1357" s="7" t="s">
        <v>1555</v>
      </c>
      <c r="F1357" s="37">
        <v>42439.729166666664</v>
      </c>
      <c r="G1357" s="37">
        <v>42439.732638888891</v>
      </c>
      <c r="H1357" s="1" t="s">
        <v>6</v>
      </c>
      <c r="I1357" s="1" t="s">
        <v>38</v>
      </c>
      <c r="J1357" s="1">
        <v>42440.376805555556</v>
      </c>
      <c r="K1357" s="1" t="s">
        <v>171</v>
      </c>
      <c r="L1357" s="14">
        <f>24*(TblTimeSheet[[#This Row],[End Date and Time]]-TblTimeSheet[[#This Row],[Start Date and Time]])</f>
        <v>8.3333333430346102E-2</v>
      </c>
      <c r="M13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7">
        <f>--(0&gt;(TblTimeSheet[[#This Row],[End Date and Time]]-TblTimeSheet[[#This Row],[Start Date and Time]]))</f>
        <v>0</v>
      </c>
    </row>
    <row r="1358" spans="1:14" x14ac:dyDescent="0.25">
      <c r="A1358" s="1"/>
      <c r="B1358" s="2" t="s">
        <v>913</v>
      </c>
      <c r="C1358" s="2" t="s">
        <v>36</v>
      </c>
      <c r="D1358" s="2" t="s">
        <v>32</v>
      </c>
      <c r="E1358" s="7" t="s">
        <v>1441</v>
      </c>
      <c r="F1358" s="37">
        <v>42439.729166666664</v>
      </c>
      <c r="G1358" s="37">
        <v>42439.732638888891</v>
      </c>
      <c r="H1358" s="1" t="s">
        <v>6</v>
      </c>
      <c r="I1358" s="1" t="s">
        <v>38</v>
      </c>
      <c r="J1358" s="1">
        <v>42440.422326388885</v>
      </c>
      <c r="K1358" s="1" t="s">
        <v>36</v>
      </c>
      <c r="L1358" s="14">
        <f>24*(TblTimeSheet[[#This Row],[End Date and Time]]-TblTimeSheet[[#This Row],[Start Date and Time]])</f>
        <v>8.3333333430346102E-2</v>
      </c>
      <c r="M13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58">
        <f>--(0&gt;(TblTimeSheet[[#This Row],[End Date and Time]]-TblTimeSheet[[#This Row],[Start Date and Time]]))</f>
        <v>0</v>
      </c>
    </row>
    <row r="1359" spans="1:14" x14ac:dyDescent="0.25">
      <c r="A1359" s="1"/>
      <c r="B1359" s="2" t="s">
        <v>915</v>
      </c>
      <c r="C1359" s="2" t="s">
        <v>116</v>
      </c>
      <c r="D1359" s="2" t="s">
        <v>20</v>
      </c>
      <c r="E1359" s="7" t="s">
        <v>1556</v>
      </c>
      <c r="F1359" s="37">
        <v>42439.416666666664</v>
      </c>
      <c r="G1359" s="37">
        <v>42439.458333333336</v>
      </c>
      <c r="H1359" s="1" t="s">
        <v>6</v>
      </c>
      <c r="I1359" s="1" t="s">
        <v>38</v>
      </c>
      <c r="J1359" s="1">
        <v>42440.430219907408</v>
      </c>
      <c r="K1359" s="1" t="s">
        <v>701</v>
      </c>
      <c r="L1359" s="14">
        <f>24*(TblTimeSheet[[#This Row],[End Date and Time]]-TblTimeSheet[[#This Row],[Start Date and Time]])</f>
        <v>1.0000000001164153</v>
      </c>
      <c r="M13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59">
        <f>--(0&gt;(TblTimeSheet[[#This Row],[End Date and Time]]-TblTimeSheet[[#This Row],[Start Date and Time]]))</f>
        <v>0</v>
      </c>
    </row>
    <row r="1360" spans="1:14" x14ac:dyDescent="0.25">
      <c r="A1360" s="1"/>
      <c r="B1360" s="2" t="s">
        <v>915</v>
      </c>
      <c r="C1360" s="2" t="s">
        <v>116</v>
      </c>
      <c r="D1360" s="2" t="s">
        <v>20</v>
      </c>
      <c r="E1360" s="7" t="s">
        <v>1557</v>
      </c>
      <c r="F1360" s="37">
        <v>42439.6875</v>
      </c>
      <c r="G1360" s="37">
        <v>42439.704861111109</v>
      </c>
      <c r="H1360" s="1" t="s">
        <v>6</v>
      </c>
      <c r="I1360" s="1" t="s">
        <v>38</v>
      </c>
      <c r="J1360" s="1">
        <v>42440.431087962963</v>
      </c>
      <c r="K1360" s="1" t="s">
        <v>701</v>
      </c>
      <c r="L1360" s="14">
        <f>24*(TblTimeSheet[[#This Row],[End Date and Time]]-TblTimeSheet[[#This Row],[Start Date and Time]])</f>
        <v>0.41666666662786156</v>
      </c>
      <c r="M13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0">
        <f>--(0&gt;(TblTimeSheet[[#This Row],[End Date and Time]]-TblTimeSheet[[#This Row],[Start Date and Time]]))</f>
        <v>0</v>
      </c>
    </row>
    <row r="1361" spans="1:14" x14ac:dyDescent="0.25">
      <c r="A1361" s="1"/>
      <c r="B1361" s="2" t="s">
        <v>913</v>
      </c>
      <c r="C1361" s="2" t="s">
        <v>118</v>
      </c>
      <c r="D1361" s="2" t="s">
        <v>32</v>
      </c>
      <c r="E1361" s="7" t="s">
        <v>1558</v>
      </c>
      <c r="F1361" s="37">
        <v>42439.666666666664</v>
      </c>
      <c r="G1361" s="37">
        <v>42439.677083333336</v>
      </c>
      <c r="H1361" s="1" t="s">
        <v>6</v>
      </c>
      <c r="I1361" s="1" t="s">
        <v>38</v>
      </c>
      <c r="J1361" s="1">
        <v>42440.453263888892</v>
      </c>
      <c r="K1361" s="1" t="s">
        <v>118</v>
      </c>
      <c r="L1361" s="14">
        <f>24*(TblTimeSheet[[#This Row],[End Date and Time]]-TblTimeSheet[[#This Row],[Start Date and Time]])</f>
        <v>0.25000000011641532</v>
      </c>
      <c r="M13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1">
        <f>--(0&gt;(TblTimeSheet[[#This Row],[End Date and Time]]-TblTimeSheet[[#This Row],[Start Date and Time]]))</f>
        <v>0</v>
      </c>
    </row>
    <row r="1362" spans="1:14" x14ac:dyDescent="0.25">
      <c r="A1362" s="1"/>
      <c r="B1362" s="2" t="s">
        <v>915</v>
      </c>
      <c r="C1362" s="2" t="s">
        <v>116</v>
      </c>
      <c r="D1362" s="2" t="s">
        <v>20</v>
      </c>
      <c r="E1362" s="7" t="s">
        <v>1559</v>
      </c>
      <c r="F1362" s="37">
        <v>42440.4375</v>
      </c>
      <c r="G1362" s="37">
        <v>42440.458333333336</v>
      </c>
      <c r="H1362" s="1" t="s">
        <v>6</v>
      </c>
      <c r="I1362" s="1" t="s">
        <v>38</v>
      </c>
      <c r="J1362" s="1">
        <v>42440.465787037036</v>
      </c>
      <c r="K1362" s="1" t="s">
        <v>701</v>
      </c>
      <c r="L1362" s="14">
        <f>24*(TblTimeSheet[[#This Row],[End Date and Time]]-TblTimeSheet[[#This Row],[Start Date and Time]])</f>
        <v>0.50000000005820766</v>
      </c>
      <c r="M13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2">
        <f>--(0&gt;(TblTimeSheet[[#This Row],[End Date and Time]]-TblTimeSheet[[#This Row],[Start Date and Time]]))</f>
        <v>0</v>
      </c>
    </row>
    <row r="1363" spans="1:14" x14ac:dyDescent="0.25">
      <c r="A1363" s="1"/>
      <c r="B1363" s="2" t="s">
        <v>913</v>
      </c>
      <c r="C1363" s="2" t="s">
        <v>41</v>
      </c>
      <c r="D1363" s="2" t="s">
        <v>32</v>
      </c>
      <c r="E1363" s="7" t="s">
        <v>1560</v>
      </c>
      <c r="F1363" s="37">
        <v>42440.493055555555</v>
      </c>
      <c r="G1363" s="37">
        <v>42440.5</v>
      </c>
      <c r="H1363" s="1" t="s">
        <v>6</v>
      </c>
      <c r="I1363" s="1" t="s">
        <v>38</v>
      </c>
      <c r="J1363" s="1">
        <v>42440.498391203706</v>
      </c>
      <c r="K1363" s="1" t="s">
        <v>41</v>
      </c>
      <c r="L1363" s="14">
        <f>24*(TblTimeSheet[[#This Row],[End Date and Time]]-TblTimeSheet[[#This Row],[Start Date and Time]])</f>
        <v>0.16666666668606922</v>
      </c>
      <c r="M13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3">
        <f>--(0&gt;(TblTimeSheet[[#This Row],[End Date and Time]]-TblTimeSheet[[#This Row],[Start Date and Time]]))</f>
        <v>0</v>
      </c>
    </row>
    <row r="1364" spans="1:14" x14ac:dyDescent="0.25">
      <c r="A1364" s="1"/>
      <c r="B1364" s="2" t="s">
        <v>913</v>
      </c>
      <c r="C1364" s="2" t="s">
        <v>171</v>
      </c>
      <c r="D1364" s="2" t="s">
        <v>32</v>
      </c>
      <c r="E1364" s="7" t="s">
        <v>1561</v>
      </c>
      <c r="F1364" s="37">
        <v>42440.493055555555</v>
      </c>
      <c r="G1364" s="37">
        <v>42440.5</v>
      </c>
      <c r="H1364" s="1" t="s">
        <v>6</v>
      </c>
      <c r="I1364" s="1" t="s">
        <v>38</v>
      </c>
      <c r="J1364" s="1">
        <v>42440.499120370368</v>
      </c>
      <c r="K1364" s="1" t="s">
        <v>171</v>
      </c>
      <c r="L1364" s="14">
        <f>24*(TblTimeSheet[[#This Row],[End Date and Time]]-TblTimeSheet[[#This Row],[Start Date and Time]])</f>
        <v>0.16666666668606922</v>
      </c>
      <c r="M13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4">
        <f>--(0&gt;(TblTimeSheet[[#This Row],[End Date and Time]]-TblTimeSheet[[#This Row],[Start Date and Time]]))</f>
        <v>0</v>
      </c>
    </row>
    <row r="1365" spans="1:14" x14ac:dyDescent="0.25">
      <c r="A1365" s="1"/>
      <c r="B1365" s="2" t="s">
        <v>913</v>
      </c>
      <c r="C1365" s="2" t="s">
        <v>118</v>
      </c>
      <c r="D1365" s="2" t="s">
        <v>32</v>
      </c>
      <c r="E1365" s="7" t="s">
        <v>1562</v>
      </c>
      <c r="F1365" s="37">
        <v>42440.503472222219</v>
      </c>
      <c r="G1365" s="37">
        <v>42440.506944444445</v>
      </c>
      <c r="H1365" s="1" t="s">
        <v>6</v>
      </c>
      <c r="I1365" s="1" t="s">
        <v>38</v>
      </c>
      <c r="J1365" s="1">
        <v>42440.508333333331</v>
      </c>
      <c r="K1365" s="1" t="s">
        <v>118</v>
      </c>
      <c r="L1365" s="14">
        <f>24*(TblTimeSheet[[#This Row],[End Date and Time]]-TblTimeSheet[[#This Row],[Start Date and Time]])</f>
        <v>8.3333333430346102E-2</v>
      </c>
      <c r="M13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5">
        <f>--(0&gt;(TblTimeSheet[[#This Row],[End Date and Time]]-TblTimeSheet[[#This Row],[Start Date and Time]]))</f>
        <v>0</v>
      </c>
    </row>
    <row r="1366" spans="1:14" x14ac:dyDescent="0.25">
      <c r="A1366" s="1"/>
      <c r="B1366" s="2" t="s">
        <v>913</v>
      </c>
      <c r="C1366" s="2" t="s">
        <v>116</v>
      </c>
      <c r="D1366" s="2" t="s">
        <v>32</v>
      </c>
      <c r="E1366" s="7" t="s">
        <v>1563</v>
      </c>
      <c r="F1366" s="37">
        <v>42440.503472222219</v>
      </c>
      <c r="G1366" s="37">
        <v>42440.506944444445</v>
      </c>
      <c r="H1366" s="1" t="s">
        <v>6</v>
      </c>
      <c r="I1366" s="1" t="s">
        <v>38</v>
      </c>
      <c r="J1366" s="1">
        <v>42440.515486111108</v>
      </c>
      <c r="K1366" s="1" t="s">
        <v>39</v>
      </c>
      <c r="L1366" s="14">
        <f>24*(TblTimeSheet[[#This Row],[End Date and Time]]-TblTimeSheet[[#This Row],[Start Date and Time]])</f>
        <v>8.3333333430346102E-2</v>
      </c>
      <c r="M13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66">
        <f>--(0&gt;(TblTimeSheet[[#This Row],[End Date and Time]]-TblTimeSheet[[#This Row],[Start Date and Time]]))</f>
        <v>0</v>
      </c>
    </row>
    <row r="1367" spans="1:14" x14ac:dyDescent="0.25">
      <c r="A1367" s="1"/>
      <c r="B1367" s="2" t="s">
        <v>913</v>
      </c>
      <c r="C1367" s="2" t="s">
        <v>171</v>
      </c>
      <c r="D1367" s="2" t="s">
        <v>32</v>
      </c>
      <c r="E1367" s="7" t="s">
        <v>1564</v>
      </c>
      <c r="F1367" s="37">
        <v>42440.503472222219</v>
      </c>
      <c r="G1367" s="37">
        <v>42440.506944444445</v>
      </c>
      <c r="H1367" s="1" t="s">
        <v>6</v>
      </c>
      <c r="I1367" s="1" t="s">
        <v>38</v>
      </c>
      <c r="J1367" s="1">
        <v>42440.521307870367</v>
      </c>
      <c r="K1367" s="1" t="s">
        <v>171</v>
      </c>
      <c r="L1367" s="14">
        <f>24*(TblTimeSheet[[#This Row],[End Date and Time]]-TblTimeSheet[[#This Row],[Start Date and Time]])</f>
        <v>8.3333333430346102E-2</v>
      </c>
      <c r="M13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7">
        <f>--(0&gt;(TblTimeSheet[[#This Row],[End Date and Time]]-TblTimeSheet[[#This Row],[Start Date and Time]]))</f>
        <v>0</v>
      </c>
    </row>
    <row r="1368" spans="1:14" ht="45" x14ac:dyDescent="0.25">
      <c r="A1368" s="1"/>
      <c r="B1368" s="2" t="s">
        <v>909</v>
      </c>
      <c r="C1368" s="2" t="s">
        <v>1105</v>
      </c>
      <c r="D1368" s="2" t="s">
        <v>34</v>
      </c>
      <c r="E1368" s="7" t="s">
        <v>1898</v>
      </c>
      <c r="F1368" s="37">
        <v>42440.520833333336</v>
      </c>
      <c r="G1368" s="37">
        <v>42440.552083333336</v>
      </c>
      <c r="H1368" s="1" t="s">
        <v>6</v>
      </c>
      <c r="I1368" s="1" t="s">
        <v>38</v>
      </c>
      <c r="J1368" s="1">
        <v>42440.599363425928</v>
      </c>
      <c r="K1368" s="1" t="s">
        <v>2864</v>
      </c>
      <c r="L1368" s="14">
        <f>24*(TblTimeSheet[[#This Row],[End Date and Time]]-TblTimeSheet[[#This Row],[Start Date and Time]])</f>
        <v>0.75</v>
      </c>
      <c r="M13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8">
        <f>--(0&gt;(TblTimeSheet[[#This Row],[End Date and Time]]-TblTimeSheet[[#This Row],[Start Date and Time]]))</f>
        <v>0</v>
      </c>
    </row>
    <row r="1369" spans="1:14" x14ac:dyDescent="0.25">
      <c r="A1369" s="1"/>
      <c r="B1369" s="2" t="s">
        <v>909</v>
      </c>
      <c r="C1369" s="2" t="s">
        <v>41</v>
      </c>
      <c r="D1369" s="2" t="s">
        <v>34</v>
      </c>
      <c r="E1369" s="7" t="s">
        <v>1565</v>
      </c>
      <c r="F1369" s="37">
        <v>42440.520833333336</v>
      </c>
      <c r="G1369" s="37">
        <v>42440.552083333336</v>
      </c>
      <c r="H1369" s="1" t="s">
        <v>6</v>
      </c>
      <c r="I1369" s="1" t="s">
        <v>38</v>
      </c>
      <c r="J1369" s="1">
        <v>42440.69158564815</v>
      </c>
      <c r="K1369" s="1" t="s">
        <v>41</v>
      </c>
      <c r="L1369" s="14">
        <f>24*(TblTimeSheet[[#This Row],[End Date and Time]]-TblTimeSheet[[#This Row],[Start Date and Time]])</f>
        <v>0.75</v>
      </c>
      <c r="M13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69">
        <f>--(0&gt;(TblTimeSheet[[#This Row],[End Date and Time]]-TblTimeSheet[[#This Row],[Start Date and Time]]))</f>
        <v>0</v>
      </c>
    </row>
    <row r="1370" spans="1:14" x14ac:dyDescent="0.25">
      <c r="A1370" s="1"/>
      <c r="B1370" s="2" t="s">
        <v>909</v>
      </c>
      <c r="C1370" s="2" t="s">
        <v>1061</v>
      </c>
      <c r="D1370" s="2" t="s">
        <v>34</v>
      </c>
      <c r="E1370" s="7" t="s">
        <v>1566</v>
      </c>
      <c r="F1370" s="37">
        <v>42440.520833333336</v>
      </c>
      <c r="G1370" s="37">
        <v>42440.552083333336</v>
      </c>
      <c r="H1370" s="1" t="s">
        <v>6</v>
      </c>
      <c r="I1370" s="1" t="s">
        <v>38</v>
      </c>
      <c r="J1370" s="1">
        <v>42448.617175925923</v>
      </c>
      <c r="K1370" s="1" t="s">
        <v>1061</v>
      </c>
      <c r="L1370" s="14">
        <f>24*(TblTimeSheet[[#This Row],[End Date and Time]]-TblTimeSheet[[#This Row],[Start Date and Time]])</f>
        <v>0.75</v>
      </c>
      <c r="M13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70">
        <f>--(0&gt;(TblTimeSheet[[#This Row],[End Date and Time]]-TblTimeSheet[[#This Row],[Start Date and Time]]))</f>
        <v>0</v>
      </c>
    </row>
    <row r="1371" spans="1:14" x14ac:dyDescent="0.25">
      <c r="A1371" s="1"/>
      <c r="B1371" s="2" t="s">
        <v>909</v>
      </c>
      <c r="C1371" s="2" t="s">
        <v>116</v>
      </c>
      <c r="D1371" s="2" t="s">
        <v>34</v>
      </c>
      <c r="E1371" s="7" t="s">
        <v>1567</v>
      </c>
      <c r="F1371" s="37">
        <v>42440.520833333336</v>
      </c>
      <c r="G1371" s="37">
        <v>42440.552083333336</v>
      </c>
      <c r="H1371" s="1" t="s">
        <v>6</v>
      </c>
      <c r="I1371" s="1" t="s">
        <v>38</v>
      </c>
      <c r="J1371" s="1">
        <v>42440.619780092595</v>
      </c>
      <c r="K1371" s="1" t="s">
        <v>39</v>
      </c>
      <c r="L1371" s="14">
        <f>24*(TblTimeSheet[[#This Row],[End Date and Time]]-TblTimeSheet[[#This Row],[Start Date and Time]])</f>
        <v>0.75</v>
      </c>
      <c r="M13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71">
        <f>--(0&gt;(TblTimeSheet[[#This Row],[End Date and Time]]-TblTimeSheet[[#This Row],[Start Date and Time]]))</f>
        <v>0</v>
      </c>
    </row>
    <row r="1372" spans="1:14" x14ac:dyDescent="0.25">
      <c r="A1372" s="1"/>
      <c r="B1372" s="2" t="s">
        <v>909</v>
      </c>
      <c r="C1372" s="2" t="s">
        <v>118</v>
      </c>
      <c r="D1372" s="2" t="s">
        <v>34</v>
      </c>
      <c r="E1372" s="7" t="s">
        <v>1568</v>
      </c>
      <c r="F1372" s="37">
        <v>42440.520833333336</v>
      </c>
      <c r="G1372" s="37">
        <v>42440.552083333336</v>
      </c>
      <c r="H1372" s="1" t="s">
        <v>6</v>
      </c>
      <c r="I1372" s="1" t="s">
        <v>38</v>
      </c>
      <c r="J1372" s="1">
        <v>42440.620416666665</v>
      </c>
      <c r="K1372" s="1" t="s">
        <v>118</v>
      </c>
      <c r="L1372" s="14">
        <f>24*(TblTimeSheet[[#This Row],[End Date and Time]]-TblTimeSheet[[#This Row],[Start Date and Time]])</f>
        <v>0.75</v>
      </c>
      <c r="M13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2">
        <f>--(0&gt;(TblTimeSheet[[#This Row],[End Date and Time]]-TblTimeSheet[[#This Row],[Start Date and Time]]))</f>
        <v>0</v>
      </c>
    </row>
    <row r="1373" spans="1:14" x14ac:dyDescent="0.25">
      <c r="A1373" s="1"/>
      <c r="B1373" s="2" t="s">
        <v>909</v>
      </c>
      <c r="C1373" s="2" t="s">
        <v>1503</v>
      </c>
      <c r="D1373" s="2" t="s">
        <v>34</v>
      </c>
      <c r="E1373" s="7" t="s">
        <v>1569</v>
      </c>
      <c r="F1373" s="37">
        <v>42440.520833333336</v>
      </c>
      <c r="G1373" s="37">
        <v>42440.552083333336</v>
      </c>
      <c r="H1373" s="1" t="s">
        <v>6</v>
      </c>
      <c r="I1373" s="1" t="s">
        <v>38</v>
      </c>
      <c r="J1373" s="1">
        <v>42440.620752314811</v>
      </c>
      <c r="K1373" s="1" t="s">
        <v>2866</v>
      </c>
      <c r="L1373" s="14">
        <f>24*(TblTimeSheet[[#This Row],[End Date and Time]]-TblTimeSheet[[#This Row],[Start Date and Time]])</f>
        <v>0.75</v>
      </c>
      <c r="M13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3">
        <f>--(0&gt;(TblTimeSheet[[#This Row],[End Date and Time]]-TblTimeSheet[[#This Row],[Start Date and Time]]))</f>
        <v>0</v>
      </c>
    </row>
    <row r="1374" spans="1:14" x14ac:dyDescent="0.25">
      <c r="A1374" s="1"/>
      <c r="B1374" s="2" t="s">
        <v>913</v>
      </c>
      <c r="C1374" s="2" t="s">
        <v>118</v>
      </c>
      <c r="D1374" s="2" t="s">
        <v>32</v>
      </c>
      <c r="E1374" s="7" t="s">
        <v>1570</v>
      </c>
      <c r="F1374" s="37">
        <v>42440.416666666664</v>
      </c>
      <c r="G1374" s="37">
        <v>42440.4375</v>
      </c>
      <c r="H1374" s="1" t="s">
        <v>6</v>
      </c>
      <c r="I1374" s="1" t="s">
        <v>38</v>
      </c>
      <c r="J1374" s="1">
        <v>42440.635706018518</v>
      </c>
      <c r="K1374" s="1" t="s">
        <v>118</v>
      </c>
      <c r="L1374" s="14">
        <f>24*(TblTimeSheet[[#This Row],[End Date and Time]]-TblTimeSheet[[#This Row],[Start Date and Time]])</f>
        <v>0.50000000005820766</v>
      </c>
      <c r="M13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4">
        <f>--(0&gt;(TblTimeSheet[[#This Row],[End Date and Time]]-TblTimeSheet[[#This Row],[Start Date and Time]]))</f>
        <v>0</v>
      </c>
    </row>
    <row r="1375" spans="1:14" x14ac:dyDescent="0.25">
      <c r="A1375" s="1"/>
      <c r="B1375" s="2" t="s">
        <v>909</v>
      </c>
      <c r="C1375" s="2" t="s">
        <v>1061</v>
      </c>
      <c r="D1375" s="2" t="s">
        <v>34</v>
      </c>
      <c r="E1375" s="7" t="s">
        <v>1571</v>
      </c>
      <c r="F1375" s="37">
        <v>42440.375</v>
      </c>
      <c r="G1375" s="37">
        <v>42440.520833333336</v>
      </c>
      <c r="H1375" s="1" t="s">
        <v>6</v>
      </c>
      <c r="I1375" s="1" t="s">
        <v>38</v>
      </c>
      <c r="J1375" s="1">
        <v>42440.679074074076</v>
      </c>
      <c r="K1375" s="1" t="s">
        <v>1061</v>
      </c>
      <c r="L1375" s="14">
        <f>24*(TblTimeSheet[[#This Row],[End Date and Time]]-TblTimeSheet[[#This Row],[Start Date and Time]])</f>
        <v>3.5000000000582077</v>
      </c>
      <c r="M13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5">
        <f>--(0&gt;(TblTimeSheet[[#This Row],[End Date and Time]]-TblTimeSheet[[#This Row],[Start Date and Time]]))</f>
        <v>0</v>
      </c>
    </row>
    <row r="1376" spans="1:14" x14ac:dyDescent="0.25">
      <c r="A1376" s="1"/>
      <c r="B1376" s="2" t="s">
        <v>911</v>
      </c>
      <c r="C1376" s="2" t="s">
        <v>1117</v>
      </c>
      <c r="D1376" s="2" t="s">
        <v>32</v>
      </c>
      <c r="E1376" s="7" t="s">
        <v>1899</v>
      </c>
      <c r="F1376" s="37">
        <v>42439.375</v>
      </c>
      <c r="G1376" s="37">
        <v>42439.416666666664</v>
      </c>
      <c r="H1376" s="1" t="s">
        <v>6</v>
      </c>
      <c r="I1376" s="1" t="s">
        <v>38</v>
      </c>
      <c r="J1376" s="1">
        <v>42440.698576388888</v>
      </c>
      <c r="K1376" s="1" t="s">
        <v>2865</v>
      </c>
      <c r="L1376" s="14">
        <f>24*(TblTimeSheet[[#This Row],[End Date and Time]]-TblTimeSheet[[#This Row],[Start Date and Time]])</f>
        <v>0.99999999994179234</v>
      </c>
      <c r="M13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6">
        <f>--(0&gt;(TblTimeSheet[[#This Row],[End Date and Time]]-TblTimeSheet[[#This Row],[Start Date and Time]]))</f>
        <v>0</v>
      </c>
    </row>
    <row r="1377" spans="1:14" x14ac:dyDescent="0.25">
      <c r="A1377" s="1"/>
      <c r="B1377" s="2" t="s">
        <v>911</v>
      </c>
      <c r="C1377" s="2" t="s">
        <v>1117</v>
      </c>
      <c r="D1377" s="2" t="s">
        <v>32</v>
      </c>
      <c r="E1377" s="7" t="s">
        <v>1899</v>
      </c>
      <c r="F1377" s="37">
        <v>42439.5</v>
      </c>
      <c r="G1377" s="37">
        <v>42439.541666666664</v>
      </c>
      <c r="H1377" s="1" t="s">
        <v>6</v>
      </c>
      <c r="I1377" s="1" t="s">
        <v>38</v>
      </c>
      <c r="J1377" s="1">
        <v>42440.698877314811</v>
      </c>
      <c r="K1377" s="1" t="s">
        <v>2865</v>
      </c>
      <c r="L1377" s="14">
        <f>24*(TblTimeSheet[[#This Row],[End Date and Time]]-TblTimeSheet[[#This Row],[Start Date and Time]])</f>
        <v>0.99999999994179234</v>
      </c>
      <c r="M13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7">
        <f>--(0&gt;(TblTimeSheet[[#This Row],[End Date and Time]]-TblTimeSheet[[#This Row],[Start Date and Time]]))</f>
        <v>0</v>
      </c>
    </row>
    <row r="1378" spans="1:14" x14ac:dyDescent="0.25">
      <c r="A1378" s="1"/>
      <c r="B1378" s="2" t="s">
        <v>911</v>
      </c>
      <c r="C1378" s="2" t="s">
        <v>1117</v>
      </c>
      <c r="D1378" s="2" t="s">
        <v>32</v>
      </c>
      <c r="E1378" s="7" t="s">
        <v>1899</v>
      </c>
      <c r="F1378" s="37">
        <v>42439.6875</v>
      </c>
      <c r="G1378" s="37">
        <v>42439.75</v>
      </c>
      <c r="H1378" s="1" t="s">
        <v>6</v>
      </c>
      <c r="I1378" s="1" t="s">
        <v>38</v>
      </c>
      <c r="J1378" s="1">
        <v>42440.69935185185</v>
      </c>
      <c r="K1378" s="1" t="s">
        <v>2865</v>
      </c>
      <c r="L1378" s="14">
        <f>24*(TblTimeSheet[[#This Row],[End Date and Time]]-TblTimeSheet[[#This Row],[Start Date and Time]])</f>
        <v>1.5</v>
      </c>
      <c r="M13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8">
        <f>--(0&gt;(TblTimeSheet[[#This Row],[End Date and Time]]-TblTimeSheet[[#This Row],[Start Date and Time]]))</f>
        <v>0</v>
      </c>
    </row>
    <row r="1379" spans="1:14" x14ac:dyDescent="0.25">
      <c r="A1379" s="1"/>
      <c r="B1379" s="2" t="s">
        <v>911</v>
      </c>
      <c r="C1379" s="2" t="s">
        <v>1117</v>
      </c>
      <c r="D1379" s="2" t="s">
        <v>32</v>
      </c>
      <c r="E1379" s="7" t="s">
        <v>1899</v>
      </c>
      <c r="F1379" s="37">
        <v>42438.708333333336</v>
      </c>
      <c r="G1379" s="37">
        <v>42438.75</v>
      </c>
      <c r="H1379" s="1" t="s">
        <v>6</v>
      </c>
      <c r="I1379" s="1" t="s">
        <v>38</v>
      </c>
      <c r="J1379" s="1">
        <v>42440.700729166667</v>
      </c>
      <c r="K1379" s="1" t="s">
        <v>2865</v>
      </c>
      <c r="L1379" s="14">
        <f>24*(TblTimeSheet[[#This Row],[End Date and Time]]-TblTimeSheet[[#This Row],[Start Date and Time]])</f>
        <v>0.99999999994179234</v>
      </c>
      <c r="M13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79">
        <f>--(0&gt;(TblTimeSheet[[#This Row],[End Date and Time]]-TblTimeSheet[[#This Row],[Start Date and Time]]))</f>
        <v>0</v>
      </c>
    </row>
    <row r="1380" spans="1:14" x14ac:dyDescent="0.25">
      <c r="A1380" s="1"/>
      <c r="B1380" s="2" t="s">
        <v>915</v>
      </c>
      <c r="C1380" s="2" t="s">
        <v>116</v>
      </c>
      <c r="D1380" s="2" t="s">
        <v>20</v>
      </c>
      <c r="E1380" s="7" t="s">
        <v>1572</v>
      </c>
      <c r="F1380" s="37">
        <v>42440.645833333336</v>
      </c>
      <c r="G1380" s="37">
        <v>42440.701388888891</v>
      </c>
      <c r="H1380" s="1" t="s">
        <v>6</v>
      </c>
      <c r="I1380" s="1" t="s">
        <v>38</v>
      </c>
      <c r="J1380" s="1">
        <v>42440.719884259262</v>
      </c>
      <c r="K1380" s="1" t="s">
        <v>701</v>
      </c>
      <c r="L1380" s="14">
        <f>24*(TblTimeSheet[[#This Row],[End Date and Time]]-TblTimeSheet[[#This Row],[Start Date and Time]])</f>
        <v>1.3333333333139308</v>
      </c>
      <c r="M13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80">
        <f>--(0&gt;(TblTimeSheet[[#This Row],[End Date and Time]]-TblTimeSheet[[#This Row],[Start Date and Time]]))</f>
        <v>0</v>
      </c>
    </row>
    <row r="1381" spans="1:14" x14ac:dyDescent="0.25">
      <c r="A1381" s="1"/>
      <c r="B1381" s="2" t="s">
        <v>915</v>
      </c>
      <c r="C1381" s="2" t="s">
        <v>116</v>
      </c>
      <c r="D1381" s="2" t="s">
        <v>20</v>
      </c>
      <c r="E1381" s="7" t="s">
        <v>1573</v>
      </c>
      <c r="F1381" s="37">
        <v>42440.701388888891</v>
      </c>
      <c r="G1381" s="37">
        <v>42440.71875</v>
      </c>
      <c r="H1381" s="1" t="s">
        <v>6</v>
      </c>
      <c r="I1381" s="1" t="s">
        <v>38</v>
      </c>
      <c r="J1381" s="1">
        <v>42441.720057870371</v>
      </c>
      <c r="K1381" s="1" t="s">
        <v>701</v>
      </c>
      <c r="L1381" s="14">
        <f>24*(TblTimeSheet[[#This Row],[End Date and Time]]-TblTimeSheet[[#This Row],[Start Date and Time]])</f>
        <v>0.41666666662786156</v>
      </c>
      <c r="M13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81">
        <f>--(0&gt;(TblTimeSheet[[#This Row],[End Date and Time]]-TblTimeSheet[[#This Row],[Start Date and Time]]))</f>
        <v>0</v>
      </c>
    </row>
    <row r="1382" spans="1:14" x14ac:dyDescent="0.25">
      <c r="A1382" s="1"/>
      <c r="B1382" s="2" t="s">
        <v>915</v>
      </c>
      <c r="C1382" s="2" t="s">
        <v>116</v>
      </c>
      <c r="D1382" s="2" t="s">
        <v>20</v>
      </c>
      <c r="E1382" s="7" t="s">
        <v>1574</v>
      </c>
      <c r="F1382" s="37">
        <v>42440.645833333336</v>
      </c>
      <c r="G1382" s="37">
        <v>42440.701388888891</v>
      </c>
      <c r="H1382" s="1" t="s">
        <v>6</v>
      </c>
      <c r="I1382" s="1" t="s">
        <v>38</v>
      </c>
      <c r="J1382" s="1">
        <v>42440.726550925923</v>
      </c>
      <c r="K1382" s="1" t="s">
        <v>81</v>
      </c>
      <c r="L1382" s="14">
        <f>24*(TblTimeSheet[[#This Row],[End Date and Time]]-TblTimeSheet[[#This Row],[Start Date and Time]])</f>
        <v>1.3333333333139308</v>
      </c>
      <c r="M13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82">
        <f>--(0&gt;(TblTimeSheet[[#This Row],[End Date and Time]]-TblTimeSheet[[#This Row],[Start Date and Time]]))</f>
        <v>0</v>
      </c>
    </row>
    <row r="1383" spans="1:14" x14ac:dyDescent="0.25">
      <c r="A1383" s="1"/>
      <c r="B1383" s="2" t="s">
        <v>913</v>
      </c>
      <c r="C1383" s="2" t="s">
        <v>116</v>
      </c>
      <c r="D1383" s="2" t="s">
        <v>32</v>
      </c>
      <c r="E1383" s="7" t="s">
        <v>1575</v>
      </c>
      <c r="F1383" s="37">
        <v>42440.6875</v>
      </c>
      <c r="G1383" s="37">
        <v>42440.708333333336</v>
      </c>
      <c r="H1383" s="1" t="s">
        <v>6</v>
      </c>
      <c r="I1383" s="1" t="s">
        <v>38</v>
      </c>
      <c r="J1383" s="1">
        <v>42440.726585648146</v>
      </c>
      <c r="K1383" s="1" t="s">
        <v>39</v>
      </c>
      <c r="L1383" s="14">
        <f>24*(TblTimeSheet[[#This Row],[End Date and Time]]-TblTimeSheet[[#This Row],[Start Date and Time]])</f>
        <v>0.50000000005820766</v>
      </c>
      <c r="M13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83">
        <f>--(0&gt;(TblTimeSheet[[#This Row],[End Date and Time]]-TblTimeSheet[[#This Row],[Start Date and Time]]))</f>
        <v>0</v>
      </c>
    </row>
    <row r="1384" spans="1:14" x14ac:dyDescent="0.25">
      <c r="A1384" s="1"/>
      <c r="B1384" s="2" t="s">
        <v>909</v>
      </c>
      <c r="C1384" s="2" t="s">
        <v>1061</v>
      </c>
      <c r="D1384" s="2" t="s">
        <v>34</v>
      </c>
      <c r="E1384" s="7" t="s">
        <v>1576</v>
      </c>
      <c r="F1384" s="37">
        <v>42440.583333333336</v>
      </c>
      <c r="G1384" s="37">
        <v>42440.736111111109</v>
      </c>
      <c r="H1384" s="1" t="s">
        <v>6</v>
      </c>
      <c r="I1384" s="1" t="s">
        <v>38</v>
      </c>
      <c r="J1384" s="1">
        <v>42440.735613425924</v>
      </c>
      <c r="K1384" s="1" t="s">
        <v>1061</v>
      </c>
      <c r="L1384" s="14">
        <f>24*(TblTimeSheet[[#This Row],[End Date and Time]]-TblTimeSheet[[#This Row],[Start Date and Time]])</f>
        <v>3.6666666665696539</v>
      </c>
      <c r="M13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4">
        <f>--(0&gt;(TblTimeSheet[[#This Row],[End Date and Time]]-TblTimeSheet[[#This Row],[Start Date and Time]]))</f>
        <v>0</v>
      </c>
    </row>
    <row r="1385" spans="1:14" x14ac:dyDescent="0.25">
      <c r="A1385" s="1"/>
      <c r="B1385" s="2" t="s">
        <v>913</v>
      </c>
      <c r="C1385" s="2" t="s">
        <v>116</v>
      </c>
      <c r="D1385" s="2" t="s">
        <v>32</v>
      </c>
      <c r="E1385" s="7" t="s">
        <v>1577</v>
      </c>
      <c r="F1385" s="37">
        <v>42440.732638888891</v>
      </c>
      <c r="G1385" s="37">
        <v>42440.736111111109</v>
      </c>
      <c r="H1385" s="1" t="s">
        <v>6</v>
      </c>
      <c r="I1385" s="1" t="s">
        <v>38</v>
      </c>
      <c r="J1385" s="1">
        <v>42440.737581018519</v>
      </c>
      <c r="K1385" s="1" t="s">
        <v>39</v>
      </c>
      <c r="L1385" s="14">
        <f>24*(TblTimeSheet[[#This Row],[End Date and Time]]-TblTimeSheet[[#This Row],[Start Date and Time]])</f>
        <v>8.3333333255723119E-2</v>
      </c>
      <c r="M13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5">
        <f>--(0&gt;(TblTimeSheet[[#This Row],[End Date and Time]]-TblTimeSheet[[#This Row],[Start Date and Time]]))</f>
        <v>0</v>
      </c>
    </row>
    <row r="1386" spans="1:14" x14ac:dyDescent="0.25">
      <c r="A1386" s="1"/>
      <c r="B1386" s="2" t="s">
        <v>909</v>
      </c>
      <c r="C1386" s="2" t="s">
        <v>1061</v>
      </c>
      <c r="D1386" s="2" t="s">
        <v>34</v>
      </c>
      <c r="E1386" s="7" t="s">
        <v>1578</v>
      </c>
      <c r="F1386" s="37">
        <v>42440.520833333336</v>
      </c>
      <c r="G1386" s="37">
        <v>42440.552083333336</v>
      </c>
      <c r="H1386" s="1" t="s">
        <v>6</v>
      </c>
      <c r="I1386" s="1" t="s">
        <v>38</v>
      </c>
      <c r="J1386" s="1">
        <v>42448.6565625</v>
      </c>
      <c r="K1386" s="1" t="s">
        <v>1061</v>
      </c>
      <c r="L1386" s="14">
        <f>24*(TblTimeSheet[[#This Row],[End Date and Time]]-TblTimeSheet[[#This Row],[Start Date and Time]])</f>
        <v>0.75</v>
      </c>
      <c r="M13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86">
        <f>--(0&gt;(TblTimeSheet[[#This Row],[End Date and Time]]-TblTimeSheet[[#This Row],[Start Date and Time]]))</f>
        <v>0</v>
      </c>
    </row>
    <row r="1387" spans="1:14" x14ac:dyDescent="0.25">
      <c r="A1387" s="1"/>
      <c r="B1387" s="2" t="s">
        <v>913</v>
      </c>
      <c r="C1387" s="2" t="s">
        <v>36</v>
      </c>
      <c r="D1387" s="2" t="s">
        <v>32</v>
      </c>
      <c r="E1387" s="7" t="s">
        <v>1441</v>
      </c>
      <c r="F1387" s="37">
        <v>42440.732638888891</v>
      </c>
      <c r="G1387" s="37">
        <v>42440.736111111109</v>
      </c>
      <c r="H1387" s="1" t="s">
        <v>6</v>
      </c>
      <c r="I1387" s="1" t="s">
        <v>38</v>
      </c>
      <c r="J1387" s="1">
        <v>42440.751875000002</v>
      </c>
      <c r="K1387" s="1" t="s">
        <v>36</v>
      </c>
      <c r="L1387" s="14">
        <f>24*(TblTimeSheet[[#This Row],[End Date and Time]]-TblTimeSheet[[#This Row],[Start Date and Time]])</f>
        <v>8.3333333255723119E-2</v>
      </c>
      <c r="M13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7">
        <f>--(0&gt;(TblTimeSheet[[#This Row],[End Date and Time]]-TblTimeSheet[[#This Row],[Start Date and Time]]))</f>
        <v>0</v>
      </c>
    </row>
    <row r="1388" spans="1:14" x14ac:dyDescent="0.25">
      <c r="A1388" s="1"/>
      <c r="B1388" s="2" t="s">
        <v>913</v>
      </c>
      <c r="C1388" s="2" t="s">
        <v>118</v>
      </c>
      <c r="D1388" s="2" t="s">
        <v>32</v>
      </c>
      <c r="E1388" s="7" t="s">
        <v>1579</v>
      </c>
      <c r="F1388" s="37">
        <v>42440.732638888891</v>
      </c>
      <c r="G1388" s="37">
        <v>42440.736111111109</v>
      </c>
      <c r="H1388" s="1" t="s">
        <v>6</v>
      </c>
      <c r="I1388" s="1" t="s">
        <v>38</v>
      </c>
      <c r="J1388" s="1">
        <v>42441.374745370369</v>
      </c>
      <c r="K1388" s="1" t="s">
        <v>118</v>
      </c>
      <c r="L1388" s="14">
        <f>24*(TblTimeSheet[[#This Row],[End Date and Time]]-TblTimeSheet[[#This Row],[Start Date and Time]])</f>
        <v>8.3333333255723119E-2</v>
      </c>
      <c r="M13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8">
        <f>--(0&gt;(TblTimeSheet[[#This Row],[End Date and Time]]-TblTimeSheet[[#This Row],[Start Date and Time]]))</f>
        <v>0</v>
      </c>
    </row>
    <row r="1389" spans="1:14" x14ac:dyDescent="0.25">
      <c r="A1389" s="1"/>
      <c r="B1389" s="2" t="s">
        <v>913</v>
      </c>
      <c r="C1389" s="2" t="s">
        <v>171</v>
      </c>
      <c r="D1389" s="2" t="s">
        <v>32</v>
      </c>
      <c r="E1389" s="7" t="s">
        <v>1555</v>
      </c>
      <c r="F1389" s="37">
        <v>42440.732638888891</v>
      </c>
      <c r="G1389" s="37">
        <v>42440.736111111109</v>
      </c>
      <c r="H1389" s="1" t="s">
        <v>6</v>
      </c>
      <c r="I1389" s="1" t="s">
        <v>38</v>
      </c>
      <c r="J1389" s="1">
        <v>42441.375173611108</v>
      </c>
      <c r="K1389" s="1" t="s">
        <v>171</v>
      </c>
      <c r="L1389" s="14">
        <f>24*(TblTimeSheet[[#This Row],[End Date and Time]]-TblTimeSheet[[#This Row],[Start Date and Time]])</f>
        <v>8.3333333255723119E-2</v>
      </c>
      <c r="M13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89">
        <f>--(0&gt;(TblTimeSheet[[#This Row],[End Date and Time]]-TblTimeSheet[[#This Row],[Start Date and Time]]))</f>
        <v>0</v>
      </c>
    </row>
    <row r="1390" spans="1:14" x14ac:dyDescent="0.25">
      <c r="A1390" s="1"/>
      <c r="B1390" s="2" t="s">
        <v>911</v>
      </c>
      <c r="C1390" s="2" t="s">
        <v>116</v>
      </c>
      <c r="D1390" s="2" t="s">
        <v>32</v>
      </c>
      <c r="E1390" s="7" t="s">
        <v>1900</v>
      </c>
      <c r="F1390" s="37">
        <v>42441.375</v>
      </c>
      <c r="G1390" s="37">
        <v>42441.395833333336</v>
      </c>
      <c r="H1390" s="1" t="s">
        <v>6</v>
      </c>
      <c r="I1390" s="1" t="s">
        <v>38</v>
      </c>
      <c r="J1390" s="1">
        <v>42441.396087962959</v>
      </c>
      <c r="K1390" s="1" t="s">
        <v>81</v>
      </c>
      <c r="L1390" s="14">
        <f>24*(TblTimeSheet[[#This Row],[End Date and Time]]-TblTimeSheet[[#This Row],[Start Date and Time]])</f>
        <v>0.50000000005820766</v>
      </c>
      <c r="M13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0">
        <f>--(0&gt;(TblTimeSheet[[#This Row],[End Date and Time]]-TblTimeSheet[[#This Row],[Start Date and Time]]))</f>
        <v>0</v>
      </c>
    </row>
    <row r="1391" spans="1:14" x14ac:dyDescent="0.25">
      <c r="A1391" s="1"/>
      <c r="B1391" s="2" t="s">
        <v>911</v>
      </c>
      <c r="C1391" s="2" t="s">
        <v>1117</v>
      </c>
      <c r="D1391" s="2" t="s">
        <v>32</v>
      </c>
      <c r="E1391" s="7" t="s">
        <v>1901</v>
      </c>
      <c r="F1391" s="37">
        <v>42441.375</v>
      </c>
      <c r="G1391" s="37">
        <v>42441.395833333336</v>
      </c>
      <c r="H1391" s="1" t="s">
        <v>6</v>
      </c>
      <c r="I1391" s="1" t="s">
        <v>38</v>
      </c>
      <c r="J1391" s="1">
        <v>42441.401226851849</v>
      </c>
      <c r="K1391" s="1" t="s">
        <v>2865</v>
      </c>
      <c r="L1391" s="14">
        <f>24*(TblTimeSheet[[#This Row],[End Date and Time]]-TblTimeSheet[[#This Row],[Start Date and Time]])</f>
        <v>0.50000000005820766</v>
      </c>
      <c r="M13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1">
        <f>--(0&gt;(TblTimeSheet[[#This Row],[End Date and Time]]-TblTimeSheet[[#This Row],[Start Date and Time]]))</f>
        <v>0</v>
      </c>
    </row>
    <row r="1392" spans="1:14" x14ac:dyDescent="0.25">
      <c r="A1392" s="1"/>
      <c r="B1392" s="2" t="s">
        <v>911</v>
      </c>
      <c r="C1392" s="2" t="s">
        <v>118</v>
      </c>
      <c r="D1392" s="2" t="s">
        <v>32</v>
      </c>
      <c r="E1392" s="7" t="s">
        <v>1580</v>
      </c>
      <c r="F1392" s="37">
        <v>42441.375</v>
      </c>
      <c r="G1392" s="37">
        <v>42441.395833333336</v>
      </c>
      <c r="H1392" s="1" t="s">
        <v>6</v>
      </c>
      <c r="I1392" s="1" t="s">
        <v>38</v>
      </c>
      <c r="J1392" s="1">
        <v>42441.409756944442</v>
      </c>
      <c r="K1392" s="1" t="s">
        <v>118</v>
      </c>
      <c r="L1392" s="14">
        <f>24*(TblTimeSheet[[#This Row],[End Date and Time]]-TblTimeSheet[[#This Row],[Start Date and Time]])</f>
        <v>0.50000000005820766</v>
      </c>
      <c r="M13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2">
        <f>--(0&gt;(TblTimeSheet[[#This Row],[End Date and Time]]-TblTimeSheet[[#This Row],[Start Date and Time]]))</f>
        <v>0</v>
      </c>
    </row>
    <row r="1393" spans="1:14" ht="30" x14ac:dyDescent="0.25">
      <c r="A1393" s="1"/>
      <c r="B1393" s="2" t="s">
        <v>911</v>
      </c>
      <c r="C1393" s="2" t="s">
        <v>144</v>
      </c>
      <c r="D1393" s="2" t="s">
        <v>32</v>
      </c>
      <c r="E1393" s="7" t="s">
        <v>1902</v>
      </c>
      <c r="F1393" s="37">
        <v>42441.375</v>
      </c>
      <c r="G1393" s="37">
        <v>42441.395833333336</v>
      </c>
      <c r="H1393" s="1" t="s">
        <v>6</v>
      </c>
      <c r="I1393" s="1" t="s">
        <v>38</v>
      </c>
      <c r="J1393" s="1">
        <v>42441.421064814815</v>
      </c>
      <c r="K1393" s="1" t="s">
        <v>144</v>
      </c>
      <c r="L1393" s="14">
        <f>24*(TblTimeSheet[[#This Row],[End Date and Time]]-TblTimeSheet[[#This Row],[Start Date and Time]])</f>
        <v>0.50000000005820766</v>
      </c>
      <c r="M13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3">
        <f>--(0&gt;(TblTimeSheet[[#This Row],[End Date and Time]]-TblTimeSheet[[#This Row],[Start Date and Time]]))</f>
        <v>0</v>
      </c>
    </row>
    <row r="1394" spans="1:14" ht="30" x14ac:dyDescent="0.25">
      <c r="A1394" s="1"/>
      <c r="B1394" s="2" t="s">
        <v>911</v>
      </c>
      <c r="C1394" s="2" t="s">
        <v>41</v>
      </c>
      <c r="D1394" s="2" t="s">
        <v>32</v>
      </c>
      <c r="E1394" s="7" t="s">
        <v>1903</v>
      </c>
      <c r="F1394" s="37">
        <v>42441.375</v>
      </c>
      <c r="G1394" s="37">
        <v>42441.395833333336</v>
      </c>
      <c r="H1394" s="1" t="s">
        <v>6</v>
      </c>
      <c r="I1394" s="1" t="s">
        <v>38</v>
      </c>
      <c r="J1394" s="1">
        <v>42441.42114583333</v>
      </c>
      <c r="K1394" s="1" t="s">
        <v>41</v>
      </c>
      <c r="L1394" s="14">
        <f>24*(TblTimeSheet[[#This Row],[End Date and Time]]-TblTimeSheet[[#This Row],[Start Date and Time]])</f>
        <v>0.50000000005820766</v>
      </c>
      <c r="M13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4">
        <f>--(0&gt;(TblTimeSheet[[#This Row],[End Date and Time]]-TblTimeSheet[[#This Row],[Start Date and Time]]))</f>
        <v>0</v>
      </c>
    </row>
    <row r="1395" spans="1:14" x14ac:dyDescent="0.25">
      <c r="A1395" s="1"/>
      <c r="B1395" s="2" t="s">
        <v>915</v>
      </c>
      <c r="C1395" s="2" t="s">
        <v>116</v>
      </c>
      <c r="D1395" s="2" t="s">
        <v>32</v>
      </c>
      <c r="E1395" s="7" t="s">
        <v>1904</v>
      </c>
      <c r="F1395" s="37">
        <v>42441.447916666664</v>
      </c>
      <c r="G1395" s="37">
        <v>42441.458333333336</v>
      </c>
      <c r="H1395" s="1" t="s">
        <v>6</v>
      </c>
      <c r="I1395" s="1" t="s">
        <v>38</v>
      </c>
      <c r="J1395" s="1">
        <v>42441.461446759262</v>
      </c>
      <c r="K1395" s="1" t="s">
        <v>81</v>
      </c>
      <c r="L1395" s="14">
        <f>24*(TblTimeSheet[[#This Row],[End Date and Time]]-TblTimeSheet[[#This Row],[Start Date and Time]])</f>
        <v>0.25000000011641532</v>
      </c>
      <c r="M13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395">
        <f>--(0&gt;(TblTimeSheet[[#This Row],[End Date and Time]]-TblTimeSheet[[#This Row],[Start Date and Time]]))</f>
        <v>0</v>
      </c>
    </row>
    <row r="1396" spans="1:14" x14ac:dyDescent="0.25">
      <c r="A1396" s="1"/>
      <c r="B1396" s="2" t="s">
        <v>915</v>
      </c>
      <c r="C1396" s="2" t="s">
        <v>454</v>
      </c>
      <c r="D1396" s="2" t="s">
        <v>32</v>
      </c>
      <c r="E1396" s="7" t="s">
        <v>449</v>
      </c>
      <c r="F1396" s="37">
        <v>42441.447916666664</v>
      </c>
      <c r="G1396" s="37">
        <v>42441.458333333336</v>
      </c>
      <c r="H1396" s="1" t="s">
        <v>6</v>
      </c>
      <c r="I1396" s="1" t="s">
        <v>38</v>
      </c>
      <c r="J1396" s="1">
        <v>42441.469155092593</v>
      </c>
      <c r="K1396" s="1" t="s">
        <v>454</v>
      </c>
      <c r="L1396" s="14">
        <f>24*(TblTimeSheet[[#This Row],[End Date and Time]]-TblTimeSheet[[#This Row],[Start Date and Time]])</f>
        <v>0.25000000011641532</v>
      </c>
      <c r="M13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6">
        <f>--(0&gt;(TblTimeSheet[[#This Row],[End Date and Time]]-TblTimeSheet[[#This Row],[Start Date and Time]]))</f>
        <v>0</v>
      </c>
    </row>
    <row r="1397" spans="1:14" x14ac:dyDescent="0.25">
      <c r="A1397" s="1"/>
      <c r="B1397" s="2" t="s">
        <v>915</v>
      </c>
      <c r="C1397" s="2" t="s">
        <v>1117</v>
      </c>
      <c r="D1397" s="2" t="s">
        <v>32</v>
      </c>
      <c r="E1397" s="7" t="s">
        <v>1581</v>
      </c>
      <c r="F1397" s="37">
        <v>42441.447916666664</v>
      </c>
      <c r="G1397" s="37">
        <v>42441.458333333336</v>
      </c>
      <c r="H1397" s="1" t="s">
        <v>6</v>
      </c>
      <c r="I1397" s="1" t="s">
        <v>38</v>
      </c>
      <c r="J1397" s="1">
        <v>42441.47929398148</v>
      </c>
      <c r="K1397" s="1" t="s">
        <v>2865</v>
      </c>
      <c r="L1397" s="14">
        <f>24*(TblTimeSheet[[#This Row],[End Date and Time]]-TblTimeSheet[[#This Row],[Start Date and Time]])</f>
        <v>0.25000000011641532</v>
      </c>
      <c r="M13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7">
        <f>--(0&gt;(TblTimeSheet[[#This Row],[End Date and Time]]-TblTimeSheet[[#This Row],[Start Date and Time]]))</f>
        <v>0</v>
      </c>
    </row>
    <row r="1398" spans="1:14" x14ac:dyDescent="0.25">
      <c r="A1398" s="1"/>
      <c r="B1398" s="2" t="s">
        <v>911</v>
      </c>
      <c r="C1398" s="2" t="s">
        <v>43</v>
      </c>
      <c r="D1398" s="2" t="s">
        <v>32</v>
      </c>
      <c r="E1398" s="7" t="s">
        <v>1582</v>
      </c>
      <c r="F1398" s="37">
        <v>42437.583333333336</v>
      </c>
      <c r="G1398" s="37">
        <v>42437.59375</v>
      </c>
      <c r="H1398" s="1" t="s">
        <v>6</v>
      </c>
      <c r="I1398" s="1" t="s">
        <v>38</v>
      </c>
      <c r="J1398" s="1">
        <v>42441.527812499997</v>
      </c>
      <c r="K1398" s="1" t="s">
        <v>43</v>
      </c>
      <c r="L1398" s="14">
        <f>24*(TblTimeSheet[[#This Row],[End Date and Time]]-TblTimeSheet[[#This Row],[Start Date and Time]])</f>
        <v>0.24999999994179234</v>
      </c>
      <c r="M13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8">
        <f>--(0&gt;(TblTimeSheet[[#This Row],[End Date and Time]]-TblTimeSheet[[#This Row],[Start Date and Time]]))</f>
        <v>0</v>
      </c>
    </row>
    <row r="1399" spans="1:14" x14ac:dyDescent="0.25">
      <c r="A1399" s="1"/>
      <c r="B1399" s="2" t="s">
        <v>915</v>
      </c>
      <c r="C1399" s="2" t="s">
        <v>118</v>
      </c>
      <c r="D1399" s="2" t="s">
        <v>32</v>
      </c>
      <c r="E1399" s="7" t="s">
        <v>1905</v>
      </c>
      <c r="F1399" s="37">
        <v>42441.447916666664</v>
      </c>
      <c r="G1399" s="37">
        <v>42441.458333333336</v>
      </c>
      <c r="H1399" s="1" t="s">
        <v>6</v>
      </c>
      <c r="I1399" s="1" t="s">
        <v>38</v>
      </c>
      <c r="J1399" s="1">
        <v>42441.531817129631</v>
      </c>
      <c r="K1399" s="1" t="s">
        <v>118</v>
      </c>
      <c r="L1399" s="14">
        <f>24*(TblTimeSheet[[#This Row],[End Date and Time]]-TblTimeSheet[[#This Row],[Start Date and Time]])</f>
        <v>0.25000000011641532</v>
      </c>
      <c r="M13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399">
        <f>--(0&gt;(TblTimeSheet[[#This Row],[End Date and Time]]-TblTimeSheet[[#This Row],[Start Date and Time]]))</f>
        <v>0</v>
      </c>
    </row>
    <row r="1400" spans="1:14" x14ac:dyDescent="0.25">
      <c r="A1400" s="1"/>
      <c r="B1400" s="2" t="s">
        <v>911</v>
      </c>
      <c r="C1400" s="2" t="s">
        <v>118</v>
      </c>
      <c r="D1400" s="2" t="s">
        <v>32</v>
      </c>
      <c r="E1400" s="7" t="s">
        <v>1583</v>
      </c>
      <c r="F1400" s="37">
        <v>42441.479166666664</v>
      </c>
      <c r="G1400" s="37">
        <v>42441.520833333336</v>
      </c>
      <c r="H1400" s="1" t="s">
        <v>6</v>
      </c>
      <c r="I1400" s="1" t="s">
        <v>38</v>
      </c>
      <c r="J1400" s="1">
        <v>42441.534317129626</v>
      </c>
      <c r="K1400" s="1" t="s">
        <v>118</v>
      </c>
      <c r="L1400" s="14">
        <f>24*(TblTimeSheet[[#This Row],[End Date and Time]]-TblTimeSheet[[#This Row],[Start Date and Time]])</f>
        <v>1.0000000001164153</v>
      </c>
      <c r="M14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0">
        <f>--(0&gt;(TblTimeSheet[[#This Row],[End Date and Time]]-TblTimeSheet[[#This Row],[Start Date and Time]]))</f>
        <v>0</v>
      </c>
    </row>
    <row r="1401" spans="1:14" x14ac:dyDescent="0.25">
      <c r="A1401" s="1"/>
      <c r="B1401" s="2" t="s">
        <v>913</v>
      </c>
      <c r="C1401" s="2" t="s">
        <v>171</v>
      </c>
      <c r="D1401" s="2" t="s">
        <v>32</v>
      </c>
      <c r="E1401" s="7" t="s">
        <v>1584</v>
      </c>
      <c r="F1401" s="37">
        <v>42441.458333333336</v>
      </c>
      <c r="G1401" s="37">
        <v>42441.472222222219</v>
      </c>
      <c r="H1401" s="1" t="s">
        <v>6</v>
      </c>
      <c r="I1401" s="1" t="s">
        <v>38</v>
      </c>
      <c r="J1401" s="1">
        <v>42441.535219907404</v>
      </c>
      <c r="K1401" s="1" t="s">
        <v>171</v>
      </c>
      <c r="L1401" s="14">
        <f>24*(TblTimeSheet[[#This Row],[End Date and Time]]-TblTimeSheet[[#This Row],[Start Date and Time]])</f>
        <v>0.33333333319751546</v>
      </c>
      <c r="M14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1">
        <f>--(0&gt;(TblTimeSheet[[#This Row],[End Date and Time]]-TblTimeSheet[[#This Row],[Start Date and Time]]))</f>
        <v>0</v>
      </c>
    </row>
    <row r="1402" spans="1:14" x14ac:dyDescent="0.25">
      <c r="A1402" s="1"/>
      <c r="B1402" s="2" t="s">
        <v>911</v>
      </c>
      <c r="C1402" s="2" t="s">
        <v>1117</v>
      </c>
      <c r="D1402" s="2" t="s">
        <v>32</v>
      </c>
      <c r="E1402" s="7" t="s">
        <v>1906</v>
      </c>
      <c r="F1402" s="37">
        <v>42441.458333333336</v>
      </c>
      <c r="G1402" s="37">
        <v>42441.541666666664</v>
      </c>
      <c r="H1402" s="1" t="s">
        <v>6</v>
      </c>
      <c r="I1402" s="1" t="s">
        <v>38</v>
      </c>
      <c r="J1402" s="1">
        <v>42441.601134259261</v>
      </c>
      <c r="K1402" s="1" t="s">
        <v>2865</v>
      </c>
      <c r="L1402" s="14">
        <f>24*(TblTimeSheet[[#This Row],[End Date and Time]]-TblTimeSheet[[#This Row],[Start Date and Time]])</f>
        <v>1.9999999998835847</v>
      </c>
      <c r="M14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2">
        <f>--(0&gt;(TblTimeSheet[[#This Row],[End Date and Time]]-TblTimeSheet[[#This Row],[Start Date and Time]]))</f>
        <v>0</v>
      </c>
    </row>
    <row r="1403" spans="1:14" x14ac:dyDescent="0.25">
      <c r="A1403" s="1"/>
      <c r="B1403" s="2" t="s">
        <v>913</v>
      </c>
      <c r="C1403" s="2" t="s">
        <v>118</v>
      </c>
      <c r="D1403" s="2" t="s">
        <v>32</v>
      </c>
      <c r="E1403" s="7" t="s">
        <v>1585</v>
      </c>
      <c r="F1403" s="37">
        <v>42441.5625</v>
      </c>
      <c r="G1403" s="37">
        <v>42441.583333333336</v>
      </c>
      <c r="H1403" s="1" t="s">
        <v>6</v>
      </c>
      <c r="I1403" s="1" t="s">
        <v>38</v>
      </c>
      <c r="J1403" s="1">
        <v>42441.613611111112</v>
      </c>
      <c r="K1403" s="1" t="s">
        <v>118</v>
      </c>
      <c r="L1403" s="14">
        <f>24*(TblTimeSheet[[#This Row],[End Date and Time]]-TblTimeSheet[[#This Row],[Start Date and Time]])</f>
        <v>0.50000000005820766</v>
      </c>
      <c r="M14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3">
        <f>--(0&gt;(TblTimeSheet[[#This Row],[End Date and Time]]-TblTimeSheet[[#This Row],[Start Date and Time]]))</f>
        <v>0</v>
      </c>
    </row>
    <row r="1404" spans="1:14" x14ac:dyDescent="0.25">
      <c r="A1404" s="1"/>
      <c r="B1404" s="2" t="s">
        <v>911</v>
      </c>
      <c r="C1404" s="2" t="s">
        <v>1117</v>
      </c>
      <c r="D1404" s="2" t="s">
        <v>32</v>
      </c>
      <c r="E1404" s="7" t="s">
        <v>1586</v>
      </c>
      <c r="F1404" s="37">
        <v>42441.583333333336</v>
      </c>
      <c r="G1404" s="37">
        <v>42441.645833333336</v>
      </c>
      <c r="H1404" s="1" t="s">
        <v>6</v>
      </c>
      <c r="I1404" s="1" t="s">
        <v>38</v>
      </c>
      <c r="J1404" s="1">
        <v>42441.645405092589</v>
      </c>
      <c r="K1404" s="1" t="s">
        <v>2865</v>
      </c>
      <c r="L1404" s="14">
        <f>24*(TblTimeSheet[[#This Row],[End Date and Time]]-TblTimeSheet[[#This Row],[Start Date and Time]])</f>
        <v>1.5</v>
      </c>
      <c r="M14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4">
        <f>--(0&gt;(TblTimeSheet[[#This Row],[End Date and Time]]-TblTimeSheet[[#This Row],[Start Date and Time]]))</f>
        <v>0</v>
      </c>
    </row>
    <row r="1405" spans="1:14" x14ac:dyDescent="0.25">
      <c r="A1405" s="1"/>
      <c r="B1405" s="2" t="s">
        <v>913</v>
      </c>
      <c r="C1405" s="2" t="s">
        <v>41</v>
      </c>
      <c r="D1405" s="2" t="s">
        <v>32</v>
      </c>
      <c r="E1405" s="7" t="s">
        <v>1587</v>
      </c>
      <c r="F1405" s="37">
        <v>42441.666666666664</v>
      </c>
      <c r="G1405" s="37">
        <v>42441.673611111109</v>
      </c>
      <c r="H1405" s="1" t="s">
        <v>6</v>
      </c>
      <c r="I1405" s="1" t="s">
        <v>38</v>
      </c>
      <c r="J1405" s="1">
        <v>42441.674016203702</v>
      </c>
      <c r="K1405" s="1" t="s">
        <v>41</v>
      </c>
      <c r="L1405" s="14">
        <f>24*(TblTimeSheet[[#This Row],[End Date and Time]]-TblTimeSheet[[#This Row],[Start Date and Time]])</f>
        <v>0.16666666668606922</v>
      </c>
      <c r="M14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5">
        <f>--(0&gt;(TblTimeSheet[[#This Row],[End Date and Time]]-TblTimeSheet[[#This Row],[Start Date and Time]]))</f>
        <v>0</v>
      </c>
    </row>
    <row r="1406" spans="1:14" x14ac:dyDescent="0.25">
      <c r="A1406" s="1"/>
      <c r="B1406" s="2" t="s">
        <v>913</v>
      </c>
      <c r="C1406" s="2" t="s">
        <v>171</v>
      </c>
      <c r="D1406" s="2" t="s">
        <v>32</v>
      </c>
      <c r="E1406" s="7" t="s">
        <v>1588</v>
      </c>
      <c r="F1406" s="37">
        <v>42441.666666666664</v>
      </c>
      <c r="G1406" s="37">
        <v>42441.673611111109</v>
      </c>
      <c r="H1406" s="1" t="s">
        <v>6</v>
      </c>
      <c r="I1406" s="1" t="s">
        <v>38</v>
      </c>
      <c r="J1406" s="1">
        <v>42441.675543981481</v>
      </c>
      <c r="K1406" s="1" t="s">
        <v>171</v>
      </c>
      <c r="L1406" s="14">
        <f>24*(TblTimeSheet[[#This Row],[End Date and Time]]-TblTimeSheet[[#This Row],[Start Date and Time]])</f>
        <v>0.16666666668606922</v>
      </c>
      <c r="M14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6">
        <f>--(0&gt;(TblTimeSheet[[#This Row],[End Date and Time]]-TblTimeSheet[[#This Row],[Start Date and Time]]))</f>
        <v>0</v>
      </c>
    </row>
    <row r="1407" spans="1:14" x14ac:dyDescent="0.25">
      <c r="A1407" s="1"/>
      <c r="B1407" s="2" t="s">
        <v>909</v>
      </c>
      <c r="C1407" s="2" t="s">
        <v>1105</v>
      </c>
      <c r="D1407" s="2" t="s">
        <v>34</v>
      </c>
      <c r="E1407" s="7" t="s">
        <v>1589</v>
      </c>
      <c r="F1407" s="37">
        <v>42441.5625</v>
      </c>
      <c r="G1407" s="37">
        <v>42441.625</v>
      </c>
      <c r="H1407" s="1" t="s">
        <v>6</v>
      </c>
      <c r="I1407" s="1" t="s">
        <v>38</v>
      </c>
      <c r="J1407" s="1">
        <v>42441.676979166667</v>
      </c>
      <c r="K1407" s="1" t="s">
        <v>2864</v>
      </c>
      <c r="L1407" s="14">
        <f>24*(TblTimeSheet[[#This Row],[End Date and Time]]-TblTimeSheet[[#This Row],[Start Date and Time]])</f>
        <v>1.5</v>
      </c>
      <c r="M14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7">
        <f>--(0&gt;(TblTimeSheet[[#This Row],[End Date and Time]]-TblTimeSheet[[#This Row],[Start Date and Time]]))</f>
        <v>0</v>
      </c>
    </row>
    <row r="1408" spans="1:14" x14ac:dyDescent="0.25">
      <c r="A1408" s="1"/>
      <c r="B1408" s="2" t="s">
        <v>909</v>
      </c>
      <c r="C1408" s="2" t="s">
        <v>41</v>
      </c>
      <c r="D1408" s="2" t="s">
        <v>34</v>
      </c>
      <c r="E1408" s="7" t="s">
        <v>1590</v>
      </c>
      <c r="F1408" s="37">
        <v>42441.5625</v>
      </c>
      <c r="G1408" s="37">
        <v>42441.625</v>
      </c>
      <c r="H1408" s="1" t="s">
        <v>6</v>
      </c>
      <c r="I1408" s="1" t="s">
        <v>38</v>
      </c>
      <c r="J1408" s="1">
        <v>42441.68072916667</v>
      </c>
      <c r="K1408" s="1" t="s">
        <v>41</v>
      </c>
      <c r="L1408" s="14">
        <f>24*(TblTimeSheet[[#This Row],[End Date and Time]]-TblTimeSheet[[#This Row],[Start Date and Time]])</f>
        <v>1.5</v>
      </c>
      <c r="M14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08">
        <f>--(0&gt;(TblTimeSheet[[#This Row],[End Date and Time]]-TblTimeSheet[[#This Row],[Start Date and Time]]))</f>
        <v>0</v>
      </c>
    </row>
    <row r="1409" spans="1:14" x14ac:dyDescent="0.25">
      <c r="A1409" s="1"/>
      <c r="B1409" s="2" t="s">
        <v>915</v>
      </c>
      <c r="C1409" s="2" t="s">
        <v>116</v>
      </c>
      <c r="D1409" s="2" t="s">
        <v>32</v>
      </c>
      <c r="E1409" s="7" t="s">
        <v>449</v>
      </c>
      <c r="F1409" s="37">
        <v>42441.447916666664</v>
      </c>
      <c r="G1409" s="37">
        <v>42441.458333333336</v>
      </c>
      <c r="H1409" s="1" t="s">
        <v>6</v>
      </c>
      <c r="I1409" s="1" t="s">
        <v>38</v>
      </c>
      <c r="J1409" s="1">
        <v>42441.708761574075</v>
      </c>
      <c r="K1409" s="1" t="s">
        <v>701</v>
      </c>
      <c r="L1409" s="14">
        <f>24*(TblTimeSheet[[#This Row],[End Date and Time]]-TblTimeSheet[[#This Row],[Start Date and Time]])</f>
        <v>0.25000000011641532</v>
      </c>
      <c r="M14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09">
        <f>--(0&gt;(TblTimeSheet[[#This Row],[End Date and Time]]-TblTimeSheet[[#This Row],[Start Date and Time]]))</f>
        <v>0</v>
      </c>
    </row>
    <row r="1410" spans="1:14" x14ac:dyDescent="0.25">
      <c r="A1410" s="1"/>
      <c r="B1410" s="2" t="s">
        <v>915</v>
      </c>
      <c r="C1410" s="2" t="s">
        <v>116</v>
      </c>
      <c r="D1410" s="2" t="s">
        <v>32</v>
      </c>
      <c r="E1410" s="7" t="s">
        <v>1591</v>
      </c>
      <c r="F1410" s="37">
        <v>42441.6875</v>
      </c>
      <c r="G1410" s="37">
        <v>42441.708333333336</v>
      </c>
      <c r="H1410" s="1" t="s">
        <v>6</v>
      </c>
      <c r="I1410" s="1" t="s">
        <v>38</v>
      </c>
      <c r="J1410" s="1">
        <v>42441.709305555552</v>
      </c>
      <c r="K1410" s="1" t="s">
        <v>701</v>
      </c>
      <c r="L1410" s="14">
        <f>24*(TblTimeSheet[[#This Row],[End Date and Time]]-TblTimeSheet[[#This Row],[Start Date and Time]])</f>
        <v>0.50000000005820766</v>
      </c>
      <c r="M14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10">
        <f>--(0&gt;(TblTimeSheet[[#This Row],[End Date and Time]]-TblTimeSheet[[#This Row],[Start Date and Time]]))</f>
        <v>0</v>
      </c>
    </row>
    <row r="1411" spans="1:14" x14ac:dyDescent="0.25">
      <c r="A1411" s="1"/>
      <c r="B1411" s="2" t="s">
        <v>909</v>
      </c>
      <c r="C1411" s="2" t="s">
        <v>1061</v>
      </c>
      <c r="D1411" s="2" t="s">
        <v>34</v>
      </c>
      <c r="E1411" s="7" t="s">
        <v>1592</v>
      </c>
      <c r="F1411" s="37">
        <v>42438.729166666664</v>
      </c>
      <c r="G1411" s="37">
        <v>42438.75</v>
      </c>
      <c r="H1411" s="1" t="s">
        <v>6</v>
      </c>
      <c r="I1411" s="1" t="s">
        <v>38</v>
      </c>
      <c r="J1411" s="1">
        <v>42441.732476851852</v>
      </c>
      <c r="K1411" s="1" t="s">
        <v>1061</v>
      </c>
      <c r="L1411" s="14">
        <f>24*(TblTimeSheet[[#This Row],[End Date and Time]]-TblTimeSheet[[#This Row],[Start Date and Time]])</f>
        <v>0.50000000005820766</v>
      </c>
      <c r="M14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1">
        <f>--(0&gt;(TblTimeSheet[[#This Row],[End Date and Time]]-TblTimeSheet[[#This Row],[Start Date and Time]]))</f>
        <v>0</v>
      </c>
    </row>
    <row r="1412" spans="1:14" x14ac:dyDescent="0.25">
      <c r="A1412" s="1"/>
      <c r="B1412" s="2" t="s">
        <v>915</v>
      </c>
      <c r="C1412" s="2" t="s">
        <v>116</v>
      </c>
      <c r="D1412" s="2" t="s">
        <v>32</v>
      </c>
      <c r="E1412" s="7" t="s">
        <v>1593</v>
      </c>
      <c r="F1412" s="37">
        <v>42441.447916666664</v>
      </c>
      <c r="G1412" s="37">
        <v>42441.458333333336</v>
      </c>
      <c r="H1412" s="1" t="s">
        <v>6</v>
      </c>
      <c r="I1412" s="1" t="s">
        <v>38</v>
      </c>
      <c r="J1412" s="1">
        <v>42441.751423611109</v>
      </c>
      <c r="K1412" s="1" t="s">
        <v>39</v>
      </c>
      <c r="L1412" s="14">
        <f>24*(TblTimeSheet[[#This Row],[End Date and Time]]-TblTimeSheet[[#This Row],[Start Date and Time]])</f>
        <v>0.25000000011641532</v>
      </c>
      <c r="M14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12">
        <f>--(0&gt;(TblTimeSheet[[#This Row],[End Date and Time]]-TblTimeSheet[[#This Row],[Start Date and Time]]))</f>
        <v>0</v>
      </c>
    </row>
    <row r="1413" spans="1:14" x14ac:dyDescent="0.25">
      <c r="A1413" s="1"/>
      <c r="B1413" s="2" t="s">
        <v>697</v>
      </c>
      <c r="C1413" s="2" t="s">
        <v>143</v>
      </c>
      <c r="D1413" s="2" t="s">
        <v>34</v>
      </c>
      <c r="E1413" s="7" t="s">
        <v>1594</v>
      </c>
      <c r="F1413" s="37">
        <v>42440.625</v>
      </c>
      <c r="G1413" s="37">
        <v>42440.729166666664</v>
      </c>
      <c r="H1413" s="1" t="s">
        <v>6</v>
      </c>
      <c r="I1413" s="1" t="s">
        <v>38</v>
      </c>
      <c r="J1413" s="1">
        <v>42441.758009259262</v>
      </c>
      <c r="K1413" s="1" t="s">
        <v>143</v>
      </c>
      <c r="L1413" s="14">
        <f>24*(TblTimeSheet[[#This Row],[End Date and Time]]-TblTimeSheet[[#This Row],[Start Date and Time]])</f>
        <v>2.4999999999417923</v>
      </c>
      <c r="M14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3">
        <f>--(0&gt;(TblTimeSheet[[#This Row],[End Date and Time]]-TblTimeSheet[[#This Row],[Start Date and Time]]))</f>
        <v>0</v>
      </c>
    </row>
    <row r="1414" spans="1:14" x14ac:dyDescent="0.25">
      <c r="A1414" s="1"/>
      <c r="B1414" s="2" t="s">
        <v>697</v>
      </c>
      <c r="C1414" s="2" t="s">
        <v>143</v>
      </c>
      <c r="D1414" s="2" t="s">
        <v>34</v>
      </c>
      <c r="E1414" s="7" t="s">
        <v>1595</v>
      </c>
      <c r="F1414" s="37">
        <v>42441.458333333336</v>
      </c>
      <c r="G1414" s="37">
        <v>42441.541666666664</v>
      </c>
      <c r="H1414" s="1" t="s">
        <v>6</v>
      </c>
      <c r="I1414" s="1" t="s">
        <v>38</v>
      </c>
      <c r="J1414" s="1">
        <v>42441.759583333333</v>
      </c>
      <c r="K1414" s="1" t="s">
        <v>143</v>
      </c>
      <c r="L1414" s="14">
        <f>24*(TblTimeSheet[[#This Row],[End Date and Time]]-TblTimeSheet[[#This Row],[Start Date and Time]])</f>
        <v>1.9999999998835847</v>
      </c>
      <c r="M14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4">
        <f>--(0&gt;(TblTimeSheet[[#This Row],[End Date and Time]]-TblTimeSheet[[#This Row],[Start Date and Time]]))</f>
        <v>0</v>
      </c>
    </row>
    <row r="1415" spans="1:14" x14ac:dyDescent="0.25">
      <c r="A1415" s="1"/>
      <c r="B1415" s="2" t="s">
        <v>697</v>
      </c>
      <c r="C1415" s="2" t="s">
        <v>143</v>
      </c>
      <c r="D1415" s="2" t="s">
        <v>34</v>
      </c>
      <c r="E1415" s="7" t="s">
        <v>1596</v>
      </c>
      <c r="F1415" s="37">
        <v>42441.583333333336</v>
      </c>
      <c r="G1415" s="37">
        <v>42441.729166666664</v>
      </c>
      <c r="H1415" s="1" t="s">
        <v>6</v>
      </c>
      <c r="I1415" s="1" t="s">
        <v>38</v>
      </c>
      <c r="J1415" s="1">
        <v>42441.760636574072</v>
      </c>
      <c r="K1415" s="1" t="s">
        <v>143</v>
      </c>
      <c r="L1415" s="14">
        <f>24*(TblTimeSheet[[#This Row],[End Date and Time]]-TblTimeSheet[[#This Row],[Start Date and Time]])</f>
        <v>3.4999999998835847</v>
      </c>
      <c r="M14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5">
        <f>--(0&gt;(TblTimeSheet[[#This Row],[End Date and Time]]-TblTimeSheet[[#This Row],[Start Date and Time]]))</f>
        <v>0</v>
      </c>
    </row>
    <row r="1416" spans="1:14" x14ac:dyDescent="0.25">
      <c r="A1416" s="1"/>
      <c r="B1416" s="2" t="s">
        <v>697</v>
      </c>
      <c r="C1416" s="2" t="s">
        <v>116</v>
      </c>
      <c r="D1416" s="2" t="s">
        <v>34</v>
      </c>
      <c r="E1416" s="7" t="s">
        <v>1597</v>
      </c>
      <c r="F1416" s="37">
        <v>42440.458333333336</v>
      </c>
      <c r="G1416" s="37">
        <v>42440.541666666664</v>
      </c>
      <c r="H1416" s="1" t="s">
        <v>6</v>
      </c>
      <c r="I1416" s="1" t="s">
        <v>38</v>
      </c>
      <c r="J1416" s="1">
        <v>42446.65115740741</v>
      </c>
      <c r="K1416" s="1" t="s">
        <v>1026</v>
      </c>
      <c r="L1416" s="14">
        <f>24*(TblTimeSheet[[#This Row],[End Date and Time]]-TblTimeSheet[[#This Row],[Start Date and Time]])</f>
        <v>1.9999999998835847</v>
      </c>
      <c r="M14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16">
        <f>--(0&gt;(TblTimeSheet[[#This Row],[End Date and Time]]-TblTimeSheet[[#This Row],[Start Date and Time]]))</f>
        <v>0</v>
      </c>
    </row>
    <row r="1417" spans="1:14" x14ac:dyDescent="0.25">
      <c r="A1417" s="1"/>
      <c r="B1417" s="2" t="s">
        <v>697</v>
      </c>
      <c r="C1417" s="2" t="s">
        <v>116</v>
      </c>
      <c r="D1417" s="2" t="s">
        <v>34</v>
      </c>
      <c r="E1417" s="7" t="s">
        <v>1595</v>
      </c>
      <c r="F1417" s="37">
        <v>42441.458333333336</v>
      </c>
      <c r="G1417" s="37">
        <v>42441.541666666664</v>
      </c>
      <c r="H1417" s="1" t="s">
        <v>6</v>
      </c>
      <c r="I1417" s="1" t="s">
        <v>38</v>
      </c>
      <c r="J1417" s="1">
        <v>42443.696261574078</v>
      </c>
      <c r="K1417" s="1" t="s">
        <v>1026</v>
      </c>
      <c r="L1417" s="14">
        <f>24*(TblTimeSheet[[#This Row],[End Date and Time]]-TblTimeSheet[[#This Row],[Start Date and Time]])</f>
        <v>1.9999999998835847</v>
      </c>
      <c r="M14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7">
        <f>--(0&gt;(TblTimeSheet[[#This Row],[End Date and Time]]-TblTimeSheet[[#This Row],[Start Date and Time]]))</f>
        <v>0</v>
      </c>
    </row>
    <row r="1418" spans="1:14" x14ac:dyDescent="0.25">
      <c r="A1418" s="1"/>
      <c r="B1418" s="2" t="s">
        <v>697</v>
      </c>
      <c r="C1418" s="2" t="s">
        <v>116</v>
      </c>
      <c r="D1418" s="2" t="s">
        <v>34</v>
      </c>
      <c r="E1418" s="7" t="s">
        <v>1907</v>
      </c>
      <c r="F1418" s="37">
        <v>42441.583333333336</v>
      </c>
      <c r="G1418" s="37">
        <v>42441.729166666664</v>
      </c>
      <c r="H1418" s="1" t="s">
        <v>6</v>
      </c>
      <c r="I1418" s="1" t="s">
        <v>38</v>
      </c>
      <c r="J1418" s="1">
        <v>42441.763726851852</v>
      </c>
      <c r="K1418" s="1" t="s">
        <v>1026</v>
      </c>
      <c r="L1418" s="14">
        <f>24*(TblTimeSheet[[#This Row],[End Date and Time]]-TblTimeSheet[[#This Row],[Start Date and Time]])</f>
        <v>3.4999999998835847</v>
      </c>
      <c r="M14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8">
        <f>--(0&gt;(TblTimeSheet[[#This Row],[End Date and Time]]-TblTimeSheet[[#This Row],[Start Date and Time]]))</f>
        <v>0</v>
      </c>
    </row>
    <row r="1419" spans="1:14" x14ac:dyDescent="0.25">
      <c r="A1419" s="1"/>
      <c r="B1419" s="2" t="s">
        <v>909</v>
      </c>
      <c r="C1419" s="2" t="s">
        <v>1061</v>
      </c>
      <c r="D1419" s="2" t="s">
        <v>34</v>
      </c>
      <c r="E1419" s="7" t="s">
        <v>1598</v>
      </c>
      <c r="F1419" s="37">
        <v>42443.395833333336</v>
      </c>
      <c r="G1419" s="37">
        <v>42443.416666666664</v>
      </c>
      <c r="H1419" s="1" t="s">
        <v>6</v>
      </c>
      <c r="I1419" s="1" t="s">
        <v>38</v>
      </c>
      <c r="J1419" s="1">
        <v>42443.435185185182</v>
      </c>
      <c r="K1419" s="1" t="s">
        <v>1061</v>
      </c>
      <c r="L1419" s="14">
        <f>24*(TblTimeSheet[[#This Row],[End Date and Time]]-TblTimeSheet[[#This Row],[Start Date and Time]])</f>
        <v>0.49999999988358468</v>
      </c>
      <c r="M14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19">
        <f>--(0&gt;(TblTimeSheet[[#This Row],[End Date and Time]]-TblTimeSheet[[#This Row],[Start Date and Time]]))</f>
        <v>0</v>
      </c>
    </row>
    <row r="1420" spans="1:14" x14ac:dyDescent="0.25">
      <c r="A1420" s="1"/>
      <c r="B1420" s="2" t="s">
        <v>913</v>
      </c>
      <c r="C1420" s="2" t="s">
        <v>116</v>
      </c>
      <c r="D1420" s="2" t="s">
        <v>32</v>
      </c>
      <c r="E1420" s="7" t="s">
        <v>1599</v>
      </c>
      <c r="F1420" s="37">
        <v>42443.451388888891</v>
      </c>
      <c r="G1420" s="37">
        <v>42443.458333333336</v>
      </c>
      <c r="H1420" s="1" t="s">
        <v>6</v>
      </c>
      <c r="I1420" s="1" t="s">
        <v>38</v>
      </c>
      <c r="J1420" s="1">
        <v>42443.459363425929</v>
      </c>
      <c r="K1420" s="1" t="s">
        <v>39</v>
      </c>
      <c r="L1420" s="14">
        <f>24*(TblTimeSheet[[#This Row],[End Date and Time]]-TblTimeSheet[[#This Row],[Start Date and Time]])</f>
        <v>0.16666666668606922</v>
      </c>
      <c r="M14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20">
        <f>--(0&gt;(TblTimeSheet[[#This Row],[End Date and Time]]-TblTimeSheet[[#This Row],[Start Date and Time]]))</f>
        <v>0</v>
      </c>
    </row>
    <row r="1421" spans="1:14" x14ac:dyDescent="0.25">
      <c r="A1421" s="1"/>
      <c r="B1421" s="2" t="s">
        <v>909</v>
      </c>
      <c r="C1421" s="2" t="s">
        <v>116</v>
      </c>
      <c r="D1421" s="2" t="s">
        <v>34</v>
      </c>
      <c r="E1421" s="7" t="s">
        <v>1600</v>
      </c>
      <c r="F1421" s="37">
        <v>42443.4375</v>
      </c>
      <c r="G1421" s="37">
        <v>42443.472222222219</v>
      </c>
      <c r="H1421" s="1" t="s">
        <v>6</v>
      </c>
      <c r="I1421" s="1" t="s">
        <v>38</v>
      </c>
      <c r="J1421" s="1">
        <v>42443.471435185187</v>
      </c>
      <c r="K1421" s="1" t="s">
        <v>701</v>
      </c>
      <c r="L1421" s="14">
        <f>24*(TblTimeSheet[[#This Row],[End Date and Time]]-TblTimeSheet[[#This Row],[Start Date and Time]])</f>
        <v>0.83333333325572312</v>
      </c>
      <c r="M14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21">
        <f>--(0&gt;(TblTimeSheet[[#This Row],[End Date and Time]]-TblTimeSheet[[#This Row],[Start Date and Time]]))</f>
        <v>0</v>
      </c>
    </row>
    <row r="1422" spans="1:14" x14ac:dyDescent="0.25">
      <c r="A1422" s="1"/>
      <c r="B1422" s="2" t="s">
        <v>909</v>
      </c>
      <c r="C1422" s="2" t="s">
        <v>961</v>
      </c>
      <c r="D1422" s="2" t="s">
        <v>34</v>
      </c>
      <c r="E1422" s="7" t="s">
        <v>1601</v>
      </c>
      <c r="F1422" s="37">
        <v>42443.4375</v>
      </c>
      <c r="G1422" s="37">
        <v>42443.472222222219</v>
      </c>
      <c r="H1422" s="1" t="s">
        <v>6</v>
      </c>
      <c r="I1422" s="1" t="s">
        <v>38</v>
      </c>
      <c r="J1422" s="1">
        <v>42443.47215277778</v>
      </c>
      <c r="K1422" s="1" t="s">
        <v>961</v>
      </c>
      <c r="L1422" s="14">
        <f>24*(TblTimeSheet[[#This Row],[End Date and Time]]-TblTimeSheet[[#This Row],[Start Date and Time]])</f>
        <v>0.83333333325572312</v>
      </c>
      <c r="M14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2">
        <f>--(0&gt;(TblTimeSheet[[#This Row],[End Date and Time]]-TblTimeSheet[[#This Row],[Start Date and Time]]))</f>
        <v>0</v>
      </c>
    </row>
    <row r="1423" spans="1:14" x14ac:dyDescent="0.25">
      <c r="A1423" s="1"/>
      <c r="B1423" s="2" t="s">
        <v>909</v>
      </c>
      <c r="C1423" s="2" t="s">
        <v>116</v>
      </c>
      <c r="D1423" s="2" t="s">
        <v>34</v>
      </c>
      <c r="E1423" s="7" t="s">
        <v>1601</v>
      </c>
      <c r="F1423" s="37">
        <v>42443.4375</v>
      </c>
      <c r="G1423" s="37">
        <v>42443.472222222219</v>
      </c>
      <c r="H1423" s="1" t="s">
        <v>6</v>
      </c>
      <c r="I1423" s="1" t="s">
        <v>38</v>
      </c>
      <c r="J1423" s="1">
        <v>42443.472719907404</v>
      </c>
      <c r="K1423" s="1" t="s">
        <v>41</v>
      </c>
      <c r="L1423" s="14">
        <f>24*(TblTimeSheet[[#This Row],[End Date and Time]]-TblTimeSheet[[#This Row],[Start Date and Time]])</f>
        <v>0.83333333325572312</v>
      </c>
      <c r="M14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23">
        <f>--(0&gt;(TblTimeSheet[[#This Row],[End Date and Time]]-TblTimeSheet[[#This Row],[Start Date and Time]]))</f>
        <v>0</v>
      </c>
    </row>
    <row r="1424" spans="1:14" x14ac:dyDescent="0.25">
      <c r="A1424" s="1"/>
      <c r="B1424" s="2" t="s">
        <v>909</v>
      </c>
      <c r="C1424" s="2" t="s">
        <v>41</v>
      </c>
      <c r="D1424" s="2" t="s">
        <v>34</v>
      </c>
      <c r="E1424" s="7" t="s">
        <v>1602</v>
      </c>
      <c r="F1424" s="37">
        <v>42443.4375</v>
      </c>
      <c r="G1424" s="37">
        <v>42443.472222222219</v>
      </c>
      <c r="H1424" s="1" t="s">
        <v>6</v>
      </c>
      <c r="I1424" s="1" t="s">
        <v>38</v>
      </c>
      <c r="J1424" s="1">
        <v>42446.637083333335</v>
      </c>
      <c r="K1424" s="1" t="s">
        <v>41</v>
      </c>
      <c r="L1424" s="14">
        <f>24*(TblTimeSheet[[#This Row],[End Date and Time]]-TblTimeSheet[[#This Row],[Start Date and Time]])</f>
        <v>0.83333333325572312</v>
      </c>
      <c r="M14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4">
        <f>--(0&gt;(TblTimeSheet[[#This Row],[End Date and Time]]-TblTimeSheet[[#This Row],[Start Date and Time]]))</f>
        <v>0</v>
      </c>
    </row>
    <row r="1425" spans="1:14" x14ac:dyDescent="0.25">
      <c r="A1425" s="1"/>
      <c r="B1425" s="2" t="s">
        <v>909</v>
      </c>
      <c r="C1425" s="2" t="s">
        <v>41</v>
      </c>
      <c r="D1425" s="2" t="s">
        <v>34</v>
      </c>
      <c r="E1425" s="7" t="s">
        <v>1603</v>
      </c>
      <c r="F1425" s="37">
        <v>42443.388888888891</v>
      </c>
      <c r="G1425" s="37">
        <v>42443.4375</v>
      </c>
      <c r="H1425" s="1" t="s">
        <v>6</v>
      </c>
      <c r="I1425" s="1" t="s">
        <v>38</v>
      </c>
      <c r="J1425" s="1">
        <v>42448.476018518515</v>
      </c>
      <c r="K1425" s="1" t="s">
        <v>41</v>
      </c>
      <c r="L1425" s="14">
        <f>24*(TblTimeSheet[[#This Row],[End Date and Time]]-TblTimeSheet[[#This Row],[Start Date and Time]])</f>
        <v>1.1666666666278616</v>
      </c>
      <c r="M14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5">
        <f>--(0&gt;(TblTimeSheet[[#This Row],[End Date and Time]]-TblTimeSheet[[#This Row],[Start Date and Time]]))</f>
        <v>0</v>
      </c>
    </row>
    <row r="1426" spans="1:14" x14ac:dyDescent="0.25">
      <c r="A1426" s="1"/>
      <c r="B1426" s="2" t="s">
        <v>909</v>
      </c>
      <c r="C1426" s="2" t="s">
        <v>41</v>
      </c>
      <c r="D1426" s="2" t="s">
        <v>35</v>
      </c>
      <c r="E1426" s="7" t="s">
        <v>1604</v>
      </c>
      <c r="F1426" s="37">
        <v>42443.489583333336</v>
      </c>
      <c r="G1426" s="37">
        <v>42443.520833333336</v>
      </c>
      <c r="H1426" s="1" t="s">
        <v>6</v>
      </c>
      <c r="I1426" s="1" t="s">
        <v>38</v>
      </c>
      <c r="J1426" s="1">
        <v>42443.538865740738</v>
      </c>
      <c r="K1426" s="1" t="s">
        <v>41</v>
      </c>
      <c r="L1426" s="14">
        <f>24*(TblTimeSheet[[#This Row],[End Date and Time]]-TblTimeSheet[[#This Row],[Start Date and Time]])</f>
        <v>0.75</v>
      </c>
      <c r="M14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6">
        <f>--(0&gt;(TblTimeSheet[[#This Row],[End Date and Time]]-TblTimeSheet[[#This Row],[Start Date and Time]]))</f>
        <v>0</v>
      </c>
    </row>
    <row r="1427" spans="1:14" x14ac:dyDescent="0.25">
      <c r="A1427" s="1"/>
      <c r="B1427" s="2" t="s">
        <v>915</v>
      </c>
      <c r="C1427" s="2" t="s">
        <v>1117</v>
      </c>
      <c r="D1427" s="2" t="s">
        <v>32</v>
      </c>
      <c r="E1427" s="7" t="s">
        <v>1605</v>
      </c>
      <c r="F1427" s="37">
        <v>42443.375</v>
      </c>
      <c r="G1427" s="37">
        <v>42443.541666666664</v>
      </c>
      <c r="H1427" s="1" t="s">
        <v>6</v>
      </c>
      <c r="I1427" s="1" t="s">
        <v>38</v>
      </c>
      <c r="J1427" s="1">
        <v>42443.592581018522</v>
      </c>
      <c r="K1427" s="1" t="s">
        <v>2865</v>
      </c>
      <c r="L1427" s="14">
        <f>24*(TblTimeSheet[[#This Row],[End Date and Time]]-TblTimeSheet[[#This Row],[Start Date and Time]])</f>
        <v>3.9999999999417923</v>
      </c>
      <c r="M14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27">
        <f>--(0&gt;(TblTimeSheet[[#This Row],[End Date and Time]]-TblTimeSheet[[#This Row],[Start Date and Time]]))</f>
        <v>0</v>
      </c>
    </row>
    <row r="1428" spans="1:14" x14ac:dyDescent="0.25">
      <c r="A1428" s="1"/>
      <c r="B1428" s="2" t="s">
        <v>909</v>
      </c>
      <c r="C1428" s="2" t="s">
        <v>116</v>
      </c>
      <c r="D1428" s="2" t="s">
        <v>35</v>
      </c>
      <c r="E1428" s="7" t="s">
        <v>1606</v>
      </c>
      <c r="F1428" s="37">
        <v>42443.489583333336</v>
      </c>
      <c r="G1428" s="37">
        <v>42443.520833333336</v>
      </c>
      <c r="H1428" s="1" t="s">
        <v>6</v>
      </c>
      <c r="I1428" s="1" t="s">
        <v>38</v>
      </c>
      <c r="J1428" s="1">
        <v>42443.594965277778</v>
      </c>
      <c r="K1428" s="1" t="s">
        <v>39</v>
      </c>
      <c r="L1428" s="14">
        <f>24*(TblTimeSheet[[#This Row],[End Date and Time]]-TblTimeSheet[[#This Row],[Start Date and Time]])</f>
        <v>0.75</v>
      </c>
      <c r="M14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28">
        <f>--(0&gt;(TblTimeSheet[[#This Row],[End Date and Time]]-TblTimeSheet[[#This Row],[Start Date and Time]]))</f>
        <v>0</v>
      </c>
    </row>
    <row r="1429" spans="1:14" x14ac:dyDescent="0.25">
      <c r="A1429" s="1"/>
      <c r="B1429" s="2" t="s">
        <v>913</v>
      </c>
      <c r="C1429" s="2" t="s">
        <v>116</v>
      </c>
      <c r="D1429" s="2" t="s">
        <v>32</v>
      </c>
      <c r="E1429" s="7" t="s">
        <v>1607</v>
      </c>
      <c r="F1429" s="37">
        <v>42443.479166666664</v>
      </c>
      <c r="G1429" s="37">
        <v>42443.482638888891</v>
      </c>
      <c r="H1429" s="1" t="s">
        <v>6</v>
      </c>
      <c r="I1429" s="1" t="s">
        <v>38</v>
      </c>
      <c r="J1429" s="1">
        <v>42443.596076388887</v>
      </c>
      <c r="K1429" s="1" t="s">
        <v>39</v>
      </c>
      <c r="L1429" s="14">
        <f>24*(TblTimeSheet[[#This Row],[End Date and Time]]-TblTimeSheet[[#This Row],[Start Date and Time]])</f>
        <v>8.3333333430346102E-2</v>
      </c>
      <c r="M14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29">
        <f>--(0&gt;(TblTimeSheet[[#This Row],[End Date and Time]]-TblTimeSheet[[#This Row],[Start Date and Time]]))</f>
        <v>0</v>
      </c>
    </row>
    <row r="1430" spans="1:14" x14ac:dyDescent="0.25">
      <c r="A1430" s="1"/>
      <c r="B1430" s="2" t="s">
        <v>913</v>
      </c>
      <c r="C1430" s="2" t="s">
        <v>116</v>
      </c>
      <c r="D1430" s="2" t="s">
        <v>32</v>
      </c>
      <c r="E1430" s="7" t="s">
        <v>1042</v>
      </c>
      <c r="F1430" s="37">
        <v>42443.479166666664</v>
      </c>
      <c r="G1430" s="37">
        <v>42443.482638888891</v>
      </c>
      <c r="H1430" s="1" t="s">
        <v>6</v>
      </c>
      <c r="I1430" s="1" t="s">
        <v>38</v>
      </c>
      <c r="J1430" s="1">
        <v>42443.596736111111</v>
      </c>
      <c r="K1430" s="1" t="s">
        <v>701</v>
      </c>
      <c r="L1430" s="14">
        <f>24*(TblTimeSheet[[#This Row],[End Date and Time]]-TblTimeSheet[[#This Row],[Start Date and Time]])</f>
        <v>8.3333333430346102E-2</v>
      </c>
      <c r="M14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30">
        <f>--(0&gt;(TblTimeSheet[[#This Row],[End Date and Time]]-TblTimeSheet[[#This Row],[Start Date and Time]]))</f>
        <v>0</v>
      </c>
    </row>
    <row r="1431" spans="1:14" x14ac:dyDescent="0.25">
      <c r="A1431" s="1"/>
      <c r="B1431" s="2" t="s">
        <v>913</v>
      </c>
      <c r="C1431" s="2" t="s">
        <v>43</v>
      </c>
      <c r="D1431" s="2" t="s">
        <v>32</v>
      </c>
      <c r="E1431" s="7" t="s">
        <v>1608</v>
      </c>
      <c r="F1431" s="37">
        <v>42443.5</v>
      </c>
      <c r="G1431" s="37">
        <v>42443.506944444445</v>
      </c>
      <c r="H1431" s="1" t="s">
        <v>6</v>
      </c>
      <c r="I1431" s="1" t="s">
        <v>38</v>
      </c>
      <c r="J1431" s="1">
        <v>42443.614930555559</v>
      </c>
      <c r="K1431" s="1" t="s">
        <v>43</v>
      </c>
      <c r="L1431" s="14">
        <f>24*(TblTimeSheet[[#This Row],[End Date and Time]]-TblTimeSheet[[#This Row],[Start Date and Time]])</f>
        <v>0.16666666668606922</v>
      </c>
      <c r="M14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1">
        <f>--(0&gt;(TblTimeSheet[[#This Row],[End Date and Time]]-TblTimeSheet[[#This Row],[Start Date and Time]]))</f>
        <v>0</v>
      </c>
    </row>
    <row r="1432" spans="1:14" x14ac:dyDescent="0.25">
      <c r="A1432" s="1"/>
      <c r="B1432" s="2" t="s">
        <v>913</v>
      </c>
      <c r="C1432" s="2" t="s">
        <v>118</v>
      </c>
      <c r="D1432" s="2" t="s">
        <v>32</v>
      </c>
      <c r="E1432" s="7" t="s">
        <v>1609</v>
      </c>
      <c r="F1432" s="37">
        <v>42443.5</v>
      </c>
      <c r="G1432" s="37">
        <v>42443.506944444445</v>
      </c>
      <c r="H1432" s="1" t="s">
        <v>6</v>
      </c>
      <c r="I1432" s="1" t="s">
        <v>38</v>
      </c>
      <c r="J1432" s="1">
        <v>42443.615752314814</v>
      </c>
      <c r="K1432" s="1" t="s">
        <v>118</v>
      </c>
      <c r="L1432" s="14">
        <f>24*(TblTimeSheet[[#This Row],[End Date and Time]]-TblTimeSheet[[#This Row],[Start Date and Time]])</f>
        <v>0.16666666668606922</v>
      </c>
      <c r="M14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2">
        <f>--(0&gt;(TblTimeSheet[[#This Row],[End Date and Time]]-TblTimeSheet[[#This Row],[Start Date and Time]]))</f>
        <v>0</v>
      </c>
    </row>
    <row r="1433" spans="1:14" x14ac:dyDescent="0.25">
      <c r="A1433" s="1"/>
      <c r="B1433" s="2" t="s">
        <v>915</v>
      </c>
      <c r="C1433" s="2" t="s">
        <v>116</v>
      </c>
      <c r="D1433" s="2" t="s">
        <v>32</v>
      </c>
      <c r="E1433" s="7" t="s">
        <v>1610</v>
      </c>
      <c r="F1433" s="37">
        <v>42443.583333333336</v>
      </c>
      <c r="G1433" s="37">
        <v>42443.625</v>
      </c>
      <c r="H1433" s="1" t="s">
        <v>6</v>
      </c>
      <c r="I1433" s="1" t="s">
        <v>38</v>
      </c>
      <c r="J1433" s="1">
        <v>42443.661481481482</v>
      </c>
      <c r="K1433" s="1" t="s">
        <v>39</v>
      </c>
      <c r="L1433" s="14">
        <f>24*(TblTimeSheet[[#This Row],[End Date and Time]]-TblTimeSheet[[#This Row],[Start Date and Time]])</f>
        <v>0.99999999994179234</v>
      </c>
      <c r="M14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33">
        <f>--(0&gt;(TblTimeSheet[[#This Row],[End Date and Time]]-TblTimeSheet[[#This Row],[Start Date and Time]]))</f>
        <v>0</v>
      </c>
    </row>
    <row r="1434" spans="1:14" x14ac:dyDescent="0.25">
      <c r="A1434" s="1"/>
      <c r="B1434" s="2" t="s">
        <v>915</v>
      </c>
      <c r="C1434" s="2" t="s">
        <v>1117</v>
      </c>
      <c r="D1434" s="2" t="s">
        <v>32</v>
      </c>
      <c r="E1434" s="7" t="s">
        <v>1611</v>
      </c>
      <c r="F1434" s="37">
        <v>42443.583333333336</v>
      </c>
      <c r="G1434" s="37">
        <v>42443.625</v>
      </c>
      <c r="H1434" s="1" t="s">
        <v>6</v>
      </c>
      <c r="I1434" s="1" t="s">
        <v>38</v>
      </c>
      <c r="J1434" s="1">
        <v>42443.67083333333</v>
      </c>
      <c r="K1434" s="1" t="s">
        <v>2865</v>
      </c>
      <c r="L1434" s="14">
        <f>24*(TblTimeSheet[[#This Row],[End Date and Time]]-TblTimeSheet[[#This Row],[Start Date and Time]])</f>
        <v>0.99999999994179234</v>
      </c>
      <c r="M14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4">
        <f>--(0&gt;(TblTimeSheet[[#This Row],[End Date and Time]]-TblTimeSheet[[#This Row],[Start Date and Time]]))</f>
        <v>0</v>
      </c>
    </row>
    <row r="1435" spans="1:14" x14ac:dyDescent="0.25">
      <c r="A1435" s="1"/>
      <c r="B1435" s="2" t="s">
        <v>915</v>
      </c>
      <c r="C1435" s="2" t="s">
        <v>1117</v>
      </c>
      <c r="D1435" s="2" t="s">
        <v>32</v>
      </c>
      <c r="E1435" s="7" t="s">
        <v>1612</v>
      </c>
      <c r="F1435" s="37">
        <v>42443.625</v>
      </c>
      <c r="G1435" s="37">
        <v>42443.666666666664</v>
      </c>
      <c r="H1435" s="1" t="s">
        <v>6</v>
      </c>
      <c r="I1435" s="1" t="s">
        <v>38</v>
      </c>
      <c r="J1435" s="1">
        <v>42443.671643518515</v>
      </c>
      <c r="K1435" s="1" t="s">
        <v>2865</v>
      </c>
      <c r="L1435" s="14">
        <f>24*(TblTimeSheet[[#This Row],[End Date and Time]]-TblTimeSheet[[#This Row],[Start Date and Time]])</f>
        <v>0.99999999994179234</v>
      </c>
      <c r="M14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5">
        <f>--(0&gt;(TblTimeSheet[[#This Row],[End Date and Time]]-TblTimeSheet[[#This Row],[Start Date and Time]]))</f>
        <v>0</v>
      </c>
    </row>
    <row r="1436" spans="1:14" x14ac:dyDescent="0.25">
      <c r="A1436" s="1"/>
      <c r="B1436" s="2" t="s">
        <v>913</v>
      </c>
      <c r="C1436" s="2" t="s">
        <v>171</v>
      </c>
      <c r="D1436" s="2" t="s">
        <v>32</v>
      </c>
      <c r="E1436" s="7" t="s">
        <v>1613</v>
      </c>
      <c r="F1436" s="37">
        <v>42443.631944444445</v>
      </c>
      <c r="G1436" s="37">
        <v>42443.638888888891</v>
      </c>
      <c r="H1436" s="1" t="s">
        <v>6</v>
      </c>
      <c r="I1436" s="1" t="s">
        <v>38</v>
      </c>
      <c r="J1436" s="1">
        <v>42443.675127314818</v>
      </c>
      <c r="K1436" s="1" t="s">
        <v>171</v>
      </c>
      <c r="L1436" s="14">
        <f>24*(TblTimeSheet[[#This Row],[End Date and Time]]-TblTimeSheet[[#This Row],[Start Date and Time]])</f>
        <v>0.16666666668606922</v>
      </c>
      <c r="M14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6">
        <f>--(0&gt;(TblTimeSheet[[#This Row],[End Date and Time]]-TblTimeSheet[[#This Row],[Start Date and Time]]))</f>
        <v>0</v>
      </c>
    </row>
    <row r="1437" spans="1:14" x14ac:dyDescent="0.25">
      <c r="A1437" s="1"/>
      <c r="B1437" s="2" t="s">
        <v>913</v>
      </c>
      <c r="C1437" s="2" t="s">
        <v>116</v>
      </c>
      <c r="D1437" s="2" t="s">
        <v>32</v>
      </c>
      <c r="E1437" s="7" t="s">
        <v>1614</v>
      </c>
      <c r="F1437" s="37">
        <v>42443.631944444445</v>
      </c>
      <c r="G1437" s="37">
        <v>42443.638888888891</v>
      </c>
      <c r="H1437" s="1" t="s">
        <v>6</v>
      </c>
      <c r="I1437" s="1" t="s">
        <v>38</v>
      </c>
      <c r="J1437" s="1">
        <v>42443.675185185188</v>
      </c>
      <c r="K1437" s="1" t="s">
        <v>39</v>
      </c>
      <c r="L1437" s="14">
        <f>24*(TblTimeSheet[[#This Row],[End Date and Time]]-TblTimeSheet[[#This Row],[Start Date and Time]])</f>
        <v>0.16666666668606922</v>
      </c>
      <c r="M14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37">
        <f>--(0&gt;(TblTimeSheet[[#This Row],[End Date and Time]]-TblTimeSheet[[#This Row],[Start Date and Time]]))</f>
        <v>0</v>
      </c>
    </row>
    <row r="1438" spans="1:14" x14ac:dyDescent="0.25">
      <c r="A1438" s="1"/>
      <c r="B1438" s="2" t="s">
        <v>911</v>
      </c>
      <c r="C1438" s="2" t="s">
        <v>43</v>
      </c>
      <c r="D1438" s="2" t="s">
        <v>32</v>
      </c>
      <c r="E1438" s="7" t="s">
        <v>1615</v>
      </c>
      <c r="F1438" s="37">
        <v>42443.666666666664</v>
      </c>
      <c r="G1438" s="37">
        <v>42443.673611111109</v>
      </c>
      <c r="H1438" s="1" t="s">
        <v>6</v>
      </c>
      <c r="I1438" s="1" t="s">
        <v>38</v>
      </c>
      <c r="J1438" s="1">
        <v>42443.675381944442</v>
      </c>
      <c r="K1438" s="1" t="s">
        <v>43</v>
      </c>
      <c r="L1438" s="14">
        <f>24*(TblTimeSheet[[#This Row],[End Date and Time]]-TblTimeSheet[[#This Row],[Start Date and Time]])</f>
        <v>0.16666666668606922</v>
      </c>
      <c r="M14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8">
        <f>--(0&gt;(TblTimeSheet[[#This Row],[End Date and Time]]-TblTimeSheet[[#This Row],[Start Date and Time]]))</f>
        <v>0</v>
      </c>
    </row>
    <row r="1439" spans="1:14" x14ac:dyDescent="0.25">
      <c r="A1439" s="1"/>
      <c r="B1439" s="2" t="s">
        <v>911</v>
      </c>
      <c r="C1439" s="2" t="s">
        <v>118</v>
      </c>
      <c r="D1439" s="2" t="s">
        <v>32</v>
      </c>
      <c r="E1439" s="7" t="s">
        <v>1616</v>
      </c>
      <c r="F1439" s="37">
        <v>42443.666666666664</v>
      </c>
      <c r="G1439" s="37">
        <v>42443.673611111109</v>
      </c>
      <c r="H1439" s="1" t="s">
        <v>6</v>
      </c>
      <c r="I1439" s="1" t="s">
        <v>38</v>
      </c>
      <c r="J1439" s="1">
        <v>42443.675983796296</v>
      </c>
      <c r="K1439" s="1" t="s">
        <v>118</v>
      </c>
      <c r="L1439" s="14">
        <f>24*(TblTimeSheet[[#This Row],[End Date and Time]]-TblTimeSheet[[#This Row],[Start Date and Time]])</f>
        <v>0.16666666668606922</v>
      </c>
      <c r="M14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39">
        <f>--(0&gt;(TblTimeSheet[[#This Row],[End Date and Time]]-TblTimeSheet[[#This Row],[Start Date and Time]]))</f>
        <v>0</v>
      </c>
    </row>
    <row r="1440" spans="1:14" x14ac:dyDescent="0.25">
      <c r="A1440" s="1"/>
      <c r="B1440" s="2" t="s">
        <v>913</v>
      </c>
      <c r="C1440" s="2" t="s">
        <v>118</v>
      </c>
      <c r="D1440" s="2" t="s">
        <v>32</v>
      </c>
      <c r="E1440" s="7" t="s">
        <v>1617</v>
      </c>
      <c r="F1440" s="37">
        <v>42443.631944444445</v>
      </c>
      <c r="G1440" s="37">
        <v>42443.638888888891</v>
      </c>
      <c r="H1440" s="1" t="s">
        <v>6</v>
      </c>
      <c r="I1440" s="1" t="s">
        <v>38</v>
      </c>
      <c r="J1440" s="1">
        <v>42443.677418981482</v>
      </c>
      <c r="K1440" s="1" t="s">
        <v>118</v>
      </c>
      <c r="L1440" s="14">
        <f>24*(TblTimeSheet[[#This Row],[End Date and Time]]-TblTimeSheet[[#This Row],[Start Date and Time]])</f>
        <v>0.16666666668606922</v>
      </c>
      <c r="M14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0">
        <f>--(0&gt;(TblTimeSheet[[#This Row],[End Date and Time]]-TblTimeSheet[[#This Row],[Start Date and Time]]))</f>
        <v>0</v>
      </c>
    </row>
    <row r="1441" spans="1:14" x14ac:dyDescent="0.25">
      <c r="A1441" s="1"/>
      <c r="B1441" s="2" t="s">
        <v>697</v>
      </c>
      <c r="C1441" s="2" t="s">
        <v>116</v>
      </c>
      <c r="D1441" s="2" t="s">
        <v>33</v>
      </c>
      <c r="E1441" s="7" t="s">
        <v>1618</v>
      </c>
      <c r="F1441" s="37">
        <v>42443.420138888891</v>
      </c>
      <c r="G1441" s="37">
        <v>42443.541666666664</v>
      </c>
      <c r="H1441" s="1" t="s">
        <v>6</v>
      </c>
      <c r="I1441" s="1" t="s">
        <v>38</v>
      </c>
      <c r="J1441" s="1">
        <v>42443.696516203701</v>
      </c>
      <c r="K1441" s="1" t="s">
        <v>81</v>
      </c>
      <c r="L1441" s="14">
        <f>24*(TblTimeSheet[[#This Row],[End Date and Time]]-TblTimeSheet[[#This Row],[Start Date and Time]])</f>
        <v>2.9166666665696539</v>
      </c>
      <c r="M14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41">
        <f>--(0&gt;(TblTimeSheet[[#This Row],[End Date and Time]]-TblTimeSheet[[#This Row],[Start Date and Time]]))</f>
        <v>0</v>
      </c>
    </row>
    <row r="1442" spans="1:14" x14ac:dyDescent="0.25">
      <c r="A1442" s="1"/>
      <c r="B1442" s="2" t="s">
        <v>697</v>
      </c>
      <c r="C1442" s="2" t="s">
        <v>116</v>
      </c>
      <c r="D1442" s="2" t="s">
        <v>33</v>
      </c>
      <c r="E1442" s="7" t="s">
        <v>1908</v>
      </c>
      <c r="F1442" s="37">
        <v>42443.604166666664</v>
      </c>
      <c r="G1442" s="37">
        <v>42443.701388888891</v>
      </c>
      <c r="H1442" s="1" t="s">
        <v>6</v>
      </c>
      <c r="I1442" s="1" t="s">
        <v>38</v>
      </c>
      <c r="J1442" s="1">
        <v>42443.697314814817</v>
      </c>
      <c r="K1442" s="1" t="s">
        <v>81</v>
      </c>
      <c r="L1442" s="14">
        <f>24*(TblTimeSheet[[#This Row],[End Date and Time]]-TblTimeSheet[[#This Row],[Start Date and Time]])</f>
        <v>2.3333333334303461</v>
      </c>
      <c r="M14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42">
        <f>--(0&gt;(TblTimeSheet[[#This Row],[End Date and Time]]-TblTimeSheet[[#This Row],[Start Date and Time]]))</f>
        <v>0</v>
      </c>
    </row>
    <row r="1443" spans="1:14" x14ac:dyDescent="0.25">
      <c r="A1443" s="1"/>
      <c r="B1443" s="2" t="s">
        <v>697</v>
      </c>
      <c r="C1443" s="2" t="s">
        <v>124</v>
      </c>
      <c r="D1443" s="2" t="s">
        <v>33</v>
      </c>
      <c r="E1443" s="7" t="s">
        <v>1909</v>
      </c>
      <c r="F1443" s="37">
        <v>42443.420138888891</v>
      </c>
      <c r="G1443" s="37">
        <v>42443.541666666664</v>
      </c>
      <c r="H1443" s="1" t="s">
        <v>6</v>
      </c>
      <c r="I1443" s="1" t="s">
        <v>38</v>
      </c>
      <c r="J1443" s="1">
        <v>42443.705138888887</v>
      </c>
      <c r="K1443" s="1" t="s">
        <v>2863</v>
      </c>
      <c r="L1443" s="14">
        <f>24*(TblTimeSheet[[#This Row],[End Date and Time]]-TblTimeSheet[[#This Row],[Start Date and Time]])</f>
        <v>2.9166666665696539</v>
      </c>
      <c r="M14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3">
        <f>--(0&gt;(TblTimeSheet[[#This Row],[End Date and Time]]-TblTimeSheet[[#This Row],[Start Date and Time]]))</f>
        <v>0</v>
      </c>
    </row>
    <row r="1444" spans="1:14" x14ac:dyDescent="0.25">
      <c r="A1444" s="1"/>
      <c r="B1444" s="2" t="s">
        <v>697</v>
      </c>
      <c r="C1444" s="2" t="s">
        <v>124</v>
      </c>
      <c r="D1444" s="2" t="s">
        <v>33</v>
      </c>
      <c r="E1444" s="7" t="s">
        <v>1909</v>
      </c>
      <c r="F1444" s="37">
        <v>42443.604166666664</v>
      </c>
      <c r="G1444" s="37">
        <v>42443.701388888891</v>
      </c>
      <c r="H1444" s="1" t="s">
        <v>6</v>
      </c>
      <c r="I1444" s="1" t="s">
        <v>38</v>
      </c>
      <c r="J1444" s="1">
        <v>42443.705983796295</v>
      </c>
      <c r="K1444" s="1" t="s">
        <v>2863</v>
      </c>
      <c r="L1444" s="14">
        <f>24*(TblTimeSheet[[#This Row],[End Date and Time]]-TblTimeSheet[[#This Row],[Start Date and Time]])</f>
        <v>2.3333333334303461</v>
      </c>
      <c r="M14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4">
        <f>--(0&gt;(TblTimeSheet[[#This Row],[End Date and Time]]-TblTimeSheet[[#This Row],[Start Date and Time]]))</f>
        <v>0</v>
      </c>
    </row>
    <row r="1445" spans="1:14" x14ac:dyDescent="0.25">
      <c r="A1445" s="1"/>
      <c r="B1445" s="2" t="s">
        <v>697</v>
      </c>
      <c r="C1445" s="2" t="s">
        <v>43</v>
      </c>
      <c r="D1445" s="2" t="s">
        <v>33</v>
      </c>
      <c r="E1445" s="7" t="s">
        <v>1815</v>
      </c>
      <c r="F1445" s="37">
        <v>42422.666666666664</v>
      </c>
      <c r="G1445" s="37">
        <v>42422.6875</v>
      </c>
      <c r="H1445" s="1" t="s">
        <v>6</v>
      </c>
      <c r="I1445" s="1" t="s">
        <v>38</v>
      </c>
      <c r="J1445" s="1">
        <v>42443.709328703706</v>
      </c>
      <c r="K1445" s="1" t="s">
        <v>43</v>
      </c>
      <c r="L1445" s="14">
        <f>24*(TblTimeSheet[[#This Row],[End Date and Time]]-TblTimeSheet[[#This Row],[Start Date and Time]])</f>
        <v>0.50000000005820766</v>
      </c>
      <c r="M14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5">
        <f>--(0&gt;(TblTimeSheet[[#This Row],[End Date and Time]]-TblTimeSheet[[#This Row],[Start Date and Time]]))</f>
        <v>0</v>
      </c>
    </row>
    <row r="1446" spans="1:14" x14ac:dyDescent="0.25">
      <c r="A1446" s="1"/>
      <c r="B1446" s="2" t="s">
        <v>915</v>
      </c>
      <c r="C1446" s="2" t="s">
        <v>1117</v>
      </c>
      <c r="D1446" s="2" t="s">
        <v>32</v>
      </c>
      <c r="E1446" s="7" t="s">
        <v>1619</v>
      </c>
      <c r="F1446" s="37">
        <v>42443.6875</v>
      </c>
      <c r="G1446" s="37">
        <v>42443.708333333336</v>
      </c>
      <c r="H1446" s="1" t="s">
        <v>6</v>
      </c>
      <c r="I1446" s="1" t="s">
        <v>38</v>
      </c>
      <c r="J1446" s="1">
        <v>42443.71502314815</v>
      </c>
      <c r="K1446" s="1" t="s">
        <v>2865</v>
      </c>
      <c r="L1446" s="14">
        <f>24*(TblTimeSheet[[#This Row],[End Date and Time]]-TblTimeSheet[[#This Row],[Start Date and Time]])</f>
        <v>0.50000000005820766</v>
      </c>
      <c r="M14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6">
        <f>--(0&gt;(TblTimeSheet[[#This Row],[End Date and Time]]-TblTimeSheet[[#This Row],[Start Date and Time]]))</f>
        <v>0</v>
      </c>
    </row>
    <row r="1447" spans="1:14" x14ac:dyDescent="0.25">
      <c r="A1447" s="1"/>
      <c r="B1447" s="2" t="s">
        <v>909</v>
      </c>
      <c r="C1447" s="2" t="s">
        <v>41</v>
      </c>
      <c r="D1447" s="2" t="s">
        <v>35</v>
      </c>
      <c r="E1447" s="7" t="s">
        <v>1620</v>
      </c>
      <c r="F1447" s="37">
        <v>42443.715277777781</v>
      </c>
      <c r="G1447" s="37">
        <v>42443.722222222219</v>
      </c>
      <c r="H1447" s="1" t="s">
        <v>6</v>
      </c>
      <c r="I1447" s="1" t="s">
        <v>38</v>
      </c>
      <c r="J1447" s="1">
        <v>42443.730219907404</v>
      </c>
      <c r="K1447" s="1" t="s">
        <v>41</v>
      </c>
      <c r="L1447" s="14">
        <f>24*(TblTimeSheet[[#This Row],[End Date and Time]]-TblTimeSheet[[#This Row],[Start Date and Time]])</f>
        <v>0.16666666651144624</v>
      </c>
      <c r="M14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7">
        <f>--(0&gt;(TblTimeSheet[[#This Row],[End Date and Time]]-TblTimeSheet[[#This Row],[Start Date and Time]]))</f>
        <v>0</v>
      </c>
    </row>
    <row r="1448" spans="1:14" x14ac:dyDescent="0.25">
      <c r="A1448" s="1"/>
      <c r="B1448" s="2" t="s">
        <v>913</v>
      </c>
      <c r="C1448" s="2" t="s">
        <v>118</v>
      </c>
      <c r="D1448" s="2" t="s">
        <v>32</v>
      </c>
      <c r="E1448" s="7" t="s">
        <v>1621</v>
      </c>
      <c r="F1448" s="37">
        <v>42443.729166666664</v>
      </c>
      <c r="G1448" s="37">
        <v>42443.732638888891</v>
      </c>
      <c r="H1448" s="1" t="s">
        <v>6</v>
      </c>
      <c r="I1448" s="1" t="s">
        <v>38</v>
      </c>
      <c r="J1448" s="1">
        <v>42444.434039351851</v>
      </c>
      <c r="K1448" s="1" t="s">
        <v>118</v>
      </c>
      <c r="L1448" s="14">
        <f>24*(TblTimeSheet[[#This Row],[End Date and Time]]-TblTimeSheet[[#This Row],[Start Date and Time]])</f>
        <v>8.3333333430346102E-2</v>
      </c>
      <c r="M14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8">
        <f>--(0&gt;(TblTimeSheet[[#This Row],[End Date and Time]]-TblTimeSheet[[#This Row],[Start Date and Time]]))</f>
        <v>0</v>
      </c>
    </row>
    <row r="1449" spans="1:14" x14ac:dyDescent="0.25">
      <c r="A1449" s="1"/>
      <c r="B1449" s="2" t="s">
        <v>911</v>
      </c>
      <c r="C1449" s="2" t="s">
        <v>118</v>
      </c>
      <c r="D1449" s="2" t="s">
        <v>33</v>
      </c>
      <c r="E1449" s="7" t="s">
        <v>1622</v>
      </c>
      <c r="F1449" s="37">
        <v>42443.677083333336</v>
      </c>
      <c r="G1449" s="37">
        <v>42443.729166666664</v>
      </c>
      <c r="H1449" s="1" t="s">
        <v>6</v>
      </c>
      <c r="I1449" s="1" t="s">
        <v>38</v>
      </c>
      <c r="J1449" s="1">
        <v>42443.737314814818</v>
      </c>
      <c r="K1449" s="1" t="s">
        <v>118</v>
      </c>
      <c r="L1449" s="14">
        <f>24*(TblTimeSheet[[#This Row],[End Date and Time]]-TblTimeSheet[[#This Row],[Start Date and Time]])</f>
        <v>1.2499999998835847</v>
      </c>
      <c r="M14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49">
        <f>--(0&gt;(TblTimeSheet[[#This Row],[End Date and Time]]-TblTimeSheet[[#This Row],[Start Date and Time]]))</f>
        <v>0</v>
      </c>
    </row>
    <row r="1450" spans="1:14" x14ac:dyDescent="0.25">
      <c r="A1450" s="1"/>
      <c r="B1450" s="2" t="s">
        <v>913</v>
      </c>
      <c r="C1450" s="2" t="s">
        <v>454</v>
      </c>
      <c r="D1450" s="2" t="s">
        <v>32</v>
      </c>
      <c r="E1450" s="7" t="s">
        <v>449</v>
      </c>
      <c r="F1450" s="37">
        <v>42443.729166666664</v>
      </c>
      <c r="G1450" s="37">
        <v>42443.732638888891</v>
      </c>
      <c r="H1450" s="1" t="s">
        <v>6</v>
      </c>
      <c r="I1450" s="1" t="s">
        <v>38</v>
      </c>
      <c r="J1450" s="1">
        <v>42443.739548611113</v>
      </c>
      <c r="K1450" s="1" t="s">
        <v>454</v>
      </c>
      <c r="L1450" s="14">
        <f>24*(TblTimeSheet[[#This Row],[End Date and Time]]-TblTimeSheet[[#This Row],[Start Date and Time]])</f>
        <v>8.3333333430346102E-2</v>
      </c>
      <c r="M14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0">
        <f>--(0&gt;(TblTimeSheet[[#This Row],[End Date and Time]]-TblTimeSheet[[#This Row],[Start Date and Time]]))</f>
        <v>0</v>
      </c>
    </row>
    <row r="1451" spans="1:14" x14ac:dyDescent="0.25">
      <c r="A1451" s="1"/>
      <c r="B1451" s="2" t="s">
        <v>913</v>
      </c>
      <c r="C1451" s="2" t="s">
        <v>36</v>
      </c>
      <c r="D1451" s="2" t="s">
        <v>32</v>
      </c>
      <c r="E1451" s="7" t="s">
        <v>1910</v>
      </c>
      <c r="F1451" s="37">
        <v>42443.729166666664</v>
      </c>
      <c r="G1451" s="37">
        <v>42443.732638888891</v>
      </c>
      <c r="H1451" s="1" t="s">
        <v>6</v>
      </c>
      <c r="I1451" s="1" t="s">
        <v>38</v>
      </c>
      <c r="J1451" s="1">
        <v>42443.742673611108</v>
      </c>
      <c r="K1451" s="1" t="s">
        <v>36</v>
      </c>
      <c r="L1451" s="14">
        <f>24*(TblTimeSheet[[#This Row],[End Date and Time]]-TblTimeSheet[[#This Row],[Start Date and Time]])</f>
        <v>8.3333333430346102E-2</v>
      </c>
      <c r="M14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1">
        <f>--(0&gt;(TblTimeSheet[[#This Row],[End Date and Time]]-TblTimeSheet[[#This Row],[Start Date and Time]]))</f>
        <v>0</v>
      </c>
    </row>
    <row r="1452" spans="1:14" x14ac:dyDescent="0.25">
      <c r="A1452" s="1"/>
      <c r="B1452" s="2" t="s">
        <v>697</v>
      </c>
      <c r="C1452" s="2" t="s">
        <v>143</v>
      </c>
      <c r="D1452" s="2" t="s">
        <v>34</v>
      </c>
      <c r="E1452" s="7" t="s">
        <v>1623</v>
      </c>
      <c r="F1452" s="37">
        <v>42443.416666666664</v>
      </c>
      <c r="G1452" s="37">
        <v>42443.541666666664</v>
      </c>
      <c r="H1452" s="1" t="s">
        <v>6</v>
      </c>
      <c r="I1452" s="1" t="s">
        <v>38</v>
      </c>
      <c r="J1452" s="1">
        <v>42443.744351851848</v>
      </c>
      <c r="K1452" s="1" t="s">
        <v>143</v>
      </c>
      <c r="L1452" s="14">
        <f>24*(TblTimeSheet[[#This Row],[End Date and Time]]-TblTimeSheet[[#This Row],[Start Date and Time]])</f>
        <v>3</v>
      </c>
      <c r="M14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2">
        <f>--(0&gt;(TblTimeSheet[[#This Row],[End Date and Time]]-TblTimeSheet[[#This Row],[Start Date and Time]]))</f>
        <v>0</v>
      </c>
    </row>
    <row r="1453" spans="1:14" x14ac:dyDescent="0.25">
      <c r="A1453" s="1"/>
      <c r="B1453" s="2" t="s">
        <v>697</v>
      </c>
      <c r="C1453" s="2" t="s">
        <v>143</v>
      </c>
      <c r="D1453" s="2" t="s">
        <v>34</v>
      </c>
      <c r="E1453" s="7" t="s">
        <v>1623</v>
      </c>
      <c r="F1453" s="37">
        <v>42443.583333333336</v>
      </c>
      <c r="G1453" s="37">
        <v>42443.729166666664</v>
      </c>
      <c r="H1453" s="1" t="s">
        <v>6</v>
      </c>
      <c r="I1453" s="1" t="s">
        <v>38</v>
      </c>
      <c r="J1453" s="1">
        <v>42443.744687500002</v>
      </c>
      <c r="K1453" s="1" t="s">
        <v>143</v>
      </c>
      <c r="L1453" s="14">
        <f>24*(TblTimeSheet[[#This Row],[End Date and Time]]-TblTimeSheet[[#This Row],[Start Date and Time]])</f>
        <v>3.4999999998835847</v>
      </c>
      <c r="M14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3">
        <f>--(0&gt;(TblTimeSheet[[#This Row],[End Date and Time]]-TblTimeSheet[[#This Row],[Start Date and Time]]))</f>
        <v>0</v>
      </c>
    </row>
    <row r="1454" spans="1:14" x14ac:dyDescent="0.25">
      <c r="A1454" s="1"/>
      <c r="B1454" s="2" t="s">
        <v>697</v>
      </c>
      <c r="C1454" s="2" t="s">
        <v>116</v>
      </c>
      <c r="D1454" s="2" t="s">
        <v>34</v>
      </c>
      <c r="E1454" s="7" t="s">
        <v>1623</v>
      </c>
      <c r="F1454" s="37">
        <v>42443.416666666664</v>
      </c>
      <c r="G1454" s="37">
        <v>42443.541666666664</v>
      </c>
      <c r="H1454" s="1" t="s">
        <v>6</v>
      </c>
      <c r="I1454" s="1" t="s">
        <v>38</v>
      </c>
      <c r="J1454" s="1">
        <v>42443.745312500003</v>
      </c>
      <c r="K1454" s="1" t="s">
        <v>1026</v>
      </c>
      <c r="L1454" s="14">
        <f>24*(TblTimeSheet[[#This Row],[End Date and Time]]-TblTimeSheet[[#This Row],[Start Date and Time]])</f>
        <v>3</v>
      </c>
      <c r="M14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54">
        <f>--(0&gt;(TblTimeSheet[[#This Row],[End Date and Time]]-TblTimeSheet[[#This Row],[Start Date and Time]]))</f>
        <v>0</v>
      </c>
    </row>
    <row r="1455" spans="1:14" x14ac:dyDescent="0.25">
      <c r="A1455" s="1"/>
      <c r="B1455" s="2" t="s">
        <v>697</v>
      </c>
      <c r="C1455" s="2" t="s">
        <v>116</v>
      </c>
      <c r="D1455" s="2" t="s">
        <v>34</v>
      </c>
      <c r="E1455" s="7" t="s">
        <v>1623</v>
      </c>
      <c r="F1455" s="37">
        <v>42443.583333333336</v>
      </c>
      <c r="G1455" s="37">
        <v>42443.729166666664</v>
      </c>
      <c r="H1455" s="1" t="s">
        <v>6</v>
      </c>
      <c r="I1455" s="1" t="s">
        <v>38</v>
      </c>
      <c r="J1455" s="1">
        <v>42443.745567129627</v>
      </c>
      <c r="K1455" s="1" t="s">
        <v>1026</v>
      </c>
      <c r="L1455" s="14">
        <f>24*(TblTimeSheet[[#This Row],[End Date and Time]]-TblTimeSheet[[#This Row],[Start Date and Time]])</f>
        <v>3.4999999998835847</v>
      </c>
      <c r="M14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55">
        <f>--(0&gt;(TblTimeSheet[[#This Row],[End Date and Time]]-TblTimeSheet[[#This Row],[Start Date and Time]]))</f>
        <v>0</v>
      </c>
    </row>
    <row r="1456" spans="1:14" x14ac:dyDescent="0.25">
      <c r="A1456" s="1"/>
      <c r="B1456" s="2" t="s">
        <v>913</v>
      </c>
      <c r="C1456" s="2" t="s">
        <v>116</v>
      </c>
      <c r="D1456" s="2" t="s">
        <v>32</v>
      </c>
      <c r="E1456" s="7" t="s">
        <v>1624</v>
      </c>
      <c r="F1456" s="37">
        <v>42443.729166666664</v>
      </c>
      <c r="G1456" s="37">
        <v>42443.732638888891</v>
      </c>
      <c r="H1456" s="1" t="s">
        <v>6</v>
      </c>
      <c r="I1456" s="1" t="s">
        <v>38</v>
      </c>
      <c r="J1456" s="1">
        <v>42443.745752314811</v>
      </c>
      <c r="K1456" s="1" t="s">
        <v>39</v>
      </c>
      <c r="L1456" s="14">
        <f>24*(TblTimeSheet[[#This Row],[End Date and Time]]-TblTimeSheet[[#This Row],[Start Date and Time]])</f>
        <v>8.3333333430346102E-2</v>
      </c>
      <c r="M14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6">
        <f>--(0&gt;(TblTimeSheet[[#This Row],[End Date and Time]]-TblTimeSheet[[#This Row],[Start Date and Time]]))</f>
        <v>0</v>
      </c>
    </row>
    <row r="1457" spans="1:14" x14ac:dyDescent="0.25">
      <c r="A1457" s="1"/>
      <c r="B1457" s="2" t="s">
        <v>909</v>
      </c>
      <c r="C1457" s="2" t="s">
        <v>116</v>
      </c>
      <c r="D1457" s="2" t="s">
        <v>35</v>
      </c>
      <c r="E1457" s="7" t="s">
        <v>1625</v>
      </c>
      <c r="F1457" s="37">
        <v>42443.715277777781</v>
      </c>
      <c r="G1457" s="37">
        <v>42443.729166666664</v>
      </c>
      <c r="H1457" s="1" t="s">
        <v>6</v>
      </c>
      <c r="I1457" s="1" t="s">
        <v>38</v>
      </c>
      <c r="J1457" s="1">
        <v>42443.746493055558</v>
      </c>
      <c r="K1457" s="1" t="s">
        <v>39</v>
      </c>
      <c r="L1457" s="14">
        <f>24*(TblTimeSheet[[#This Row],[End Date and Time]]-TblTimeSheet[[#This Row],[Start Date and Time]])</f>
        <v>0.33333333319751546</v>
      </c>
      <c r="M14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57">
        <f>--(0&gt;(TblTimeSheet[[#This Row],[End Date and Time]]-TblTimeSheet[[#This Row],[Start Date and Time]]))</f>
        <v>0</v>
      </c>
    </row>
    <row r="1458" spans="1:14" x14ac:dyDescent="0.25">
      <c r="A1458" s="1"/>
      <c r="B1458" s="2" t="s">
        <v>913</v>
      </c>
      <c r="C1458" s="2" t="s">
        <v>171</v>
      </c>
      <c r="D1458" s="2" t="s">
        <v>32</v>
      </c>
      <c r="E1458" s="7" t="s">
        <v>1555</v>
      </c>
      <c r="F1458" s="37">
        <v>42443.729166666664</v>
      </c>
      <c r="G1458" s="37">
        <v>42443.732638888891</v>
      </c>
      <c r="H1458" s="1" t="s">
        <v>6</v>
      </c>
      <c r="I1458" s="1" t="s">
        <v>38</v>
      </c>
      <c r="J1458" s="1">
        <v>42444.391655092593</v>
      </c>
      <c r="K1458" s="1" t="s">
        <v>171</v>
      </c>
      <c r="L1458" s="14">
        <f>24*(TblTimeSheet[[#This Row],[End Date and Time]]-TblTimeSheet[[#This Row],[Start Date and Time]])</f>
        <v>8.3333333430346102E-2</v>
      </c>
      <c r="M14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8">
        <f>--(0&gt;(TblTimeSheet[[#This Row],[End Date and Time]]-TblTimeSheet[[#This Row],[Start Date and Time]]))</f>
        <v>0</v>
      </c>
    </row>
    <row r="1459" spans="1:14" x14ac:dyDescent="0.25">
      <c r="A1459" s="1"/>
      <c r="B1459" s="2" t="s">
        <v>913</v>
      </c>
      <c r="C1459" s="2" t="s">
        <v>171</v>
      </c>
      <c r="D1459" s="2" t="s">
        <v>32</v>
      </c>
      <c r="E1459" s="7" t="s">
        <v>1911</v>
      </c>
      <c r="F1459" s="37">
        <v>42444.413194444445</v>
      </c>
      <c r="G1459" s="37">
        <v>42444.430555555555</v>
      </c>
      <c r="H1459" s="1" t="s">
        <v>6</v>
      </c>
      <c r="I1459" s="1" t="s">
        <v>38</v>
      </c>
      <c r="J1459" s="1">
        <v>42444.430995370371</v>
      </c>
      <c r="K1459" s="1" t="s">
        <v>171</v>
      </c>
      <c r="L1459" s="14">
        <f>24*(TblTimeSheet[[#This Row],[End Date and Time]]-TblTimeSheet[[#This Row],[Start Date and Time]])</f>
        <v>0.41666666662786156</v>
      </c>
      <c r="M14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59">
        <f>--(0&gt;(TblTimeSheet[[#This Row],[End Date and Time]]-TblTimeSheet[[#This Row],[Start Date and Time]]))</f>
        <v>0</v>
      </c>
    </row>
    <row r="1460" spans="1:14" x14ac:dyDescent="0.25">
      <c r="A1460" s="1"/>
      <c r="B1460" s="2" t="s">
        <v>697</v>
      </c>
      <c r="C1460" s="2" t="s">
        <v>118</v>
      </c>
      <c r="D1460" s="2" t="s">
        <v>32</v>
      </c>
      <c r="E1460" s="7" t="s">
        <v>1626</v>
      </c>
      <c r="F1460" s="37">
        <v>42392.583333333336</v>
      </c>
      <c r="G1460" s="37">
        <v>42392.708333333336</v>
      </c>
      <c r="H1460" s="1" t="s">
        <v>6</v>
      </c>
      <c r="I1460" s="1" t="s">
        <v>38</v>
      </c>
      <c r="J1460" s="1">
        <v>42444.434629629628</v>
      </c>
      <c r="K1460" s="1" t="s">
        <v>118</v>
      </c>
      <c r="L1460" s="14">
        <f>24*(TblTimeSheet[[#This Row],[End Date and Time]]-TblTimeSheet[[#This Row],[Start Date and Time]])</f>
        <v>3</v>
      </c>
      <c r="M14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0">
        <f>--(0&gt;(TblTimeSheet[[#This Row],[End Date and Time]]-TblTimeSheet[[#This Row],[Start Date and Time]]))</f>
        <v>0</v>
      </c>
    </row>
    <row r="1461" spans="1:14" x14ac:dyDescent="0.25">
      <c r="A1461" s="1"/>
      <c r="B1461" s="2" t="s">
        <v>915</v>
      </c>
      <c r="C1461" s="2" t="s">
        <v>1117</v>
      </c>
      <c r="D1461" s="2" t="s">
        <v>32</v>
      </c>
      <c r="E1461" s="7" t="s">
        <v>1627</v>
      </c>
      <c r="F1461" s="37">
        <v>42444.375</v>
      </c>
      <c r="G1461" s="37">
        <v>42444.413194444445</v>
      </c>
      <c r="H1461" s="1" t="s">
        <v>6</v>
      </c>
      <c r="I1461" s="1" t="s">
        <v>38</v>
      </c>
      <c r="J1461" s="1">
        <v>42444.462870370371</v>
      </c>
      <c r="K1461" s="1" t="s">
        <v>2865</v>
      </c>
      <c r="L1461" s="14">
        <f>24*(TblTimeSheet[[#This Row],[End Date and Time]]-TblTimeSheet[[#This Row],[Start Date and Time]])</f>
        <v>0.91666666668606922</v>
      </c>
      <c r="M14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1">
        <f>--(0&gt;(TblTimeSheet[[#This Row],[End Date and Time]]-TblTimeSheet[[#This Row],[Start Date and Time]]))</f>
        <v>0</v>
      </c>
    </row>
    <row r="1462" spans="1:14" x14ac:dyDescent="0.25">
      <c r="A1462" s="1"/>
      <c r="B1462" s="2" t="s">
        <v>915</v>
      </c>
      <c r="C1462" s="2" t="s">
        <v>171</v>
      </c>
      <c r="D1462" s="2" t="s">
        <v>32</v>
      </c>
      <c r="E1462" s="7" t="s">
        <v>1627</v>
      </c>
      <c r="F1462" s="37">
        <v>42444.375</v>
      </c>
      <c r="G1462" s="37">
        <v>42444.413194444445</v>
      </c>
      <c r="H1462" s="1" t="s">
        <v>6</v>
      </c>
      <c r="I1462" s="1" t="s">
        <v>38</v>
      </c>
      <c r="J1462" s="1">
        <v>42444.464375000003</v>
      </c>
      <c r="K1462" s="1" t="s">
        <v>171</v>
      </c>
      <c r="L1462" s="14">
        <f>24*(TblTimeSheet[[#This Row],[End Date and Time]]-TblTimeSheet[[#This Row],[Start Date and Time]])</f>
        <v>0.91666666668606922</v>
      </c>
      <c r="M14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2">
        <f>--(0&gt;(TblTimeSheet[[#This Row],[End Date and Time]]-TblTimeSheet[[#This Row],[Start Date and Time]]))</f>
        <v>0</v>
      </c>
    </row>
    <row r="1463" spans="1:14" x14ac:dyDescent="0.25">
      <c r="A1463" s="1"/>
      <c r="B1463" s="2" t="s">
        <v>909</v>
      </c>
      <c r="C1463" s="2" t="s">
        <v>41</v>
      </c>
      <c r="D1463" s="2" t="s">
        <v>35</v>
      </c>
      <c r="E1463" s="7" t="s">
        <v>1912</v>
      </c>
      <c r="F1463" s="37">
        <v>42444.4375</v>
      </c>
      <c r="G1463" s="37">
        <v>42444.496527777781</v>
      </c>
      <c r="H1463" s="1" t="s">
        <v>6</v>
      </c>
      <c r="I1463" s="1" t="s">
        <v>38</v>
      </c>
      <c r="J1463" s="1">
        <v>42444.498078703706</v>
      </c>
      <c r="K1463" s="1" t="s">
        <v>41</v>
      </c>
      <c r="L1463" s="14">
        <f>24*(TblTimeSheet[[#This Row],[End Date and Time]]-TblTimeSheet[[#This Row],[Start Date and Time]])</f>
        <v>1.4166666667442769</v>
      </c>
      <c r="M14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3">
        <f>--(0&gt;(TblTimeSheet[[#This Row],[End Date and Time]]-TblTimeSheet[[#This Row],[Start Date and Time]]))</f>
        <v>0</v>
      </c>
    </row>
    <row r="1464" spans="1:14" x14ac:dyDescent="0.25">
      <c r="A1464" s="1"/>
      <c r="B1464" s="2" t="s">
        <v>911</v>
      </c>
      <c r="C1464" s="2" t="s">
        <v>1117</v>
      </c>
      <c r="D1464" s="2" t="s">
        <v>32</v>
      </c>
      <c r="E1464" s="7" t="s">
        <v>1628</v>
      </c>
      <c r="F1464" s="37">
        <v>42444.496527777781</v>
      </c>
      <c r="G1464" s="37">
        <v>42444.506944444445</v>
      </c>
      <c r="H1464" s="1" t="s">
        <v>6</v>
      </c>
      <c r="I1464" s="1" t="s">
        <v>38</v>
      </c>
      <c r="J1464" s="1">
        <v>42444.516932870371</v>
      </c>
      <c r="K1464" s="1" t="s">
        <v>2865</v>
      </c>
      <c r="L1464" s="14">
        <f>24*(TblTimeSheet[[#This Row],[End Date and Time]]-TblTimeSheet[[#This Row],[Start Date and Time]])</f>
        <v>0.24999999994179234</v>
      </c>
      <c r="M14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4">
        <f>--(0&gt;(TblTimeSheet[[#This Row],[End Date and Time]]-TblTimeSheet[[#This Row],[Start Date and Time]]))</f>
        <v>0</v>
      </c>
    </row>
    <row r="1465" spans="1:14" ht="30" x14ac:dyDescent="0.25">
      <c r="A1465" s="1"/>
      <c r="B1465" s="2" t="s">
        <v>911</v>
      </c>
      <c r="C1465" s="2" t="s">
        <v>116</v>
      </c>
      <c r="D1465" s="2" t="s">
        <v>32</v>
      </c>
      <c r="E1465" s="7" t="s">
        <v>1913</v>
      </c>
      <c r="F1465" s="37">
        <v>42444.496527777781</v>
      </c>
      <c r="G1465" s="37">
        <v>42444.506944444445</v>
      </c>
      <c r="H1465" s="1" t="s">
        <v>6</v>
      </c>
      <c r="I1465" s="1" t="s">
        <v>38</v>
      </c>
      <c r="J1465" s="1">
        <v>42444.519282407404</v>
      </c>
      <c r="K1465" s="1" t="s">
        <v>81</v>
      </c>
      <c r="L1465" s="14">
        <f>24*(TblTimeSheet[[#This Row],[End Date and Time]]-TblTimeSheet[[#This Row],[Start Date and Time]])</f>
        <v>0.24999999994179234</v>
      </c>
      <c r="M14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65">
        <f>--(0&gt;(TblTimeSheet[[#This Row],[End Date and Time]]-TblTimeSheet[[#This Row],[Start Date and Time]]))</f>
        <v>0</v>
      </c>
    </row>
    <row r="1466" spans="1:14" x14ac:dyDescent="0.25">
      <c r="A1466" s="1"/>
      <c r="B1466" s="2" t="s">
        <v>913</v>
      </c>
      <c r="C1466" s="2" t="s">
        <v>171</v>
      </c>
      <c r="D1466" s="2" t="s">
        <v>32</v>
      </c>
      <c r="E1466" s="7" t="s">
        <v>1914</v>
      </c>
      <c r="F1466" s="37">
        <v>42444.510416666664</v>
      </c>
      <c r="G1466" s="37">
        <v>42444.517361111109</v>
      </c>
      <c r="H1466" s="1" t="s">
        <v>6</v>
      </c>
      <c r="I1466" s="1" t="s">
        <v>38</v>
      </c>
      <c r="J1466" s="1">
        <v>42444.51902777778</v>
      </c>
      <c r="K1466" s="1" t="s">
        <v>171</v>
      </c>
      <c r="L1466" s="14">
        <f>24*(TblTimeSheet[[#This Row],[End Date and Time]]-TblTimeSheet[[#This Row],[Start Date and Time]])</f>
        <v>0.16666666668606922</v>
      </c>
      <c r="M14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6">
        <f>--(0&gt;(TblTimeSheet[[#This Row],[End Date and Time]]-TblTimeSheet[[#This Row],[Start Date and Time]]))</f>
        <v>0</v>
      </c>
    </row>
    <row r="1467" spans="1:14" ht="30" x14ac:dyDescent="0.25">
      <c r="A1467" s="1"/>
      <c r="B1467" s="2" t="s">
        <v>913</v>
      </c>
      <c r="C1467" s="2" t="s">
        <v>116</v>
      </c>
      <c r="D1467" s="2" t="s">
        <v>32</v>
      </c>
      <c r="E1467" s="7" t="s">
        <v>1913</v>
      </c>
      <c r="F1467" s="37">
        <v>42444.510416666664</v>
      </c>
      <c r="G1467" s="37">
        <v>42444.517361111109</v>
      </c>
      <c r="H1467" s="1" t="s">
        <v>6</v>
      </c>
      <c r="I1467" s="1" t="s">
        <v>38</v>
      </c>
      <c r="J1467" s="1">
        <v>42444.519641203704</v>
      </c>
      <c r="K1467" s="1" t="s">
        <v>81</v>
      </c>
      <c r="L1467" s="14">
        <f>24*(TblTimeSheet[[#This Row],[End Date and Time]]-TblTimeSheet[[#This Row],[Start Date and Time]])</f>
        <v>0.16666666668606922</v>
      </c>
      <c r="M14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67">
        <f>--(0&gt;(TblTimeSheet[[#This Row],[End Date and Time]]-TblTimeSheet[[#This Row],[Start Date and Time]]))</f>
        <v>0</v>
      </c>
    </row>
    <row r="1468" spans="1:14" x14ac:dyDescent="0.25">
      <c r="A1468" s="1"/>
      <c r="B1468" s="2" t="s">
        <v>909</v>
      </c>
      <c r="C1468" s="2" t="s">
        <v>41</v>
      </c>
      <c r="D1468" s="2" t="s">
        <v>35</v>
      </c>
      <c r="E1468" s="7" t="s">
        <v>1629</v>
      </c>
      <c r="F1468" s="37">
        <v>42444.513888888891</v>
      </c>
      <c r="G1468" s="37">
        <v>42444.53125</v>
      </c>
      <c r="H1468" s="1" t="s">
        <v>6</v>
      </c>
      <c r="I1468" s="1" t="s">
        <v>38</v>
      </c>
      <c r="J1468" s="1">
        <v>42444.530127314814</v>
      </c>
      <c r="K1468" s="1" t="s">
        <v>41</v>
      </c>
      <c r="L1468" s="14">
        <f>24*(TblTimeSheet[[#This Row],[End Date and Time]]-TblTimeSheet[[#This Row],[Start Date and Time]])</f>
        <v>0.41666666662786156</v>
      </c>
      <c r="M14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8">
        <f>--(0&gt;(TblTimeSheet[[#This Row],[End Date and Time]]-TblTimeSheet[[#This Row],[Start Date and Time]]))</f>
        <v>0</v>
      </c>
    </row>
    <row r="1469" spans="1:14" x14ac:dyDescent="0.25">
      <c r="A1469" s="1"/>
      <c r="B1469" s="2" t="s">
        <v>909</v>
      </c>
      <c r="C1469" s="2" t="s">
        <v>1105</v>
      </c>
      <c r="D1469" s="2" t="s">
        <v>35</v>
      </c>
      <c r="E1469" s="7" t="s">
        <v>1630</v>
      </c>
      <c r="F1469" s="37">
        <v>42444.534722222219</v>
      </c>
      <c r="G1469" s="37">
        <v>42444.538194444445</v>
      </c>
      <c r="H1469" s="1" t="s">
        <v>6</v>
      </c>
      <c r="I1469" s="1" t="s">
        <v>38</v>
      </c>
      <c r="J1469" s="1">
        <v>42444.537824074076</v>
      </c>
      <c r="K1469" s="1" t="s">
        <v>2864</v>
      </c>
      <c r="L1469" s="14">
        <f>24*(TblTimeSheet[[#This Row],[End Date and Time]]-TblTimeSheet[[#This Row],[Start Date and Time]])</f>
        <v>8.3333333430346102E-2</v>
      </c>
      <c r="M14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69">
        <f>--(0&gt;(TblTimeSheet[[#This Row],[End Date and Time]]-TblTimeSheet[[#This Row],[Start Date and Time]]))</f>
        <v>0</v>
      </c>
    </row>
    <row r="1470" spans="1:14" x14ac:dyDescent="0.25">
      <c r="A1470" s="1"/>
      <c r="B1470" s="2" t="s">
        <v>909</v>
      </c>
      <c r="C1470" s="2" t="s">
        <v>41</v>
      </c>
      <c r="D1470" s="2" t="s">
        <v>35</v>
      </c>
      <c r="E1470" s="7" t="s">
        <v>1292</v>
      </c>
      <c r="F1470" s="37">
        <v>42444.534722222219</v>
      </c>
      <c r="G1470" s="37">
        <v>42444.538194444445</v>
      </c>
      <c r="H1470" s="1" t="s">
        <v>6</v>
      </c>
      <c r="I1470" s="1" t="s">
        <v>38</v>
      </c>
      <c r="J1470" s="1">
        <v>42444.538321759261</v>
      </c>
      <c r="K1470" s="1" t="s">
        <v>41</v>
      </c>
      <c r="L1470" s="14">
        <f>24*(TblTimeSheet[[#This Row],[End Date and Time]]-TblTimeSheet[[#This Row],[Start Date and Time]])</f>
        <v>8.3333333430346102E-2</v>
      </c>
      <c r="M14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0">
        <f>--(0&gt;(TblTimeSheet[[#This Row],[End Date and Time]]-TblTimeSheet[[#This Row],[Start Date and Time]]))</f>
        <v>0</v>
      </c>
    </row>
    <row r="1471" spans="1:14" x14ac:dyDescent="0.25">
      <c r="A1471" s="1"/>
      <c r="B1471" s="2" t="s">
        <v>911</v>
      </c>
      <c r="C1471" s="2" t="s">
        <v>1076</v>
      </c>
      <c r="D1471" s="2" t="s">
        <v>32</v>
      </c>
      <c r="E1471" s="7" t="s">
        <v>1915</v>
      </c>
      <c r="F1471" s="37">
        <v>42443.375</v>
      </c>
      <c r="G1471" s="37">
        <v>42443.5</v>
      </c>
      <c r="H1471" s="1" t="s">
        <v>6</v>
      </c>
      <c r="I1471" s="1" t="s">
        <v>38</v>
      </c>
      <c r="J1471" s="1">
        <v>42447.701701388891</v>
      </c>
      <c r="K1471" s="1" t="s">
        <v>41</v>
      </c>
      <c r="L1471" s="14">
        <f>24*(TblTimeSheet[[#This Row],[End Date and Time]]-TblTimeSheet[[#This Row],[Start Date and Time]])</f>
        <v>3</v>
      </c>
      <c r="M14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1">
        <f>--(0&gt;(TblTimeSheet[[#This Row],[End Date and Time]]-TblTimeSheet[[#This Row],[Start Date and Time]]))</f>
        <v>0</v>
      </c>
    </row>
    <row r="1472" spans="1:14" x14ac:dyDescent="0.25">
      <c r="A1472" s="1"/>
      <c r="B1472" s="2" t="s">
        <v>911</v>
      </c>
      <c r="C1472" s="2" t="s">
        <v>78</v>
      </c>
      <c r="D1472" s="2" t="s">
        <v>33</v>
      </c>
      <c r="E1472" s="7" t="s">
        <v>1631</v>
      </c>
      <c r="F1472" s="37">
        <v>42444.642361111109</v>
      </c>
      <c r="G1472" s="37">
        <v>42444.659722222219</v>
      </c>
      <c r="H1472" s="1" t="s">
        <v>6</v>
      </c>
      <c r="I1472" s="1" t="s">
        <v>38</v>
      </c>
      <c r="J1472" s="1">
        <v>42444.660752314812</v>
      </c>
      <c r="K1472" s="1" t="s">
        <v>78</v>
      </c>
      <c r="L1472" s="14">
        <f>24*(TblTimeSheet[[#This Row],[End Date and Time]]-TblTimeSheet[[#This Row],[Start Date and Time]])</f>
        <v>0.41666666662786156</v>
      </c>
      <c r="M14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2">
        <f>--(0&gt;(TblTimeSheet[[#This Row],[End Date and Time]]-TblTimeSheet[[#This Row],[Start Date and Time]]))</f>
        <v>0</v>
      </c>
    </row>
    <row r="1473" spans="1:14" x14ac:dyDescent="0.25">
      <c r="A1473" s="1"/>
      <c r="B1473" s="2" t="s">
        <v>915</v>
      </c>
      <c r="C1473" s="2" t="s">
        <v>118</v>
      </c>
      <c r="D1473" s="2" t="s">
        <v>32</v>
      </c>
      <c r="E1473" s="7" t="s">
        <v>1632</v>
      </c>
      <c r="F1473" s="37">
        <v>42444.625</v>
      </c>
      <c r="G1473" s="37">
        <v>42444.666666666664</v>
      </c>
      <c r="H1473" s="1" t="s">
        <v>6</v>
      </c>
      <c r="I1473" s="1" t="s">
        <v>38</v>
      </c>
      <c r="J1473" s="1">
        <v>42444.679652777777</v>
      </c>
      <c r="K1473" s="1" t="s">
        <v>118</v>
      </c>
      <c r="L1473" s="14">
        <f>24*(TblTimeSheet[[#This Row],[End Date and Time]]-TblTimeSheet[[#This Row],[Start Date and Time]])</f>
        <v>0.99999999994179234</v>
      </c>
      <c r="M14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3">
        <f>--(0&gt;(TblTimeSheet[[#This Row],[End Date and Time]]-TblTimeSheet[[#This Row],[Start Date and Time]]))</f>
        <v>0</v>
      </c>
    </row>
    <row r="1474" spans="1:14" x14ac:dyDescent="0.25">
      <c r="A1474" s="1"/>
      <c r="B1474" s="2" t="s">
        <v>917</v>
      </c>
      <c r="C1474" s="2" t="s">
        <v>116</v>
      </c>
      <c r="D1474" s="2" t="s">
        <v>19</v>
      </c>
      <c r="E1474" s="7" t="s">
        <v>1633</v>
      </c>
      <c r="F1474" s="37">
        <v>42444.6875</v>
      </c>
      <c r="G1474" s="37">
        <v>42444.697916666664</v>
      </c>
      <c r="H1474" s="1" t="s">
        <v>6</v>
      </c>
      <c r="I1474" s="1" t="s">
        <v>38</v>
      </c>
      <c r="J1474" s="1">
        <v>42444.704872685186</v>
      </c>
      <c r="K1474" s="1" t="s">
        <v>39</v>
      </c>
      <c r="L1474" s="14">
        <f>24*(TblTimeSheet[[#This Row],[End Date and Time]]-TblTimeSheet[[#This Row],[Start Date and Time]])</f>
        <v>0.24999999994179234</v>
      </c>
      <c r="M14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74">
        <f>--(0&gt;(TblTimeSheet[[#This Row],[End Date and Time]]-TblTimeSheet[[#This Row],[Start Date and Time]]))</f>
        <v>0</v>
      </c>
    </row>
    <row r="1475" spans="1:14" x14ac:dyDescent="0.25">
      <c r="A1475" s="1"/>
      <c r="B1475" s="2" t="s">
        <v>917</v>
      </c>
      <c r="C1475" s="2" t="s">
        <v>42</v>
      </c>
      <c r="D1475" s="2" t="s">
        <v>19</v>
      </c>
      <c r="E1475" s="7" t="s">
        <v>1634</v>
      </c>
      <c r="F1475" s="37">
        <v>42444.6875</v>
      </c>
      <c r="G1475" s="37">
        <v>42444.697916666664</v>
      </c>
      <c r="H1475" s="1" t="s">
        <v>6</v>
      </c>
      <c r="I1475" s="1" t="s">
        <v>38</v>
      </c>
      <c r="J1475" s="1">
        <v>42444.706666666665</v>
      </c>
      <c r="K1475" s="1" t="s">
        <v>42</v>
      </c>
      <c r="L1475" s="14">
        <f>24*(TblTimeSheet[[#This Row],[End Date and Time]]-TblTimeSheet[[#This Row],[Start Date and Time]])</f>
        <v>0.24999999994179234</v>
      </c>
      <c r="M14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5">
        <f>--(0&gt;(TblTimeSheet[[#This Row],[End Date and Time]]-TblTimeSheet[[#This Row],[Start Date and Time]]))</f>
        <v>0</v>
      </c>
    </row>
    <row r="1476" spans="1:14" x14ac:dyDescent="0.25">
      <c r="A1476" s="1"/>
      <c r="B1476" s="2" t="s">
        <v>911</v>
      </c>
      <c r="C1476" s="2" t="s">
        <v>78</v>
      </c>
      <c r="D1476" s="2" t="s">
        <v>33</v>
      </c>
      <c r="E1476" s="7" t="s">
        <v>1635</v>
      </c>
      <c r="F1476" s="37">
        <v>42444.701388888891</v>
      </c>
      <c r="G1476" s="37">
        <v>42444.708333333336</v>
      </c>
      <c r="H1476" s="1" t="s">
        <v>6</v>
      </c>
      <c r="I1476" s="1" t="s">
        <v>38</v>
      </c>
      <c r="J1476" s="1">
        <v>42444.710092592592</v>
      </c>
      <c r="K1476" s="1" t="s">
        <v>78</v>
      </c>
      <c r="L1476" s="14">
        <f>24*(TblTimeSheet[[#This Row],[End Date and Time]]-TblTimeSheet[[#This Row],[Start Date and Time]])</f>
        <v>0.16666666668606922</v>
      </c>
      <c r="M14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6">
        <f>--(0&gt;(TblTimeSheet[[#This Row],[End Date and Time]]-TblTimeSheet[[#This Row],[Start Date and Time]]))</f>
        <v>0</v>
      </c>
    </row>
    <row r="1477" spans="1:14" x14ac:dyDescent="0.25">
      <c r="A1477" s="1"/>
      <c r="B1477" s="2" t="s">
        <v>911</v>
      </c>
      <c r="C1477" s="2" t="s">
        <v>1117</v>
      </c>
      <c r="D1477" s="2" t="s">
        <v>32</v>
      </c>
      <c r="E1477" s="7" t="s">
        <v>1636</v>
      </c>
      <c r="F1477" s="37">
        <v>42444.625</v>
      </c>
      <c r="G1477" s="37">
        <v>42444.708333333336</v>
      </c>
      <c r="H1477" s="1" t="s">
        <v>6</v>
      </c>
      <c r="I1477" s="1" t="s">
        <v>38</v>
      </c>
      <c r="J1477" s="1">
        <v>42444.710243055553</v>
      </c>
      <c r="K1477" s="1" t="s">
        <v>2865</v>
      </c>
      <c r="L1477" s="14">
        <f>24*(TblTimeSheet[[#This Row],[End Date and Time]]-TblTimeSheet[[#This Row],[Start Date and Time]])</f>
        <v>2.0000000000582077</v>
      </c>
      <c r="M14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7">
        <f>--(0&gt;(TblTimeSheet[[#This Row],[End Date and Time]]-TblTimeSheet[[#This Row],[Start Date and Time]]))</f>
        <v>0</v>
      </c>
    </row>
    <row r="1478" spans="1:14" x14ac:dyDescent="0.25">
      <c r="A1478" s="1"/>
      <c r="B1478" s="2" t="s">
        <v>917</v>
      </c>
      <c r="C1478" s="2" t="s">
        <v>78</v>
      </c>
      <c r="D1478" s="2" t="s">
        <v>19</v>
      </c>
      <c r="E1478" s="7" t="s">
        <v>1637</v>
      </c>
      <c r="F1478" s="37">
        <v>42444.6875</v>
      </c>
      <c r="G1478" s="37">
        <v>42444.697916666664</v>
      </c>
      <c r="H1478" s="1" t="s">
        <v>6</v>
      </c>
      <c r="I1478" s="1" t="s">
        <v>38</v>
      </c>
      <c r="J1478" s="1">
        <v>42444.710810185185</v>
      </c>
      <c r="K1478" s="1" t="s">
        <v>78</v>
      </c>
      <c r="L1478" s="14">
        <f>24*(TblTimeSheet[[#This Row],[End Date and Time]]-TblTimeSheet[[#This Row],[Start Date and Time]])</f>
        <v>0.24999999994179234</v>
      </c>
      <c r="M14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8">
        <f>--(0&gt;(TblTimeSheet[[#This Row],[End Date and Time]]-TblTimeSheet[[#This Row],[Start Date and Time]]))</f>
        <v>0</v>
      </c>
    </row>
    <row r="1479" spans="1:14" x14ac:dyDescent="0.25">
      <c r="A1479" s="1"/>
      <c r="B1479" s="2" t="s">
        <v>917</v>
      </c>
      <c r="C1479" s="2" t="s">
        <v>36</v>
      </c>
      <c r="D1479" s="2" t="s">
        <v>19</v>
      </c>
      <c r="E1479" s="7" t="s">
        <v>1638</v>
      </c>
      <c r="F1479" s="37">
        <v>42444.6875</v>
      </c>
      <c r="G1479" s="37">
        <v>42444.697916666664</v>
      </c>
      <c r="H1479" s="1" t="s">
        <v>6</v>
      </c>
      <c r="I1479" s="1" t="s">
        <v>38</v>
      </c>
      <c r="J1479" s="1">
        <v>42444.713229166664</v>
      </c>
      <c r="K1479" s="1" t="s">
        <v>36</v>
      </c>
      <c r="L1479" s="14">
        <f>24*(TblTimeSheet[[#This Row],[End Date and Time]]-TblTimeSheet[[#This Row],[Start Date and Time]])</f>
        <v>0.24999999994179234</v>
      </c>
      <c r="M14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79">
        <f>--(0&gt;(TblTimeSheet[[#This Row],[End Date and Time]]-TblTimeSheet[[#This Row],[Start Date and Time]]))</f>
        <v>0</v>
      </c>
    </row>
    <row r="1480" spans="1:14" x14ac:dyDescent="0.25">
      <c r="A1480" s="1"/>
      <c r="B1480" s="2" t="s">
        <v>917</v>
      </c>
      <c r="C1480" s="2" t="s">
        <v>116</v>
      </c>
      <c r="D1480" s="2" t="s">
        <v>19</v>
      </c>
      <c r="E1480" s="7" t="s">
        <v>1209</v>
      </c>
      <c r="F1480" s="37">
        <v>42444.6875</v>
      </c>
      <c r="G1480" s="37">
        <v>42444.697916666664</v>
      </c>
      <c r="H1480" s="1" t="s">
        <v>6</v>
      </c>
      <c r="I1480" s="1" t="s">
        <v>38</v>
      </c>
      <c r="J1480" s="1">
        <v>42444.714236111111</v>
      </c>
      <c r="K1480" s="1" t="s">
        <v>701</v>
      </c>
      <c r="L1480" s="14">
        <f>24*(TblTimeSheet[[#This Row],[End Date and Time]]-TblTimeSheet[[#This Row],[Start Date and Time]])</f>
        <v>0.24999999994179234</v>
      </c>
      <c r="M14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80">
        <f>--(0&gt;(TblTimeSheet[[#This Row],[End Date and Time]]-TblTimeSheet[[#This Row],[Start Date and Time]]))</f>
        <v>0</v>
      </c>
    </row>
    <row r="1481" spans="1:14" x14ac:dyDescent="0.25">
      <c r="A1481" s="1"/>
      <c r="B1481" s="2" t="s">
        <v>915</v>
      </c>
      <c r="C1481" s="2" t="s">
        <v>116</v>
      </c>
      <c r="D1481" s="2" t="s">
        <v>32</v>
      </c>
      <c r="E1481" s="7" t="s">
        <v>1639</v>
      </c>
      <c r="F1481" s="37">
        <v>42444.375</v>
      </c>
      <c r="G1481" s="37">
        <v>42444.413194444445</v>
      </c>
      <c r="H1481" s="1" t="s">
        <v>6</v>
      </c>
      <c r="I1481" s="1" t="s">
        <v>38</v>
      </c>
      <c r="J1481" s="1">
        <v>42444.714999999997</v>
      </c>
      <c r="K1481" s="1" t="s">
        <v>701</v>
      </c>
      <c r="L1481" s="14">
        <f>24*(TblTimeSheet[[#This Row],[End Date and Time]]-TblTimeSheet[[#This Row],[Start Date and Time]])</f>
        <v>0.91666666668606922</v>
      </c>
      <c r="M14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81">
        <f>--(0&gt;(TblTimeSheet[[#This Row],[End Date and Time]]-TblTimeSheet[[#This Row],[Start Date and Time]]))</f>
        <v>0</v>
      </c>
    </row>
    <row r="1482" spans="1:14" x14ac:dyDescent="0.25">
      <c r="A1482" s="1"/>
      <c r="B1482" s="2" t="s">
        <v>909</v>
      </c>
      <c r="C1482" s="2" t="s">
        <v>118</v>
      </c>
      <c r="D1482" s="2" t="s">
        <v>35</v>
      </c>
      <c r="E1482" s="7" t="s">
        <v>1640</v>
      </c>
      <c r="F1482" s="37">
        <v>42444.708333333336</v>
      </c>
      <c r="G1482" s="37">
        <v>42444.722222222219</v>
      </c>
      <c r="H1482" s="1" t="s">
        <v>6</v>
      </c>
      <c r="I1482" s="1" t="s">
        <v>38</v>
      </c>
      <c r="J1482" s="1">
        <v>42448.460625</v>
      </c>
      <c r="K1482" s="1" t="s">
        <v>118</v>
      </c>
      <c r="L1482" s="14">
        <f>24*(TblTimeSheet[[#This Row],[End Date and Time]]-TblTimeSheet[[#This Row],[Start Date and Time]])</f>
        <v>0.33333333319751546</v>
      </c>
      <c r="M14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2">
        <f>--(0&gt;(TblTimeSheet[[#This Row],[End Date and Time]]-TblTimeSheet[[#This Row],[Start Date and Time]]))</f>
        <v>0</v>
      </c>
    </row>
    <row r="1483" spans="1:14" x14ac:dyDescent="0.25">
      <c r="A1483" s="1"/>
      <c r="B1483" s="2" t="s">
        <v>909</v>
      </c>
      <c r="C1483" s="2" t="s">
        <v>961</v>
      </c>
      <c r="D1483" s="2" t="s">
        <v>35</v>
      </c>
      <c r="E1483" s="7" t="s">
        <v>1641</v>
      </c>
      <c r="F1483" s="37">
        <v>42444.708333333336</v>
      </c>
      <c r="G1483" s="37">
        <v>42444.711805555555</v>
      </c>
      <c r="H1483" s="1" t="s">
        <v>6</v>
      </c>
      <c r="I1483" s="1" t="s">
        <v>38</v>
      </c>
      <c r="J1483" s="1">
        <v>42444.72216435185</v>
      </c>
      <c r="K1483" s="1" t="s">
        <v>961</v>
      </c>
      <c r="L1483" s="14">
        <f>24*(TblTimeSheet[[#This Row],[End Date and Time]]-TblTimeSheet[[#This Row],[Start Date and Time]])</f>
        <v>8.3333333255723119E-2</v>
      </c>
      <c r="M14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3">
        <f>--(0&gt;(TblTimeSheet[[#This Row],[End Date and Time]]-TblTimeSheet[[#This Row],[Start Date and Time]]))</f>
        <v>0</v>
      </c>
    </row>
    <row r="1484" spans="1:14" x14ac:dyDescent="0.25">
      <c r="A1484" s="1"/>
      <c r="B1484" s="2" t="s">
        <v>909</v>
      </c>
      <c r="C1484" s="2" t="s">
        <v>1105</v>
      </c>
      <c r="D1484" s="2" t="s">
        <v>35</v>
      </c>
      <c r="E1484" s="7" t="s">
        <v>1642</v>
      </c>
      <c r="F1484" s="37">
        <v>42444.659722222219</v>
      </c>
      <c r="G1484" s="37">
        <v>42444.6875</v>
      </c>
      <c r="H1484" s="1" t="s">
        <v>6</v>
      </c>
      <c r="I1484" s="1" t="s">
        <v>38</v>
      </c>
      <c r="J1484" s="1">
        <v>42444.725370370368</v>
      </c>
      <c r="K1484" s="1" t="s">
        <v>2864</v>
      </c>
      <c r="L1484" s="14">
        <f>24*(TblTimeSheet[[#This Row],[End Date and Time]]-TblTimeSheet[[#This Row],[Start Date and Time]])</f>
        <v>0.66666666674427688</v>
      </c>
      <c r="M14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4">
        <f>--(0&gt;(TblTimeSheet[[#This Row],[End Date and Time]]-TblTimeSheet[[#This Row],[Start Date and Time]]))</f>
        <v>0</v>
      </c>
    </row>
    <row r="1485" spans="1:14" x14ac:dyDescent="0.25">
      <c r="A1485" s="1"/>
      <c r="B1485" s="2" t="s">
        <v>697</v>
      </c>
      <c r="C1485" s="2" t="s">
        <v>143</v>
      </c>
      <c r="D1485" s="2" t="s">
        <v>34</v>
      </c>
      <c r="E1485" s="7" t="s">
        <v>34</v>
      </c>
      <c r="F1485" s="37">
        <v>42444.395833333336</v>
      </c>
      <c r="G1485" s="37">
        <v>42444.541666666664</v>
      </c>
      <c r="H1485" s="1" t="s">
        <v>6</v>
      </c>
      <c r="I1485" s="1" t="s">
        <v>38</v>
      </c>
      <c r="J1485" s="1">
        <v>42444.726134259261</v>
      </c>
      <c r="K1485" s="1" t="s">
        <v>143</v>
      </c>
      <c r="L1485" s="14">
        <f>24*(TblTimeSheet[[#This Row],[End Date and Time]]-TblTimeSheet[[#This Row],[Start Date and Time]])</f>
        <v>3.4999999998835847</v>
      </c>
      <c r="M14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5">
        <f>--(0&gt;(TblTimeSheet[[#This Row],[End Date and Time]]-TblTimeSheet[[#This Row],[Start Date and Time]]))</f>
        <v>0</v>
      </c>
    </row>
    <row r="1486" spans="1:14" x14ac:dyDescent="0.25">
      <c r="A1486" s="1"/>
      <c r="B1486" s="2" t="s">
        <v>909</v>
      </c>
      <c r="C1486" s="2" t="s">
        <v>1105</v>
      </c>
      <c r="D1486" s="2" t="s">
        <v>35</v>
      </c>
      <c r="E1486" s="7" t="s">
        <v>1643</v>
      </c>
      <c r="F1486" s="37">
        <v>42444.722222222219</v>
      </c>
      <c r="G1486" s="37">
        <v>42444.725694444445</v>
      </c>
      <c r="H1486" s="1" t="s">
        <v>6</v>
      </c>
      <c r="I1486" s="1" t="s">
        <v>38</v>
      </c>
      <c r="J1486" s="1">
        <v>42444.726342592592</v>
      </c>
      <c r="K1486" s="1" t="s">
        <v>2864</v>
      </c>
      <c r="L1486" s="14">
        <f>24*(TblTimeSheet[[#This Row],[End Date and Time]]-TblTimeSheet[[#This Row],[Start Date and Time]])</f>
        <v>8.3333333430346102E-2</v>
      </c>
      <c r="M14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6">
        <f>--(0&gt;(TblTimeSheet[[#This Row],[End Date and Time]]-TblTimeSheet[[#This Row],[Start Date and Time]]))</f>
        <v>0</v>
      </c>
    </row>
    <row r="1487" spans="1:14" x14ac:dyDescent="0.25">
      <c r="A1487" s="1"/>
      <c r="B1487" s="2" t="s">
        <v>697</v>
      </c>
      <c r="C1487" s="2" t="s">
        <v>143</v>
      </c>
      <c r="D1487" s="2" t="s">
        <v>34</v>
      </c>
      <c r="E1487" s="7" t="s">
        <v>34</v>
      </c>
      <c r="F1487" s="37">
        <v>42444.583333333336</v>
      </c>
      <c r="G1487" s="37">
        <v>42444.71875</v>
      </c>
      <c r="H1487" s="1" t="s">
        <v>6</v>
      </c>
      <c r="I1487" s="1" t="s">
        <v>38</v>
      </c>
      <c r="J1487" s="1">
        <v>42444.726550925923</v>
      </c>
      <c r="K1487" s="1" t="s">
        <v>143</v>
      </c>
      <c r="L1487" s="14">
        <f>24*(TblTimeSheet[[#This Row],[End Date and Time]]-TblTimeSheet[[#This Row],[Start Date and Time]])</f>
        <v>3.2499999999417923</v>
      </c>
      <c r="M14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7">
        <f>--(0&gt;(TblTimeSheet[[#This Row],[End Date and Time]]-TblTimeSheet[[#This Row],[Start Date and Time]]))</f>
        <v>0</v>
      </c>
    </row>
    <row r="1488" spans="1:14" x14ac:dyDescent="0.25">
      <c r="A1488" s="1"/>
      <c r="B1488" s="2" t="s">
        <v>909</v>
      </c>
      <c r="C1488" s="2" t="s">
        <v>41</v>
      </c>
      <c r="D1488" s="2" t="s">
        <v>35</v>
      </c>
      <c r="E1488" s="7" t="s">
        <v>1644</v>
      </c>
      <c r="F1488" s="37">
        <v>42444.659722222219</v>
      </c>
      <c r="G1488" s="37">
        <v>42444.6875</v>
      </c>
      <c r="H1488" s="1" t="s">
        <v>6</v>
      </c>
      <c r="I1488" s="1" t="s">
        <v>38</v>
      </c>
      <c r="J1488" s="1">
        <v>42444.727268518516</v>
      </c>
      <c r="K1488" s="1" t="s">
        <v>41</v>
      </c>
      <c r="L1488" s="14">
        <f>24*(TblTimeSheet[[#This Row],[End Date and Time]]-TblTimeSheet[[#This Row],[Start Date and Time]])</f>
        <v>0.66666666674427688</v>
      </c>
      <c r="M14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8">
        <f>--(0&gt;(TblTimeSheet[[#This Row],[End Date and Time]]-TblTimeSheet[[#This Row],[Start Date and Time]]))</f>
        <v>0</v>
      </c>
    </row>
    <row r="1489" spans="1:14" x14ac:dyDescent="0.25">
      <c r="A1489" s="1"/>
      <c r="B1489" s="2" t="s">
        <v>917</v>
      </c>
      <c r="C1489" s="2" t="s">
        <v>43</v>
      </c>
      <c r="D1489" s="2" t="s">
        <v>19</v>
      </c>
      <c r="E1489" s="7" t="s">
        <v>1645</v>
      </c>
      <c r="F1489" s="37">
        <v>42444.6875</v>
      </c>
      <c r="G1489" s="37">
        <v>42444.697916666664</v>
      </c>
      <c r="H1489" s="1" t="s">
        <v>6</v>
      </c>
      <c r="I1489" s="1" t="s">
        <v>38</v>
      </c>
      <c r="J1489" s="1">
        <v>42444.729201388887</v>
      </c>
      <c r="K1489" s="1" t="s">
        <v>43</v>
      </c>
      <c r="L1489" s="14">
        <f>24*(TblTimeSheet[[#This Row],[End Date and Time]]-TblTimeSheet[[#This Row],[Start Date and Time]])</f>
        <v>0.24999999994179234</v>
      </c>
      <c r="M14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89">
        <f>--(0&gt;(TblTimeSheet[[#This Row],[End Date and Time]]-TblTimeSheet[[#This Row],[Start Date and Time]]))</f>
        <v>0</v>
      </c>
    </row>
    <row r="1490" spans="1:14" x14ac:dyDescent="0.25">
      <c r="A1490" s="1"/>
      <c r="B1490" s="2" t="s">
        <v>697</v>
      </c>
      <c r="C1490" s="2" t="s">
        <v>116</v>
      </c>
      <c r="D1490" s="2" t="s">
        <v>34</v>
      </c>
      <c r="E1490" s="7" t="s">
        <v>1646</v>
      </c>
      <c r="F1490" s="37">
        <v>42444.395833333336</v>
      </c>
      <c r="G1490" s="37">
        <v>42444.541666666664</v>
      </c>
      <c r="H1490" s="1" t="s">
        <v>6</v>
      </c>
      <c r="I1490" s="1" t="s">
        <v>38</v>
      </c>
      <c r="J1490" s="1">
        <v>42444.730162037034</v>
      </c>
      <c r="K1490" s="1" t="s">
        <v>1026</v>
      </c>
      <c r="L1490" s="14">
        <f>24*(TblTimeSheet[[#This Row],[End Date and Time]]-TblTimeSheet[[#This Row],[Start Date and Time]])</f>
        <v>3.4999999998835847</v>
      </c>
      <c r="M14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90">
        <f>--(0&gt;(TblTimeSheet[[#This Row],[End Date and Time]]-TblTimeSheet[[#This Row],[Start Date and Time]]))</f>
        <v>0</v>
      </c>
    </row>
    <row r="1491" spans="1:14" x14ac:dyDescent="0.25">
      <c r="A1491" s="1"/>
      <c r="B1491" s="2" t="s">
        <v>697</v>
      </c>
      <c r="C1491" s="2" t="s">
        <v>116</v>
      </c>
      <c r="D1491" s="2" t="s">
        <v>34</v>
      </c>
      <c r="E1491" s="7" t="s">
        <v>34</v>
      </c>
      <c r="F1491" s="37">
        <v>42444.583333333336</v>
      </c>
      <c r="G1491" s="37">
        <v>42444.71875</v>
      </c>
      <c r="H1491" s="1" t="s">
        <v>6</v>
      </c>
      <c r="I1491" s="1" t="s">
        <v>38</v>
      </c>
      <c r="J1491" s="1">
        <v>42444.730451388888</v>
      </c>
      <c r="K1491" s="1" t="s">
        <v>1026</v>
      </c>
      <c r="L1491" s="14">
        <f>24*(TblTimeSheet[[#This Row],[End Date and Time]]-TblTimeSheet[[#This Row],[Start Date and Time]])</f>
        <v>3.2499999999417923</v>
      </c>
      <c r="M14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1">
        <f>--(0&gt;(TblTimeSheet[[#This Row],[End Date and Time]]-TblTimeSheet[[#This Row],[Start Date and Time]]))</f>
        <v>0</v>
      </c>
    </row>
    <row r="1492" spans="1:14" x14ac:dyDescent="0.25">
      <c r="A1492" s="1"/>
      <c r="B1492" s="2" t="s">
        <v>913</v>
      </c>
      <c r="C1492" s="2" t="s">
        <v>43</v>
      </c>
      <c r="D1492" s="2" t="s">
        <v>32</v>
      </c>
      <c r="E1492" s="7" t="s">
        <v>1647</v>
      </c>
      <c r="F1492" s="37">
        <v>42444.729166666664</v>
      </c>
      <c r="G1492" s="37">
        <v>42444.732638888891</v>
      </c>
      <c r="H1492" s="1" t="s">
        <v>6</v>
      </c>
      <c r="I1492" s="1" t="s">
        <v>38</v>
      </c>
      <c r="J1492" s="1">
        <v>42444.732002314813</v>
      </c>
      <c r="K1492" s="1" t="s">
        <v>43</v>
      </c>
      <c r="L1492" s="14">
        <f>24*(TblTimeSheet[[#This Row],[End Date and Time]]-TblTimeSheet[[#This Row],[Start Date and Time]])</f>
        <v>8.3333333430346102E-2</v>
      </c>
      <c r="M14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2">
        <f>--(0&gt;(TblTimeSheet[[#This Row],[End Date and Time]]-TblTimeSheet[[#This Row],[Start Date and Time]]))</f>
        <v>0</v>
      </c>
    </row>
    <row r="1493" spans="1:14" x14ac:dyDescent="0.25">
      <c r="A1493" s="1"/>
      <c r="B1493" s="2" t="s">
        <v>909</v>
      </c>
      <c r="C1493" s="2" t="s">
        <v>116</v>
      </c>
      <c r="D1493" s="2" t="s">
        <v>35</v>
      </c>
      <c r="E1493" s="7" t="s">
        <v>1641</v>
      </c>
      <c r="F1493" s="37">
        <v>42444.708333333336</v>
      </c>
      <c r="G1493" s="37">
        <v>42444.715277777781</v>
      </c>
      <c r="H1493" s="1" t="s">
        <v>6</v>
      </c>
      <c r="I1493" s="1" t="s">
        <v>38</v>
      </c>
      <c r="J1493" s="1">
        <v>42444.734479166669</v>
      </c>
      <c r="K1493" s="1" t="s">
        <v>701</v>
      </c>
      <c r="L1493" s="14">
        <f>24*(TblTimeSheet[[#This Row],[End Date and Time]]-TblTimeSheet[[#This Row],[Start Date and Time]])</f>
        <v>0.16666666668606922</v>
      </c>
      <c r="M14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93">
        <f>--(0&gt;(TblTimeSheet[[#This Row],[End Date and Time]]-TblTimeSheet[[#This Row],[Start Date and Time]]))</f>
        <v>0</v>
      </c>
    </row>
    <row r="1494" spans="1:14" x14ac:dyDescent="0.25">
      <c r="A1494" s="1"/>
      <c r="B1494" s="2" t="s">
        <v>913</v>
      </c>
      <c r="C1494" s="2" t="s">
        <v>36</v>
      </c>
      <c r="D1494" s="2" t="s">
        <v>32</v>
      </c>
      <c r="E1494" s="7" t="s">
        <v>1916</v>
      </c>
      <c r="F1494" s="37">
        <v>42444.645833333336</v>
      </c>
      <c r="G1494" s="37">
        <v>42444.649305555555</v>
      </c>
      <c r="H1494" s="1" t="s">
        <v>6</v>
      </c>
      <c r="I1494" s="1" t="s">
        <v>38</v>
      </c>
      <c r="J1494" s="1">
        <v>42444.737546296295</v>
      </c>
      <c r="K1494" s="1" t="s">
        <v>36</v>
      </c>
      <c r="L1494" s="14">
        <f>24*(TblTimeSheet[[#This Row],[End Date and Time]]-TblTimeSheet[[#This Row],[Start Date and Time]])</f>
        <v>8.3333333255723119E-2</v>
      </c>
      <c r="M14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4">
        <f>--(0&gt;(TblTimeSheet[[#This Row],[End Date and Time]]-TblTimeSheet[[#This Row],[Start Date and Time]]))</f>
        <v>0</v>
      </c>
    </row>
    <row r="1495" spans="1:14" x14ac:dyDescent="0.25">
      <c r="A1495" s="1"/>
      <c r="B1495" s="2" t="s">
        <v>697</v>
      </c>
      <c r="C1495" s="2" t="s">
        <v>124</v>
      </c>
      <c r="D1495" s="2" t="s">
        <v>33</v>
      </c>
      <c r="E1495" s="7" t="s">
        <v>1648</v>
      </c>
      <c r="F1495" s="37">
        <v>42444.375</v>
      </c>
      <c r="G1495" s="37">
        <v>42444.5</v>
      </c>
      <c r="H1495" s="1" t="s">
        <v>6</v>
      </c>
      <c r="I1495" s="1" t="s">
        <v>38</v>
      </c>
      <c r="J1495" s="1">
        <v>42444.739479166667</v>
      </c>
      <c r="K1495" s="1" t="s">
        <v>2863</v>
      </c>
      <c r="L1495" s="14">
        <f>24*(TblTimeSheet[[#This Row],[End Date and Time]]-TblTimeSheet[[#This Row],[Start Date and Time]])</f>
        <v>3</v>
      </c>
      <c r="M14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5">
        <f>--(0&gt;(TblTimeSheet[[#This Row],[End Date and Time]]-TblTimeSheet[[#This Row],[Start Date and Time]]))</f>
        <v>0</v>
      </c>
    </row>
    <row r="1496" spans="1:14" x14ac:dyDescent="0.25">
      <c r="A1496" s="1"/>
      <c r="B1496" s="2" t="s">
        <v>697</v>
      </c>
      <c r="C1496" s="2" t="s">
        <v>124</v>
      </c>
      <c r="D1496" s="2" t="s">
        <v>34</v>
      </c>
      <c r="E1496" s="7" t="s">
        <v>1649</v>
      </c>
      <c r="F1496" s="37">
        <v>42444.6875</v>
      </c>
      <c r="G1496" s="37">
        <v>42444.729166666664</v>
      </c>
      <c r="H1496" s="1" t="s">
        <v>6</v>
      </c>
      <c r="I1496" s="1" t="s">
        <v>38</v>
      </c>
      <c r="J1496" s="1">
        <v>42444.741331018522</v>
      </c>
      <c r="K1496" s="1" t="s">
        <v>2863</v>
      </c>
      <c r="L1496" s="14">
        <f>24*(TblTimeSheet[[#This Row],[End Date and Time]]-TblTimeSheet[[#This Row],[Start Date and Time]])</f>
        <v>0.99999999994179234</v>
      </c>
      <c r="M14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6">
        <f>--(0&gt;(TblTimeSheet[[#This Row],[End Date and Time]]-TblTimeSheet[[#This Row],[Start Date and Time]]))</f>
        <v>0</v>
      </c>
    </row>
    <row r="1497" spans="1:14" x14ac:dyDescent="0.25">
      <c r="A1497" s="1"/>
      <c r="B1497" s="2" t="s">
        <v>915</v>
      </c>
      <c r="C1497" s="2" t="s">
        <v>116</v>
      </c>
      <c r="D1497" s="2" t="s">
        <v>32</v>
      </c>
      <c r="E1497" s="7" t="s">
        <v>1650</v>
      </c>
      <c r="F1497" s="37">
        <v>42444.395833333336</v>
      </c>
      <c r="G1497" s="37">
        <v>42444.520833333336</v>
      </c>
      <c r="H1497" s="1" t="s">
        <v>6</v>
      </c>
      <c r="I1497" s="1" t="s">
        <v>38</v>
      </c>
      <c r="J1497" s="1">
        <v>42444.742060185185</v>
      </c>
      <c r="K1497" s="1" t="s">
        <v>39</v>
      </c>
      <c r="L1497" s="14">
        <f>24*(TblTimeSheet[[#This Row],[End Date and Time]]-TblTimeSheet[[#This Row],[Start Date and Time]])</f>
        <v>3</v>
      </c>
      <c r="M14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497">
        <f>--(0&gt;(TblTimeSheet[[#This Row],[End Date and Time]]-TblTimeSheet[[#This Row],[Start Date and Time]]))</f>
        <v>0</v>
      </c>
    </row>
    <row r="1498" spans="1:14" ht="30" x14ac:dyDescent="0.25">
      <c r="A1498" s="1"/>
      <c r="B1498" s="2" t="s">
        <v>913</v>
      </c>
      <c r="C1498" s="2" t="s">
        <v>116</v>
      </c>
      <c r="D1498" s="2" t="s">
        <v>32</v>
      </c>
      <c r="E1498" s="7" t="s">
        <v>1651</v>
      </c>
      <c r="F1498" s="37">
        <v>42444.729166666664</v>
      </c>
      <c r="G1498" s="37">
        <v>42444.732638888891</v>
      </c>
      <c r="H1498" s="1" t="s">
        <v>6</v>
      </c>
      <c r="I1498" s="1" t="s">
        <v>38</v>
      </c>
      <c r="J1498" s="1">
        <v>42444.742650462962</v>
      </c>
      <c r="K1498" s="1" t="s">
        <v>39</v>
      </c>
      <c r="L1498" s="14">
        <f>24*(TblTimeSheet[[#This Row],[End Date and Time]]-TblTimeSheet[[#This Row],[Start Date and Time]])</f>
        <v>8.3333333430346102E-2</v>
      </c>
      <c r="M14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8">
        <f>--(0&gt;(TblTimeSheet[[#This Row],[End Date and Time]]-TblTimeSheet[[#This Row],[Start Date and Time]]))</f>
        <v>0</v>
      </c>
    </row>
    <row r="1499" spans="1:14" x14ac:dyDescent="0.25">
      <c r="A1499" s="1"/>
      <c r="B1499" s="2" t="s">
        <v>697</v>
      </c>
      <c r="C1499" s="2" t="s">
        <v>454</v>
      </c>
      <c r="D1499" s="2" t="s">
        <v>34</v>
      </c>
      <c r="E1499" s="7" t="s">
        <v>1652</v>
      </c>
      <c r="F1499" s="37">
        <v>42444.5</v>
      </c>
      <c r="G1499" s="37">
        <v>42444.541666666664</v>
      </c>
      <c r="H1499" s="1" t="s">
        <v>6</v>
      </c>
      <c r="I1499" s="1" t="s">
        <v>38</v>
      </c>
      <c r="J1499" s="1">
        <v>42445.419537037036</v>
      </c>
      <c r="K1499" s="1" t="s">
        <v>454</v>
      </c>
      <c r="L1499" s="14">
        <f>24*(TblTimeSheet[[#This Row],[End Date and Time]]-TblTimeSheet[[#This Row],[Start Date and Time]])</f>
        <v>0.99999999994179234</v>
      </c>
      <c r="M14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499">
        <f>--(0&gt;(TblTimeSheet[[#This Row],[End Date and Time]]-TblTimeSheet[[#This Row],[Start Date and Time]]))</f>
        <v>0</v>
      </c>
    </row>
    <row r="1500" spans="1:14" x14ac:dyDescent="0.25">
      <c r="A1500" s="1"/>
      <c r="B1500" s="2" t="s">
        <v>697</v>
      </c>
      <c r="C1500" s="2" t="s">
        <v>454</v>
      </c>
      <c r="D1500" s="2" t="s">
        <v>34</v>
      </c>
      <c r="E1500" s="7" t="s">
        <v>1652</v>
      </c>
      <c r="F1500" s="37">
        <v>42444.5625</v>
      </c>
      <c r="G1500" s="37">
        <v>42444.604166666664</v>
      </c>
      <c r="H1500" s="1" t="s">
        <v>6</v>
      </c>
      <c r="I1500" s="1" t="s">
        <v>38</v>
      </c>
      <c r="J1500" s="1">
        <v>42445.420347222222</v>
      </c>
      <c r="K1500" s="1" t="s">
        <v>454</v>
      </c>
      <c r="L1500" s="14">
        <f>24*(TblTimeSheet[[#This Row],[End Date and Time]]-TblTimeSheet[[#This Row],[Start Date and Time]])</f>
        <v>0.99999999994179234</v>
      </c>
      <c r="M15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0">
        <f>--(0&gt;(TblTimeSheet[[#This Row],[End Date and Time]]-TblTimeSheet[[#This Row],[Start Date and Time]]))</f>
        <v>0</v>
      </c>
    </row>
    <row r="1501" spans="1:14" x14ac:dyDescent="0.25">
      <c r="A1501" s="1"/>
      <c r="B1501" s="2" t="s">
        <v>915</v>
      </c>
      <c r="C1501" s="2" t="s">
        <v>78</v>
      </c>
      <c r="D1501" s="2" t="s">
        <v>32</v>
      </c>
      <c r="E1501" s="7" t="s">
        <v>1653</v>
      </c>
      <c r="F1501" s="37">
        <v>42445.423611111109</v>
      </c>
      <c r="G1501" s="37">
        <v>42445.444444444445</v>
      </c>
      <c r="H1501" s="1" t="s">
        <v>6</v>
      </c>
      <c r="I1501" s="1" t="s">
        <v>38</v>
      </c>
      <c r="J1501" s="1">
        <v>42445.445231481484</v>
      </c>
      <c r="K1501" s="1" t="s">
        <v>78</v>
      </c>
      <c r="L1501" s="14">
        <f>24*(TblTimeSheet[[#This Row],[End Date and Time]]-TblTimeSheet[[#This Row],[Start Date and Time]])</f>
        <v>0.50000000005820766</v>
      </c>
      <c r="M15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1">
        <f>--(0&gt;(TblTimeSheet[[#This Row],[End Date and Time]]-TblTimeSheet[[#This Row],[Start Date and Time]]))</f>
        <v>0</v>
      </c>
    </row>
    <row r="1502" spans="1:14" x14ac:dyDescent="0.25">
      <c r="A1502" s="1"/>
      <c r="B1502" s="2" t="s">
        <v>915</v>
      </c>
      <c r="C1502" s="2" t="s">
        <v>1117</v>
      </c>
      <c r="D1502" s="2" t="s">
        <v>32</v>
      </c>
      <c r="E1502" s="7" t="s">
        <v>1654</v>
      </c>
      <c r="F1502" s="37">
        <v>42445.423611111109</v>
      </c>
      <c r="G1502" s="37">
        <v>42445.444444444445</v>
      </c>
      <c r="H1502" s="1" t="s">
        <v>6</v>
      </c>
      <c r="I1502" s="1" t="s">
        <v>38</v>
      </c>
      <c r="J1502" s="1">
        <v>42445.445277777777</v>
      </c>
      <c r="K1502" s="1" t="s">
        <v>2865</v>
      </c>
      <c r="L1502" s="14">
        <f>24*(TblTimeSheet[[#This Row],[End Date and Time]]-TblTimeSheet[[#This Row],[Start Date and Time]])</f>
        <v>0.50000000005820766</v>
      </c>
      <c r="M15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2">
        <f>--(0&gt;(TblTimeSheet[[#This Row],[End Date and Time]]-TblTimeSheet[[#This Row],[Start Date and Time]]))</f>
        <v>0</v>
      </c>
    </row>
    <row r="1503" spans="1:14" x14ac:dyDescent="0.25">
      <c r="A1503" s="1"/>
      <c r="B1503" s="2" t="s">
        <v>913</v>
      </c>
      <c r="C1503" s="2" t="s">
        <v>118</v>
      </c>
      <c r="D1503" s="2" t="s">
        <v>32</v>
      </c>
      <c r="E1503" s="7" t="s">
        <v>1655</v>
      </c>
      <c r="F1503" s="37">
        <v>42445.416666666664</v>
      </c>
      <c r="G1503" s="37">
        <v>42445.458333333336</v>
      </c>
      <c r="H1503" s="1" t="s">
        <v>6</v>
      </c>
      <c r="I1503" s="1" t="s">
        <v>38</v>
      </c>
      <c r="J1503" s="1">
        <v>42445.466643518521</v>
      </c>
      <c r="K1503" s="1" t="s">
        <v>118</v>
      </c>
      <c r="L1503" s="14">
        <f>24*(TblTimeSheet[[#This Row],[End Date and Time]]-TblTimeSheet[[#This Row],[Start Date and Time]])</f>
        <v>1.0000000001164153</v>
      </c>
      <c r="M15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3">
        <f>--(0&gt;(TblTimeSheet[[#This Row],[End Date and Time]]-TblTimeSheet[[#This Row],[Start Date and Time]]))</f>
        <v>0</v>
      </c>
    </row>
    <row r="1504" spans="1:14" ht="30" x14ac:dyDescent="0.25">
      <c r="A1504" s="1"/>
      <c r="B1504" s="2" t="s">
        <v>915</v>
      </c>
      <c r="C1504" s="2" t="s">
        <v>1117</v>
      </c>
      <c r="D1504" s="2" t="s">
        <v>32</v>
      </c>
      <c r="E1504" s="7" t="s">
        <v>1656</v>
      </c>
      <c r="F1504" s="37">
        <v>42445.451388888891</v>
      </c>
      <c r="G1504" s="37">
        <v>42445.472222222219</v>
      </c>
      <c r="H1504" s="1" t="s">
        <v>6</v>
      </c>
      <c r="I1504" s="1" t="s">
        <v>38</v>
      </c>
      <c r="J1504" s="1">
        <v>42445.470937500002</v>
      </c>
      <c r="K1504" s="1" t="s">
        <v>2865</v>
      </c>
      <c r="L1504" s="14">
        <f>24*(TblTimeSheet[[#This Row],[End Date and Time]]-TblTimeSheet[[#This Row],[Start Date and Time]])</f>
        <v>0.49999999988358468</v>
      </c>
      <c r="M15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4">
        <f>--(0&gt;(TblTimeSheet[[#This Row],[End Date and Time]]-TblTimeSheet[[#This Row],[Start Date and Time]]))</f>
        <v>0</v>
      </c>
    </row>
    <row r="1505" spans="1:14" x14ac:dyDescent="0.25">
      <c r="A1505" s="1"/>
      <c r="B1505" s="2" t="s">
        <v>915</v>
      </c>
      <c r="C1505" s="2" t="s">
        <v>116</v>
      </c>
      <c r="D1505" s="2" t="s">
        <v>32</v>
      </c>
      <c r="E1505" s="7" t="s">
        <v>1657</v>
      </c>
      <c r="F1505" s="37">
        <v>42445.4375</v>
      </c>
      <c r="G1505" s="37">
        <v>42445.5</v>
      </c>
      <c r="H1505" s="1" t="s">
        <v>6</v>
      </c>
      <c r="I1505" s="1" t="s">
        <v>38</v>
      </c>
      <c r="J1505" s="1">
        <v>42445.502743055556</v>
      </c>
      <c r="K1505" s="1" t="s">
        <v>39</v>
      </c>
      <c r="L1505" s="14">
        <f>24*(TblTimeSheet[[#This Row],[End Date and Time]]-TblTimeSheet[[#This Row],[Start Date and Time]])</f>
        <v>1.5</v>
      </c>
      <c r="M15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05">
        <f>--(0&gt;(TblTimeSheet[[#This Row],[End Date and Time]]-TblTimeSheet[[#This Row],[Start Date and Time]]))</f>
        <v>0</v>
      </c>
    </row>
    <row r="1506" spans="1:14" x14ac:dyDescent="0.25">
      <c r="A1506" s="1"/>
      <c r="B1506" s="2" t="s">
        <v>917</v>
      </c>
      <c r="C1506" s="2" t="s">
        <v>116</v>
      </c>
      <c r="D1506" s="2" t="s">
        <v>19</v>
      </c>
      <c r="E1506" s="7" t="s">
        <v>1658</v>
      </c>
      <c r="F1506" s="37">
        <v>42445.458333333336</v>
      </c>
      <c r="G1506" s="37">
        <v>42445.520833333336</v>
      </c>
      <c r="H1506" s="1" t="s">
        <v>6</v>
      </c>
      <c r="I1506" s="1" t="s">
        <v>38</v>
      </c>
      <c r="J1506" s="1">
        <v>42445.522349537037</v>
      </c>
      <c r="K1506" s="1" t="s">
        <v>701</v>
      </c>
      <c r="L1506" s="14">
        <f>24*(TblTimeSheet[[#This Row],[End Date and Time]]-TblTimeSheet[[#This Row],[Start Date and Time]])</f>
        <v>1.5</v>
      </c>
      <c r="M15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06">
        <f>--(0&gt;(TblTimeSheet[[#This Row],[End Date and Time]]-TblTimeSheet[[#This Row],[Start Date and Time]]))</f>
        <v>0</v>
      </c>
    </row>
    <row r="1507" spans="1:14" x14ac:dyDescent="0.25">
      <c r="A1507" s="1"/>
      <c r="B1507" s="2" t="s">
        <v>917</v>
      </c>
      <c r="C1507" s="2" t="s">
        <v>43</v>
      </c>
      <c r="D1507" s="2" t="s">
        <v>19</v>
      </c>
      <c r="E1507" s="7" t="s">
        <v>1659</v>
      </c>
      <c r="F1507" s="37">
        <v>42445.458333333336</v>
      </c>
      <c r="G1507" s="37">
        <v>42445.520833333336</v>
      </c>
      <c r="H1507" s="1" t="s">
        <v>6</v>
      </c>
      <c r="I1507" s="1" t="s">
        <v>38</v>
      </c>
      <c r="J1507" s="1">
        <v>42445.523078703707</v>
      </c>
      <c r="K1507" s="1" t="s">
        <v>43</v>
      </c>
      <c r="L1507" s="14">
        <f>24*(TblTimeSheet[[#This Row],[End Date and Time]]-TblTimeSheet[[#This Row],[Start Date and Time]])</f>
        <v>1.5</v>
      </c>
      <c r="M15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7">
        <f>--(0&gt;(TblTimeSheet[[#This Row],[End Date and Time]]-TblTimeSheet[[#This Row],[Start Date and Time]]))</f>
        <v>0</v>
      </c>
    </row>
    <row r="1508" spans="1:14" x14ac:dyDescent="0.25">
      <c r="A1508" s="1"/>
      <c r="B1508" s="2" t="s">
        <v>917</v>
      </c>
      <c r="C1508" s="2" t="s">
        <v>78</v>
      </c>
      <c r="D1508" s="2" t="s">
        <v>19</v>
      </c>
      <c r="E1508" s="7" t="s">
        <v>1660</v>
      </c>
      <c r="F1508" s="37">
        <v>42445.458333333336</v>
      </c>
      <c r="G1508" s="37">
        <v>42445.520833333336</v>
      </c>
      <c r="H1508" s="1" t="s">
        <v>6</v>
      </c>
      <c r="I1508" s="1" t="s">
        <v>38</v>
      </c>
      <c r="J1508" s="1">
        <v>42445.524317129632</v>
      </c>
      <c r="K1508" s="1" t="s">
        <v>78</v>
      </c>
      <c r="L1508" s="14">
        <f>24*(TblTimeSheet[[#This Row],[End Date and Time]]-TblTimeSheet[[#This Row],[Start Date and Time]])</f>
        <v>1.5</v>
      </c>
      <c r="M15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8">
        <f>--(0&gt;(TblTimeSheet[[#This Row],[End Date and Time]]-TblTimeSheet[[#This Row],[Start Date and Time]]))</f>
        <v>0</v>
      </c>
    </row>
    <row r="1509" spans="1:14" x14ac:dyDescent="0.25">
      <c r="A1509" s="1"/>
      <c r="B1509" s="2" t="s">
        <v>917</v>
      </c>
      <c r="C1509" s="2" t="s">
        <v>171</v>
      </c>
      <c r="D1509" s="2" t="s">
        <v>19</v>
      </c>
      <c r="E1509" s="7" t="s">
        <v>1917</v>
      </c>
      <c r="F1509" s="37">
        <v>42445.458333333336</v>
      </c>
      <c r="G1509" s="37">
        <v>42445.520833333336</v>
      </c>
      <c r="H1509" s="1" t="s">
        <v>6</v>
      </c>
      <c r="I1509" s="1" t="s">
        <v>38</v>
      </c>
      <c r="J1509" s="1">
        <v>42445.526354166665</v>
      </c>
      <c r="K1509" s="1" t="s">
        <v>171</v>
      </c>
      <c r="L1509" s="14">
        <f>24*(TblTimeSheet[[#This Row],[End Date and Time]]-TblTimeSheet[[#This Row],[Start Date and Time]])</f>
        <v>1.5</v>
      </c>
      <c r="M15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09">
        <f>--(0&gt;(TblTimeSheet[[#This Row],[End Date and Time]]-TblTimeSheet[[#This Row],[Start Date and Time]]))</f>
        <v>0</v>
      </c>
    </row>
    <row r="1510" spans="1:14" x14ac:dyDescent="0.25">
      <c r="A1510" s="1"/>
      <c r="B1510" s="2" t="s">
        <v>911</v>
      </c>
      <c r="C1510" s="2" t="s">
        <v>1117</v>
      </c>
      <c r="D1510" s="2" t="s">
        <v>32</v>
      </c>
      <c r="E1510" s="7" t="s">
        <v>1661</v>
      </c>
      <c r="F1510" s="37">
        <v>42445.479166666664</v>
      </c>
      <c r="G1510" s="37">
        <v>42445.5</v>
      </c>
      <c r="H1510" s="1" t="s">
        <v>6</v>
      </c>
      <c r="I1510" s="1" t="s">
        <v>38</v>
      </c>
      <c r="J1510" s="1">
        <v>42445.594537037039</v>
      </c>
      <c r="K1510" s="1" t="s">
        <v>2865</v>
      </c>
      <c r="L1510" s="14">
        <f>24*(TblTimeSheet[[#This Row],[End Date and Time]]-TblTimeSheet[[#This Row],[Start Date and Time]])</f>
        <v>0.50000000005820766</v>
      </c>
      <c r="M15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0">
        <f>--(0&gt;(TblTimeSheet[[#This Row],[End Date and Time]]-TblTimeSheet[[#This Row],[Start Date and Time]]))</f>
        <v>0</v>
      </c>
    </row>
    <row r="1511" spans="1:14" x14ac:dyDescent="0.25">
      <c r="A1511" s="1"/>
      <c r="B1511" s="2" t="s">
        <v>911</v>
      </c>
      <c r="C1511" s="2" t="s">
        <v>118</v>
      </c>
      <c r="D1511" s="2" t="s">
        <v>32</v>
      </c>
      <c r="E1511" s="7" t="s">
        <v>1662</v>
      </c>
      <c r="F1511" s="37">
        <v>42445.458333333336</v>
      </c>
      <c r="G1511" s="37">
        <v>42445.479166666664</v>
      </c>
      <c r="H1511" s="1" t="s">
        <v>6</v>
      </c>
      <c r="I1511" s="1" t="s">
        <v>38</v>
      </c>
      <c r="J1511" s="1">
        <v>42445.595000000001</v>
      </c>
      <c r="K1511" s="1" t="s">
        <v>118</v>
      </c>
      <c r="L1511" s="14">
        <f>24*(TblTimeSheet[[#This Row],[End Date and Time]]-TblTimeSheet[[#This Row],[Start Date and Time]])</f>
        <v>0.49999999988358468</v>
      </c>
      <c r="M15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1">
        <f>--(0&gt;(TblTimeSheet[[#This Row],[End Date and Time]]-TblTimeSheet[[#This Row],[Start Date and Time]]))</f>
        <v>0</v>
      </c>
    </row>
    <row r="1512" spans="1:14" x14ac:dyDescent="0.25">
      <c r="A1512" s="1"/>
      <c r="B1512" s="2" t="s">
        <v>911</v>
      </c>
      <c r="C1512" s="2" t="s">
        <v>41</v>
      </c>
      <c r="D1512" s="2" t="s">
        <v>32</v>
      </c>
      <c r="E1512" s="7" t="s">
        <v>1663</v>
      </c>
      <c r="F1512" s="37">
        <v>42445.583333333336</v>
      </c>
      <c r="G1512" s="37">
        <v>42445.590277777781</v>
      </c>
      <c r="H1512" s="1" t="s">
        <v>6</v>
      </c>
      <c r="I1512" s="1" t="s">
        <v>38</v>
      </c>
      <c r="J1512" s="1">
        <v>42445.59746527778</v>
      </c>
      <c r="K1512" s="1" t="s">
        <v>41</v>
      </c>
      <c r="L1512" s="14">
        <f>24*(TblTimeSheet[[#This Row],[End Date and Time]]-TblTimeSheet[[#This Row],[Start Date and Time]])</f>
        <v>0.16666666668606922</v>
      </c>
      <c r="M15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2">
        <f>--(0&gt;(TblTimeSheet[[#This Row],[End Date and Time]]-TblTimeSheet[[#This Row],[Start Date and Time]]))</f>
        <v>0</v>
      </c>
    </row>
    <row r="1513" spans="1:14" x14ac:dyDescent="0.25">
      <c r="A1513" s="1"/>
      <c r="B1513" s="2" t="s">
        <v>915</v>
      </c>
      <c r="C1513" s="2" t="s">
        <v>116</v>
      </c>
      <c r="D1513" s="2" t="s">
        <v>32</v>
      </c>
      <c r="E1513" s="7" t="s">
        <v>1664</v>
      </c>
      <c r="F1513" s="37">
        <v>42445.583333333336</v>
      </c>
      <c r="G1513" s="37">
        <v>42445.604166666664</v>
      </c>
      <c r="H1513" s="1" t="s">
        <v>6</v>
      </c>
      <c r="I1513" s="1" t="s">
        <v>38</v>
      </c>
      <c r="J1513" s="1">
        <v>42445.639490740738</v>
      </c>
      <c r="K1513" s="1" t="s">
        <v>39</v>
      </c>
      <c r="L1513" s="14">
        <f>24*(TblTimeSheet[[#This Row],[End Date and Time]]-TblTimeSheet[[#This Row],[Start Date and Time]])</f>
        <v>0.49999999988358468</v>
      </c>
      <c r="M15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13">
        <f>--(0&gt;(TblTimeSheet[[#This Row],[End Date and Time]]-TblTimeSheet[[#This Row],[Start Date and Time]]))</f>
        <v>0</v>
      </c>
    </row>
    <row r="1514" spans="1:14" ht="30" x14ac:dyDescent="0.25">
      <c r="A1514" s="1"/>
      <c r="B1514" s="2" t="s">
        <v>697</v>
      </c>
      <c r="C1514" s="2" t="s">
        <v>116</v>
      </c>
      <c r="D1514" s="2" t="s">
        <v>34</v>
      </c>
      <c r="E1514" s="7" t="s">
        <v>1918</v>
      </c>
      <c r="F1514" s="37">
        <v>42445.631944444445</v>
      </c>
      <c r="G1514" s="37">
        <v>42445.645833333336</v>
      </c>
      <c r="H1514" s="1" t="s">
        <v>6</v>
      </c>
      <c r="I1514" s="1" t="s">
        <v>38</v>
      </c>
      <c r="J1514" s="1">
        <v>42445.646157407406</v>
      </c>
      <c r="K1514" s="1" t="s">
        <v>81</v>
      </c>
      <c r="L1514" s="14">
        <f>24*(TblTimeSheet[[#This Row],[End Date and Time]]-TblTimeSheet[[#This Row],[Start Date and Time]])</f>
        <v>0.33333333337213844</v>
      </c>
      <c r="M15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14">
        <f>--(0&gt;(TblTimeSheet[[#This Row],[End Date and Time]]-TblTimeSheet[[#This Row],[Start Date and Time]]))</f>
        <v>0</v>
      </c>
    </row>
    <row r="1515" spans="1:14" x14ac:dyDescent="0.25">
      <c r="A1515" s="1"/>
      <c r="B1515" s="2" t="s">
        <v>697</v>
      </c>
      <c r="C1515" s="2" t="s">
        <v>143</v>
      </c>
      <c r="D1515" s="2" t="s">
        <v>34</v>
      </c>
      <c r="E1515" s="7" t="s">
        <v>1718</v>
      </c>
      <c r="F1515" s="37">
        <v>42445.385416666664</v>
      </c>
      <c r="G1515" s="37">
        <v>42445.541666666664</v>
      </c>
      <c r="H1515" s="1" t="s">
        <v>6</v>
      </c>
      <c r="I1515" s="1" t="s">
        <v>38</v>
      </c>
      <c r="J1515" s="1">
        <v>42445.729780092595</v>
      </c>
      <c r="K1515" s="1" t="s">
        <v>143</v>
      </c>
      <c r="L1515" s="14">
        <f>24*(TblTimeSheet[[#This Row],[End Date and Time]]-TblTimeSheet[[#This Row],[Start Date and Time]])</f>
        <v>3.75</v>
      </c>
      <c r="M15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5">
        <f>--(0&gt;(TblTimeSheet[[#This Row],[End Date and Time]]-TblTimeSheet[[#This Row],[Start Date and Time]]))</f>
        <v>0</v>
      </c>
    </row>
    <row r="1516" spans="1:14" x14ac:dyDescent="0.25">
      <c r="A1516" s="1"/>
      <c r="B1516" s="2" t="s">
        <v>697</v>
      </c>
      <c r="C1516" s="2" t="s">
        <v>143</v>
      </c>
      <c r="D1516" s="2" t="s">
        <v>34</v>
      </c>
      <c r="E1516" s="7" t="s">
        <v>1665</v>
      </c>
      <c r="F1516" s="37">
        <v>42445.583333333336</v>
      </c>
      <c r="G1516" s="37">
        <v>42445.729166666664</v>
      </c>
      <c r="H1516" s="1" t="s">
        <v>6</v>
      </c>
      <c r="I1516" s="1" t="s">
        <v>38</v>
      </c>
      <c r="J1516" s="1">
        <v>42445.730150462965</v>
      </c>
      <c r="K1516" s="1" t="s">
        <v>143</v>
      </c>
      <c r="L1516" s="14">
        <f>24*(TblTimeSheet[[#This Row],[End Date and Time]]-TblTimeSheet[[#This Row],[Start Date and Time]])</f>
        <v>3.4999999998835847</v>
      </c>
      <c r="M15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6">
        <f>--(0&gt;(TblTimeSheet[[#This Row],[End Date and Time]]-TblTimeSheet[[#This Row],[Start Date and Time]]))</f>
        <v>0</v>
      </c>
    </row>
    <row r="1517" spans="1:14" x14ac:dyDescent="0.25">
      <c r="A1517" s="1"/>
      <c r="B1517" s="2" t="s">
        <v>697</v>
      </c>
      <c r="C1517" s="2" t="s">
        <v>116</v>
      </c>
      <c r="D1517" s="2" t="s">
        <v>34</v>
      </c>
      <c r="E1517" s="7" t="s">
        <v>1666</v>
      </c>
      <c r="F1517" s="37">
        <v>42445.385416666664</v>
      </c>
      <c r="G1517" s="37">
        <v>42445.541666666664</v>
      </c>
      <c r="H1517" s="1" t="s">
        <v>6</v>
      </c>
      <c r="I1517" s="1" t="s">
        <v>38</v>
      </c>
      <c r="J1517" s="1">
        <v>42445.730891203704</v>
      </c>
      <c r="K1517" s="1" t="s">
        <v>1026</v>
      </c>
      <c r="L1517" s="14">
        <f>24*(TblTimeSheet[[#This Row],[End Date and Time]]-TblTimeSheet[[#This Row],[Start Date and Time]])</f>
        <v>3.75</v>
      </c>
      <c r="M15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7">
        <f>--(0&gt;(TblTimeSheet[[#This Row],[End Date and Time]]-TblTimeSheet[[#This Row],[Start Date and Time]]))</f>
        <v>0</v>
      </c>
    </row>
    <row r="1518" spans="1:14" x14ac:dyDescent="0.25">
      <c r="A1518" s="1"/>
      <c r="B1518" s="2" t="s">
        <v>697</v>
      </c>
      <c r="C1518" s="2" t="s">
        <v>116</v>
      </c>
      <c r="D1518" s="2" t="s">
        <v>34</v>
      </c>
      <c r="E1518" s="7" t="s">
        <v>1666</v>
      </c>
      <c r="F1518" s="37">
        <v>42445.583333333336</v>
      </c>
      <c r="G1518" s="37">
        <v>42445.729166666664</v>
      </c>
      <c r="H1518" s="1" t="s">
        <v>6</v>
      </c>
      <c r="I1518" s="1" t="s">
        <v>38</v>
      </c>
      <c r="J1518" s="1">
        <v>42445.731215277781</v>
      </c>
      <c r="K1518" s="1" t="s">
        <v>1026</v>
      </c>
      <c r="L1518" s="14">
        <f>24*(TblTimeSheet[[#This Row],[End Date and Time]]-TblTimeSheet[[#This Row],[Start Date and Time]])</f>
        <v>3.4999999998835847</v>
      </c>
      <c r="M15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18">
        <f>--(0&gt;(TblTimeSheet[[#This Row],[End Date and Time]]-TblTimeSheet[[#This Row],[Start Date and Time]]))</f>
        <v>0</v>
      </c>
    </row>
    <row r="1519" spans="1:14" ht="30" x14ac:dyDescent="0.25">
      <c r="A1519" s="1"/>
      <c r="B1519" s="2" t="s">
        <v>913</v>
      </c>
      <c r="C1519" s="2" t="s">
        <v>1105</v>
      </c>
      <c r="D1519" s="2" t="s">
        <v>33</v>
      </c>
      <c r="E1519" s="7" t="s">
        <v>1919</v>
      </c>
      <c r="F1519" s="37">
        <v>42445.732638888891</v>
      </c>
      <c r="G1519" s="37">
        <v>42445.736111111109</v>
      </c>
      <c r="H1519" s="1" t="s">
        <v>6</v>
      </c>
      <c r="I1519" s="1" t="s">
        <v>38</v>
      </c>
      <c r="J1519" s="1">
        <v>42445.733738425923</v>
      </c>
      <c r="K1519" s="1" t="s">
        <v>2864</v>
      </c>
      <c r="L1519" s="14">
        <f>24*(TblTimeSheet[[#This Row],[End Date and Time]]-TblTimeSheet[[#This Row],[Start Date and Time]])</f>
        <v>8.3333333255723119E-2</v>
      </c>
      <c r="M15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19">
        <f>--(0&gt;(TblTimeSheet[[#This Row],[End Date and Time]]-TblTimeSheet[[#This Row],[Start Date and Time]]))</f>
        <v>0</v>
      </c>
    </row>
    <row r="1520" spans="1:14" x14ac:dyDescent="0.25">
      <c r="A1520" s="1"/>
      <c r="B1520" s="2" t="s">
        <v>913</v>
      </c>
      <c r="C1520" s="2" t="s">
        <v>118</v>
      </c>
      <c r="D1520" s="2" t="s">
        <v>33</v>
      </c>
      <c r="E1520" s="7" t="s">
        <v>1920</v>
      </c>
      <c r="F1520" s="37">
        <v>42445.732638888891</v>
      </c>
      <c r="G1520" s="37">
        <v>42445.736111111109</v>
      </c>
      <c r="H1520" s="1" t="s">
        <v>6</v>
      </c>
      <c r="I1520" s="1" t="s">
        <v>38</v>
      </c>
      <c r="J1520" s="1">
        <v>42445.733877314815</v>
      </c>
      <c r="K1520" s="1" t="s">
        <v>118</v>
      </c>
      <c r="L1520" s="14">
        <f>24*(TblTimeSheet[[#This Row],[End Date and Time]]-TblTimeSheet[[#This Row],[Start Date and Time]])</f>
        <v>8.3333333255723119E-2</v>
      </c>
      <c r="M15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0">
        <f>--(0&gt;(TblTimeSheet[[#This Row],[End Date and Time]]-TblTimeSheet[[#This Row],[Start Date and Time]]))</f>
        <v>0</v>
      </c>
    </row>
    <row r="1521" spans="1:14" x14ac:dyDescent="0.25">
      <c r="A1521" s="1"/>
      <c r="B1521" s="2" t="s">
        <v>913</v>
      </c>
      <c r="C1521" s="2" t="s">
        <v>36</v>
      </c>
      <c r="D1521" s="2" t="s">
        <v>33</v>
      </c>
      <c r="E1521" s="7" t="s">
        <v>1921</v>
      </c>
      <c r="F1521" s="37">
        <v>42445.732638888891</v>
      </c>
      <c r="G1521" s="37">
        <v>42445.736111111109</v>
      </c>
      <c r="H1521" s="1" t="s">
        <v>6</v>
      </c>
      <c r="I1521" s="1" t="s">
        <v>38</v>
      </c>
      <c r="J1521" s="1">
        <v>42445.735613425924</v>
      </c>
      <c r="K1521" s="1" t="s">
        <v>36</v>
      </c>
      <c r="L1521" s="14">
        <f>24*(TblTimeSheet[[#This Row],[End Date and Time]]-TblTimeSheet[[#This Row],[Start Date and Time]])</f>
        <v>8.3333333255723119E-2</v>
      </c>
      <c r="M15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1">
        <f>--(0&gt;(TblTimeSheet[[#This Row],[End Date and Time]]-TblTimeSheet[[#This Row],[Start Date and Time]]))</f>
        <v>0</v>
      </c>
    </row>
    <row r="1522" spans="1:14" x14ac:dyDescent="0.25">
      <c r="A1522" s="1"/>
      <c r="B1522" s="2" t="s">
        <v>913</v>
      </c>
      <c r="C1522" s="2" t="s">
        <v>454</v>
      </c>
      <c r="D1522" s="2" t="s">
        <v>33</v>
      </c>
      <c r="E1522" s="7" t="s">
        <v>449</v>
      </c>
      <c r="F1522" s="37">
        <v>42445.732638888891</v>
      </c>
      <c r="G1522" s="37">
        <v>42445.736111111109</v>
      </c>
      <c r="H1522" s="1" t="s">
        <v>6</v>
      </c>
      <c r="I1522" s="1" t="s">
        <v>38</v>
      </c>
      <c r="J1522" s="1">
        <v>42445.736562500002</v>
      </c>
      <c r="K1522" s="1" t="s">
        <v>454</v>
      </c>
      <c r="L1522" s="14">
        <f>24*(TblTimeSheet[[#This Row],[End Date and Time]]-TblTimeSheet[[#This Row],[Start Date and Time]])</f>
        <v>8.3333333255723119E-2</v>
      </c>
      <c r="M15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2">
        <f>--(0&gt;(TblTimeSheet[[#This Row],[End Date and Time]]-TblTimeSheet[[#This Row],[Start Date and Time]]))</f>
        <v>0</v>
      </c>
    </row>
    <row r="1523" spans="1:14" x14ac:dyDescent="0.25">
      <c r="A1523" s="1"/>
      <c r="B1523" s="2" t="s">
        <v>697</v>
      </c>
      <c r="C1523" s="2" t="s">
        <v>454</v>
      </c>
      <c r="D1523" s="2" t="s">
        <v>34</v>
      </c>
      <c r="E1523" s="7" t="s">
        <v>1667</v>
      </c>
      <c r="F1523" s="37">
        <v>42445.399305555555</v>
      </c>
      <c r="G1523" s="37">
        <v>42445.520833333336</v>
      </c>
      <c r="H1523" s="1" t="s">
        <v>6</v>
      </c>
      <c r="I1523" s="1" t="s">
        <v>38</v>
      </c>
      <c r="J1523" s="1">
        <v>42445.744687500002</v>
      </c>
      <c r="K1523" s="1" t="s">
        <v>454</v>
      </c>
      <c r="L1523" s="14">
        <f>24*(TblTimeSheet[[#This Row],[End Date and Time]]-TblTimeSheet[[#This Row],[Start Date and Time]])</f>
        <v>2.9166666667442769</v>
      </c>
      <c r="M15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3">
        <f>--(0&gt;(TblTimeSheet[[#This Row],[End Date and Time]]-TblTimeSheet[[#This Row],[Start Date and Time]]))</f>
        <v>0</v>
      </c>
    </row>
    <row r="1524" spans="1:14" x14ac:dyDescent="0.25">
      <c r="A1524" s="1"/>
      <c r="B1524" s="2" t="s">
        <v>913</v>
      </c>
      <c r="C1524" s="2" t="s">
        <v>454</v>
      </c>
      <c r="D1524" s="2" t="s">
        <v>33</v>
      </c>
      <c r="E1524" s="7" t="s">
        <v>1922</v>
      </c>
      <c r="F1524" s="37">
        <v>42445.625</v>
      </c>
      <c r="G1524" s="37">
        <v>42445.708333333336</v>
      </c>
      <c r="H1524" s="1" t="s">
        <v>6</v>
      </c>
      <c r="I1524" s="1" t="s">
        <v>38</v>
      </c>
      <c r="J1524" s="1">
        <v>42445.743726851855</v>
      </c>
      <c r="K1524" s="1" t="s">
        <v>454</v>
      </c>
      <c r="L1524" s="14">
        <f>24*(TblTimeSheet[[#This Row],[End Date and Time]]-TblTimeSheet[[#This Row],[Start Date and Time]])</f>
        <v>2.0000000000582077</v>
      </c>
      <c r="M15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4">
        <f>--(0&gt;(TblTimeSheet[[#This Row],[End Date and Time]]-TblTimeSheet[[#This Row],[Start Date and Time]]))</f>
        <v>0</v>
      </c>
    </row>
    <row r="1525" spans="1:14" x14ac:dyDescent="0.25">
      <c r="A1525" s="1"/>
      <c r="B1525" s="2" t="s">
        <v>913</v>
      </c>
      <c r="C1525" s="2" t="s">
        <v>116</v>
      </c>
      <c r="D1525" s="2" t="s">
        <v>33</v>
      </c>
      <c r="E1525" s="7" t="s">
        <v>1668</v>
      </c>
      <c r="F1525" s="37">
        <v>42445.732638888891</v>
      </c>
      <c r="G1525" s="37">
        <v>42445.736111111109</v>
      </c>
      <c r="H1525" s="1" t="s">
        <v>6</v>
      </c>
      <c r="I1525" s="1" t="s">
        <v>38</v>
      </c>
      <c r="J1525" s="1">
        <v>42445.776863425926</v>
      </c>
      <c r="K1525" s="1" t="s">
        <v>39</v>
      </c>
      <c r="L1525" s="14">
        <f>24*(TblTimeSheet[[#This Row],[End Date and Time]]-TblTimeSheet[[#This Row],[Start Date and Time]])</f>
        <v>8.3333333255723119E-2</v>
      </c>
      <c r="M15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25">
        <f>--(0&gt;(TblTimeSheet[[#This Row],[End Date and Time]]-TblTimeSheet[[#This Row],[Start Date and Time]]))</f>
        <v>0</v>
      </c>
    </row>
    <row r="1526" spans="1:14" x14ac:dyDescent="0.25">
      <c r="A1526" s="1"/>
      <c r="B1526" s="2" t="s">
        <v>913</v>
      </c>
      <c r="C1526" s="2" t="s">
        <v>171</v>
      </c>
      <c r="D1526" s="2" t="s">
        <v>33</v>
      </c>
      <c r="E1526" s="7" t="s">
        <v>1372</v>
      </c>
      <c r="F1526" s="37">
        <v>42445.732638888891</v>
      </c>
      <c r="G1526" s="37">
        <v>42445.736111111109</v>
      </c>
      <c r="H1526" s="1" t="s">
        <v>6</v>
      </c>
      <c r="I1526" s="1" t="s">
        <v>38</v>
      </c>
      <c r="J1526" s="1">
        <v>42446.37945601852</v>
      </c>
      <c r="K1526" s="1" t="s">
        <v>171</v>
      </c>
      <c r="L1526" s="14">
        <f>24*(TblTimeSheet[[#This Row],[End Date and Time]]-TblTimeSheet[[#This Row],[Start Date and Time]])</f>
        <v>8.3333333255723119E-2</v>
      </c>
      <c r="M15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6">
        <f>--(0&gt;(TblTimeSheet[[#This Row],[End Date and Time]]-TblTimeSheet[[#This Row],[Start Date and Time]]))</f>
        <v>0</v>
      </c>
    </row>
    <row r="1527" spans="1:14" x14ac:dyDescent="0.25">
      <c r="A1527" s="1"/>
      <c r="B1527" s="2" t="s">
        <v>915</v>
      </c>
      <c r="C1527" s="2" t="s">
        <v>118</v>
      </c>
      <c r="D1527" s="2" t="s">
        <v>32</v>
      </c>
      <c r="E1527" s="7" t="s">
        <v>1558</v>
      </c>
      <c r="F1527" s="37">
        <v>42446.375</v>
      </c>
      <c r="G1527" s="37">
        <v>42446.385416666664</v>
      </c>
      <c r="H1527" s="1" t="s">
        <v>6</v>
      </c>
      <c r="I1527" s="1" t="s">
        <v>38</v>
      </c>
      <c r="J1527" s="1">
        <v>42446.453900462962</v>
      </c>
      <c r="K1527" s="1" t="s">
        <v>118</v>
      </c>
      <c r="L1527" s="14">
        <f>24*(TblTimeSheet[[#This Row],[End Date and Time]]-TblTimeSheet[[#This Row],[Start Date and Time]])</f>
        <v>0.24999999994179234</v>
      </c>
      <c r="M15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7">
        <f>--(0&gt;(TblTimeSheet[[#This Row],[End Date and Time]]-TblTimeSheet[[#This Row],[Start Date and Time]]))</f>
        <v>0</v>
      </c>
    </row>
    <row r="1528" spans="1:14" x14ac:dyDescent="0.25">
      <c r="A1528" s="1"/>
      <c r="B1528" s="2" t="s">
        <v>915</v>
      </c>
      <c r="C1528" s="2" t="s">
        <v>118</v>
      </c>
      <c r="D1528" s="2" t="s">
        <v>32</v>
      </c>
      <c r="E1528" s="7" t="s">
        <v>1669</v>
      </c>
      <c r="F1528" s="37">
        <v>42446.395833333336</v>
      </c>
      <c r="G1528" s="37">
        <v>42446.399305555555</v>
      </c>
      <c r="H1528" s="1" t="s">
        <v>6</v>
      </c>
      <c r="I1528" s="1" t="s">
        <v>38</v>
      </c>
      <c r="J1528" s="1">
        <v>42446.454444444447</v>
      </c>
      <c r="K1528" s="1" t="s">
        <v>118</v>
      </c>
      <c r="L1528" s="14">
        <f>24*(TblTimeSheet[[#This Row],[End Date and Time]]-TblTimeSheet[[#This Row],[Start Date and Time]])</f>
        <v>8.3333333255723119E-2</v>
      </c>
      <c r="M15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8">
        <f>--(0&gt;(TblTimeSheet[[#This Row],[End Date and Time]]-TblTimeSheet[[#This Row],[Start Date and Time]]))</f>
        <v>0</v>
      </c>
    </row>
    <row r="1529" spans="1:14" x14ac:dyDescent="0.25">
      <c r="A1529" s="1"/>
      <c r="B1529" s="2" t="s">
        <v>915</v>
      </c>
      <c r="C1529" s="2" t="s">
        <v>43</v>
      </c>
      <c r="D1529" s="2" t="s">
        <v>32</v>
      </c>
      <c r="E1529" s="7" t="s">
        <v>1007</v>
      </c>
      <c r="F1529" s="37">
        <v>42446.375</v>
      </c>
      <c r="G1529" s="37">
        <v>42446.385416666664</v>
      </c>
      <c r="H1529" s="1" t="s">
        <v>6</v>
      </c>
      <c r="I1529" s="1" t="s">
        <v>38</v>
      </c>
      <c r="J1529" s="1">
        <v>42446.455289351848</v>
      </c>
      <c r="K1529" s="1" t="s">
        <v>43</v>
      </c>
      <c r="L1529" s="14">
        <f>24*(TblTimeSheet[[#This Row],[End Date and Time]]-TblTimeSheet[[#This Row],[Start Date and Time]])</f>
        <v>0.24999999994179234</v>
      </c>
      <c r="M15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29">
        <f>--(0&gt;(TblTimeSheet[[#This Row],[End Date and Time]]-TblTimeSheet[[#This Row],[Start Date and Time]]))</f>
        <v>0</v>
      </c>
    </row>
    <row r="1530" spans="1:14" x14ac:dyDescent="0.25">
      <c r="A1530" s="1"/>
      <c r="B1530" s="2" t="s">
        <v>915</v>
      </c>
      <c r="C1530" s="2" t="s">
        <v>118</v>
      </c>
      <c r="D1530" s="2" t="s">
        <v>32</v>
      </c>
      <c r="E1530" s="7" t="s">
        <v>1670</v>
      </c>
      <c r="F1530" s="37">
        <v>42446.4375</v>
      </c>
      <c r="G1530" s="37">
        <v>42446.458333333336</v>
      </c>
      <c r="H1530" s="1" t="s">
        <v>6</v>
      </c>
      <c r="I1530" s="1" t="s">
        <v>38</v>
      </c>
      <c r="J1530" s="1">
        <v>42446.458819444444</v>
      </c>
      <c r="K1530" s="1" t="s">
        <v>118</v>
      </c>
      <c r="L1530" s="14">
        <f>24*(TblTimeSheet[[#This Row],[End Date and Time]]-TblTimeSheet[[#This Row],[Start Date and Time]])</f>
        <v>0.50000000005820766</v>
      </c>
      <c r="M15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0">
        <f>--(0&gt;(TblTimeSheet[[#This Row],[End Date and Time]]-TblTimeSheet[[#This Row],[Start Date and Time]]))</f>
        <v>0</v>
      </c>
    </row>
    <row r="1531" spans="1:14" x14ac:dyDescent="0.25">
      <c r="A1531" s="1"/>
      <c r="B1531" s="2" t="s">
        <v>915</v>
      </c>
      <c r="C1531" s="2" t="s">
        <v>116</v>
      </c>
      <c r="D1531" s="2" t="s">
        <v>32</v>
      </c>
      <c r="E1531" s="7" t="s">
        <v>1671</v>
      </c>
      <c r="F1531" s="37">
        <v>42446.4375</v>
      </c>
      <c r="G1531" s="37">
        <v>42446.458333333336</v>
      </c>
      <c r="H1531" s="1" t="s">
        <v>6</v>
      </c>
      <c r="I1531" s="1" t="s">
        <v>38</v>
      </c>
      <c r="J1531" s="1">
        <v>42446.502141203702</v>
      </c>
      <c r="K1531" s="1" t="s">
        <v>39</v>
      </c>
      <c r="L1531" s="14">
        <f>24*(TblTimeSheet[[#This Row],[End Date and Time]]-TblTimeSheet[[#This Row],[Start Date and Time]])</f>
        <v>0.50000000005820766</v>
      </c>
      <c r="M15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31">
        <f>--(0&gt;(TblTimeSheet[[#This Row],[End Date and Time]]-TblTimeSheet[[#This Row],[Start Date and Time]]))</f>
        <v>0</v>
      </c>
    </row>
    <row r="1532" spans="1:14" x14ac:dyDescent="0.25">
      <c r="A1532" s="1"/>
      <c r="B1532" s="2" t="s">
        <v>697</v>
      </c>
      <c r="C1532" s="2" t="s">
        <v>124</v>
      </c>
      <c r="D1532" s="2" t="s">
        <v>34</v>
      </c>
      <c r="E1532" s="7" t="s">
        <v>1672</v>
      </c>
      <c r="F1532" s="37">
        <v>42445.416666666664</v>
      </c>
      <c r="G1532" s="37">
        <v>42445.5</v>
      </c>
      <c r="H1532" s="1" t="s">
        <v>6</v>
      </c>
      <c r="I1532" s="1" t="s">
        <v>38</v>
      </c>
      <c r="J1532" s="1">
        <v>42446.526689814818</v>
      </c>
      <c r="K1532" s="1" t="s">
        <v>2863</v>
      </c>
      <c r="L1532" s="14">
        <f>24*(TblTimeSheet[[#This Row],[End Date and Time]]-TblTimeSheet[[#This Row],[Start Date and Time]])</f>
        <v>2.0000000000582077</v>
      </c>
      <c r="M15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2">
        <f>--(0&gt;(TblTimeSheet[[#This Row],[End Date and Time]]-TblTimeSheet[[#This Row],[Start Date and Time]]))</f>
        <v>0</v>
      </c>
    </row>
    <row r="1533" spans="1:14" x14ac:dyDescent="0.25">
      <c r="A1533" s="1"/>
      <c r="B1533" s="2" t="s">
        <v>697</v>
      </c>
      <c r="C1533" s="2" t="s">
        <v>124</v>
      </c>
      <c r="D1533" s="2" t="s">
        <v>34</v>
      </c>
      <c r="E1533" s="7" t="s">
        <v>1923</v>
      </c>
      <c r="F1533" s="37">
        <v>42445.631944444445</v>
      </c>
      <c r="G1533" s="37">
        <v>42445.645833333336</v>
      </c>
      <c r="H1533" s="1" t="s">
        <v>6</v>
      </c>
      <c r="I1533" s="1" t="s">
        <v>38</v>
      </c>
      <c r="J1533" s="1">
        <v>42446.527696759258</v>
      </c>
      <c r="K1533" s="1" t="s">
        <v>2863</v>
      </c>
      <c r="L1533" s="14">
        <f>24*(TblTimeSheet[[#This Row],[End Date and Time]]-TblTimeSheet[[#This Row],[Start Date and Time]])</f>
        <v>0.33333333337213844</v>
      </c>
      <c r="M15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3">
        <f>--(0&gt;(TblTimeSheet[[#This Row],[End Date and Time]]-TblTimeSheet[[#This Row],[Start Date and Time]]))</f>
        <v>0</v>
      </c>
    </row>
    <row r="1534" spans="1:14" x14ac:dyDescent="0.25">
      <c r="A1534" s="1"/>
      <c r="B1534" s="2" t="s">
        <v>697</v>
      </c>
      <c r="C1534" s="2" t="s">
        <v>124</v>
      </c>
      <c r="D1534" s="2" t="s">
        <v>34</v>
      </c>
      <c r="E1534" s="7" t="s">
        <v>1673</v>
      </c>
      <c r="F1534" s="37">
        <v>42446.416666666664</v>
      </c>
      <c r="G1534" s="37">
        <v>42446.479166666664</v>
      </c>
      <c r="H1534" s="1" t="s">
        <v>6</v>
      </c>
      <c r="I1534" s="1" t="s">
        <v>38</v>
      </c>
      <c r="J1534" s="1">
        <v>42446.528541666667</v>
      </c>
      <c r="K1534" s="1" t="s">
        <v>2863</v>
      </c>
      <c r="L1534" s="14">
        <f>24*(TblTimeSheet[[#This Row],[End Date and Time]]-TblTimeSheet[[#This Row],[Start Date and Time]])</f>
        <v>1.5</v>
      </c>
      <c r="M15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4">
        <f>--(0&gt;(TblTimeSheet[[#This Row],[End Date and Time]]-TblTimeSheet[[#This Row],[Start Date and Time]]))</f>
        <v>0</v>
      </c>
    </row>
    <row r="1535" spans="1:14" x14ac:dyDescent="0.25">
      <c r="A1535" s="1"/>
      <c r="B1535" s="2" t="s">
        <v>913</v>
      </c>
      <c r="C1535" s="2" t="s">
        <v>454</v>
      </c>
      <c r="D1535" s="2" t="s">
        <v>33</v>
      </c>
      <c r="E1535" s="7" t="s">
        <v>1674</v>
      </c>
      <c r="F1535" s="37">
        <v>42446.458333333336</v>
      </c>
      <c r="G1535" s="37">
        <v>42446.5625</v>
      </c>
      <c r="H1535" s="1" t="s">
        <v>6</v>
      </c>
      <c r="I1535" s="1" t="s">
        <v>38</v>
      </c>
      <c r="J1535" s="1">
        <v>42447.400011574071</v>
      </c>
      <c r="K1535" s="1" t="s">
        <v>454</v>
      </c>
      <c r="L1535" s="14">
        <f>24*(TblTimeSheet[[#This Row],[End Date and Time]]-TblTimeSheet[[#This Row],[Start Date and Time]])</f>
        <v>2.4999999999417923</v>
      </c>
      <c r="M15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5">
        <f>--(0&gt;(TblTimeSheet[[#This Row],[End Date and Time]]-TblTimeSheet[[#This Row],[Start Date and Time]]))</f>
        <v>0</v>
      </c>
    </row>
    <row r="1536" spans="1:14" x14ac:dyDescent="0.25">
      <c r="A1536" s="1"/>
      <c r="B1536" s="2" t="s">
        <v>915</v>
      </c>
      <c r="C1536" s="2" t="s">
        <v>1117</v>
      </c>
      <c r="D1536" s="2" t="s">
        <v>32</v>
      </c>
      <c r="E1536" s="7" t="s">
        <v>1441</v>
      </c>
      <c r="F1536" s="37">
        <v>42446.4375</v>
      </c>
      <c r="G1536" s="37">
        <v>42446.458333333336</v>
      </c>
      <c r="H1536" s="1" t="s">
        <v>6</v>
      </c>
      <c r="I1536" s="1" t="s">
        <v>38</v>
      </c>
      <c r="J1536" s="1">
        <v>42446.592499999999</v>
      </c>
      <c r="K1536" s="1" t="s">
        <v>2865</v>
      </c>
      <c r="L1536" s="14">
        <f>24*(TblTimeSheet[[#This Row],[End Date and Time]]-TblTimeSheet[[#This Row],[Start Date and Time]])</f>
        <v>0.50000000005820766</v>
      </c>
      <c r="M15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6">
        <f>--(0&gt;(TblTimeSheet[[#This Row],[End Date and Time]]-TblTimeSheet[[#This Row],[Start Date and Time]]))</f>
        <v>0</v>
      </c>
    </row>
    <row r="1537" spans="1:14" x14ac:dyDescent="0.25">
      <c r="A1537" s="1"/>
      <c r="B1537" s="2" t="s">
        <v>911</v>
      </c>
      <c r="C1537" s="2" t="s">
        <v>116</v>
      </c>
      <c r="D1537" s="2" t="s">
        <v>32</v>
      </c>
      <c r="E1537" s="7" t="s">
        <v>1675</v>
      </c>
      <c r="F1537" s="37">
        <v>42445.729166666664</v>
      </c>
      <c r="G1537" s="37">
        <v>42445.78125</v>
      </c>
      <c r="H1537" s="1" t="s">
        <v>6</v>
      </c>
      <c r="I1537" s="1" t="s">
        <v>38</v>
      </c>
      <c r="J1537" s="1">
        <v>42446.757233796299</v>
      </c>
      <c r="K1537" s="1" t="s">
        <v>81</v>
      </c>
      <c r="L1537" s="14">
        <f>24*(TblTimeSheet[[#This Row],[End Date and Time]]-TblTimeSheet[[#This Row],[Start Date and Time]])</f>
        <v>1.2500000000582077</v>
      </c>
      <c r="M15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7">
        <f>--(0&gt;(TblTimeSheet[[#This Row],[End Date and Time]]-TblTimeSheet[[#This Row],[Start Date and Time]]))</f>
        <v>0</v>
      </c>
    </row>
    <row r="1538" spans="1:14" x14ac:dyDescent="0.25">
      <c r="A1538" s="1"/>
      <c r="B1538" s="2" t="s">
        <v>915</v>
      </c>
      <c r="C1538" s="2" t="s">
        <v>1117</v>
      </c>
      <c r="D1538" s="2" t="s">
        <v>32</v>
      </c>
      <c r="E1538" s="7" t="s">
        <v>1676</v>
      </c>
      <c r="F1538" s="37">
        <v>42446.5</v>
      </c>
      <c r="G1538" s="37">
        <v>42446.541666666664</v>
      </c>
      <c r="H1538" s="1" t="s">
        <v>6</v>
      </c>
      <c r="I1538" s="1" t="s">
        <v>38</v>
      </c>
      <c r="J1538" s="1">
        <v>42446.593634259261</v>
      </c>
      <c r="K1538" s="1" t="s">
        <v>2865</v>
      </c>
      <c r="L1538" s="14">
        <f>24*(TblTimeSheet[[#This Row],[End Date and Time]]-TblTimeSheet[[#This Row],[Start Date and Time]])</f>
        <v>0.99999999994179234</v>
      </c>
      <c r="M15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38">
        <f>--(0&gt;(TblTimeSheet[[#This Row],[End Date and Time]]-TblTimeSheet[[#This Row],[Start Date and Time]]))</f>
        <v>0</v>
      </c>
    </row>
    <row r="1539" spans="1:14" x14ac:dyDescent="0.25">
      <c r="A1539" s="1"/>
      <c r="B1539" s="2" t="s">
        <v>915</v>
      </c>
      <c r="C1539" s="2" t="s">
        <v>116</v>
      </c>
      <c r="D1539" s="2" t="s">
        <v>32</v>
      </c>
      <c r="E1539" s="7" t="s">
        <v>1677</v>
      </c>
      <c r="F1539" s="37">
        <v>42446.4375</v>
      </c>
      <c r="G1539" s="37">
        <v>42446.458333333336</v>
      </c>
      <c r="H1539" s="1" t="s">
        <v>6</v>
      </c>
      <c r="I1539" s="1" t="s">
        <v>38</v>
      </c>
      <c r="J1539" s="1">
        <v>42446.607442129629</v>
      </c>
      <c r="K1539" s="1" t="s">
        <v>701</v>
      </c>
      <c r="L1539" s="14">
        <f>24*(TblTimeSheet[[#This Row],[End Date and Time]]-TblTimeSheet[[#This Row],[Start Date and Time]])</f>
        <v>0.50000000005820766</v>
      </c>
      <c r="M15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39">
        <f>--(0&gt;(TblTimeSheet[[#This Row],[End Date and Time]]-TblTimeSheet[[#This Row],[Start Date and Time]]))</f>
        <v>0</v>
      </c>
    </row>
    <row r="1540" spans="1:14" x14ac:dyDescent="0.25">
      <c r="A1540" s="1"/>
      <c r="B1540" s="2" t="s">
        <v>915</v>
      </c>
      <c r="C1540" s="2" t="s">
        <v>116</v>
      </c>
      <c r="D1540" s="2" t="s">
        <v>32</v>
      </c>
      <c r="E1540" s="7" t="s">
        <v>1924</v>
      </c>
      <c r="F1540" s="37">
        <v>42446.4375</v>
      </c>
      <c r="G1540" s="37">
        <v>42446.458333333336</v>
      </c>
      <c r="H1540" s="1" t="s">
        <v>6</v>
      </c>
      <c r="I1540" s="1" t="s">
        <v>38</v>
      </c>
      <c r="J1540" s="1">
        <v>42446.608206018522</v>
      </c>
      <c r="K1540" s="1" t="s">
        <v>81</v>
      </c>
      <c r="L1540" s="14">
        <f>24*(TblTimeSheet[[#This Row],[End Date and Time]]-TblTimeSheet[[#This Row],[Start Date and Time]])</f>
        <v>0.50000000005820766</v>
      </c>
      <c r="M15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40">
        <f>--(0&gt;(TblTimeSheet[[#This Row],[End Date and Time]]-TblTimeSheet[[#This Row],[Start Date and Time]]))</f>
        <v>0</v>
      </c>
    </row>
    <row r="1541" spans="1:14" x14ac:dyDescent="0.25">
      <c r="A1541" s="1"/>
      <c r="B1541" s="2" t="s">
        <v>913</v>
      </c>
      <c r="C1541" s="2" t="s">
        <v>36</v>
      </c>
      <c r="D1541" s="2" t="s">
        <v>32</v>
      </c>
      <c r="E1541" s="7" t="s">
        <v>1678</v>
      </c>
      <c r="F1541" s="37">
        <v>42446.590277777781</v>
      </c>
      <c r="G1541" s="37">
        <v>42446.611111111109</v>
      </c>
      <c r="H1541" s="1" t="s">
        <v>6</v>
      </c>
      <c r="I1541" s="1" t="s">
        <v>38</v>
      </c>
      <c r="J1541" s="1">
        <v>42446.617083333331</v>
      </c>
      <c r="K1541" s="1" t="s">
        <v>36</v>
      </c>
      <c r="L1541" s="14">
        <f>24*(TblTimeSheet[[#This Row],[End Date and Time]]-TblTimeSheet[[#This Row],[Start Date and Time]])</f>
        <v>0.49999999988358468</v>
      </c>
      <c r="M15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1">
        <f>--(0&gt;(TblTimeSheet[[#This Row],[End Date and Time]]-TblTimeSheet[[#This Row],[Start Date and Time]]))</f>
        <v>0</v>
      </c>
    </row>
    <row r="1542" spans="1:14" x14ac:dyDescent="0.25">
      <c r="A1542" s="1"/>
      <c r="B1542" s="2" t="s">
        <v>911</v>
      </c>
      <c r="C1542" s="2" t="s">
        <v>41</v>
      </c>
      <c r="D1542" s="2" t="s">
        <v>32</v>
      </c>
      <c r="E1542" s="7" t="s">
        <v>1679</v>
      </c>
      <c r="F1542" s="37">
        <v>42445.729166666664</v>
      </c>
      <c r="G1542" s="37">
        <v>42445.78125</v>
      </c>
      <c r="H1542" s="1" t="s">
        <v>6</v>
      </c>
      <c r="I1542" s="1" t="s">
        <v>38</v>
      </c>
      <c r="J1542" s="1">
        <v>42446.620694444442</v>
      </c>
      <c r="K1542" s="1" t="s">
        <v>41</v>
      </c>
      <c r="L1542" s="14">
        <f>24*(TblTimeSheet[[#This Row],[End Date and Time]]-TblTimeSheet[[#This Row],[Start Date and Time]])</f>
        <v>1.2500000000582077</v>
      </c>
      <c r="M15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2">
        <f>--(0&gt;(TblTimeSheet[[#This Row],[End Date and Time]]-TblTimeSheet[[#This Row],[Start Date and Time]]))</f>
        <v>0</v>
      </c>
    </row>
    <row r="1543" spans="1:14" x14ac:dyDescent="0.25">
      <c r="A1543" s="1"/>
      <c r="B1543" s="2" t="s">
        <v>911</v>
      </c>
      <c r="C1543" s="2" t="s">
        <v>41</v>
      </c>
      <c r="D1543" s="2" t="s">
        <v>32</v>
      </c>
      <c r="E1543" s="7" t="s">
        <v>1680</v>
      </c>
      <c r="F1543" s="37">
        <v>42435.458333333336</v>
      </c>
      <c r="G1543" s="37">
        <v>42435.465277777781</v>
      </c>
      <c r="H1543" s="1" t="s">
        <v>6</v>
      </c>
      <c r="I1543" s="1" t="s">
        <v>38</v>
      </c>
      <c r="J1543" s="1">
        <v>42446.623472222222</v>
      </c>
      <c r="K1543" s="1" t="s">
        <v>41</v>
      </c>
      <c r="L1543" s="14">
        <f>24*(TblTimeSheet[[#This Row],[End Date and Time]]-TblTimeSheet[[#This Row],[Start Date and Time]])</f>
        <v>0.16666666668606922</v>
      </c>
      <c r="M15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3">
        <f>--(0&gt;(TblTimeSheet[[#This Row],[End Date and Time]]-TblTimeSheet[[#This Row],[Start Date and Time]]))</f>
        <v>0</v>
      </c>
    </row>
    <row r="1544" spans="1:14" x14ac:dyDescent="0.25">
      <c r="A1544" s="1"/>
      <c r="B1544" s="2" t="s">
        <v>911</v>
      </c>
      <c r="C1544" s="2" t="s">
        <v>41</v>
      </c>
      <c r="D1544" s="2" t="s">
        <v>32</v>
      </c>
      <c r="E1544" s="7" t="s">
        <v>1681</v>
      </c>
      <c r="F1544" s="37">
        <v>42436.447916666664</v>
      </c>
      <c r="G1544" s="37">
        <v>42436.458333333336</v>
      </c>
      <c r="H1544" s="1" t="s">
        <v>6</v>
      </c>
      <c r="I1544" s="1" t="s">
        <v>38</v>
      </c>
      <c r="J1544" s="1">
        <v>42446.627152777779</v>
      </c>
      <c r="K1544" s="1" t="s">
        <v>41</v>
      </c>
      <c r="L1544" s="14">
        <f>24*(TblTimeSheet[[#This Row],[End Date and Time]]-TblTimeSheet[[#This Row],[Start Date and Time]])</f>
        <v>0.25000000011641532</v>
      </c>
      <c r="M15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4">
        <f>--(0&gt;(TblTimeSheet[[#This Row],[End Date and Time]]-TblTimeSheet[[#This Row],[Start Date and Time]]))</f>
        <v>0</v>
      </c>
    </row>
    <row r="1545" spans="1:14" x14ac:dyDescent="0.25">
      <c r="A1545" s="1"/>
      <c r="B1545" s="2" t="s">
        <v>915</v>
      </c>
      <c r="C1545" s="2" t="s">
        <v>41</v>
      </c>
      <c r="D1545" s="2" t="s">
        <v>32</v>
      </c>
      <c r="E1545" s="7" t="s">
        <v>1682</v>
      </c>
      <c r="F1545" s="37">
        <v>42443.583333333336</v>
      </c>
      <c r="G1545" s="37">
        <v>42443.625</v>
      </c>
      <c r="H1545" s="1" t="s">
        <v>6</v>
      </c>
      <c r="I1545" s="1" t="s">
        <v>38</v>
      </c>
      <c r="J1545" s="1">
        <v>42446.625208333331</v>
      </c>
      <c r="K1545" s="1" t="s">
        <v>41</v>
      </c>
      <c r="L1545" s="14">
        <f>24*(TblTimeSheet[[#This Row],[End Date and Time]]-TblTimeSheet[[#This Row],[Start Date and Time]])</f>
        <v>0.99999999994179234</v>
      </c>
      <c r="M15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5">
        <f>--(0&gt;(TblTimeSheet[[#This Row],[End Date and Time]]-TblTimeSheet[[#This Row],[Start Date and Time]]))</f>
        <v>0</v>
      </c>
    </row>
    <row r="1546" spans="1:14" x14ac:dyDescent="0.25">
      <c r="A1546" s="1"/>
      <c r="B1546" s="2" t="s">
        <v>911</v>
      </c>
      <c r="C1546" s="2" t="s">
        <v>41</v>
      </c>
      <c r="D1546" s="2" t="s">
        <v>32</v>
      </c>
      <c r="E1546" s="7" t="s">
        <v>1683</v>
      </c>
      <c r="F1546" s="37">
        <v>42436.725694444445</v>
      </c>
      <c r="G1546" s="37">
        <v>42436.729166666664</v>
      </c>
      <c r="H1546" s="1" t="s">
        <v>6</v>
      </c>
      <c r="I1546" s="1" t="s">
        <v>38</v>
      </c>
      <c r="J1546" s="1">
        <v>42446.628553240742</v>
      </c>
      <c r="K1546" s="1" t="s">
        <v>41</v>
      </c>
      <c r="L1546" s="14">
        <f>24*(TblTimeSheet[[#This Row],[End Date and Time]]-TblTimeSheet[[#This Row],[Start Date and Time]])</f>
        <v>8.3333333255723119E-2</v>
      </c>
      <c r="M15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6">
        <f>--(0&gt;(TblTimeSheet[[#This Row],[End Date and Time]]-TblTimeSheet[[#This Row],[Start Date and Time]]))</f>
        <v>0</v>
      </c>
    </row>
    <row r="1547" spans="1:14" x14ac:dyDescent="0.25">
      <c r="A1547" s="1"/>
      <c r="B1547" s="2" t="s">
        <v>915</v>
      </c>
      <c r="C1547" s="2" t="s">
        <v>116</v>
      </c>
      <c r="D1547" s="2" t="s">
        <v>32</v>
      </c>
      <c r="E1547" s="7" t="s">
        <v>1684</v>
      </c>
      <c r="F1547" s="37">
        <v>42446.604166666664</v>
      </c>
      <c r="G1547" s="37">
        <v>42446.625</v>
      </c>
      <c r="H1547" s="1" t="s">
        <v>6</v>
      </c>
      <c r="I1547" s="1" t="s">
        <v>38</v>
      </c>
      <c r="J1547" s="1">
        <v>42446.629444444443</v>
      </c>
      <c r="K1547" s="1" t="s">
        <v>701</v>
      </c>
      <c r="L1547" s="14">
        <f>24*(TblTimeSheet[[#This Row],[End Date and Time]]-TblTimeSheet[[#This Row],[Start Date and Time]])</f>
        <v>0.50000000005820766</v>
      </c>
      <c r="M15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47">
        <f>--(0&gt;(TblTimeSheet[[#This Row],[End Date and Time]]-TblTimeSheet[[#This Row],[Start Date and Time]]))</f>
        <v>0</v>
      </c>
    </row>
    <row r="1548" spans="1:14" x14ac:dyDescent="0.25">
      <c r="A1548" s="1"/>
      <c r="B1548" s="2" t="s">
        <v>913</v>
      </c>
      <c r="C1548" s="2" t="s">
        <v>1105</v>
      </c>
      <c r="D1548" s="2" t="s">
        <v>32</v>
      </c>
      <c r="E1548" s="7" t="s">
        <v>1925</v>
      </c>
      <c r="F1548" s="37">
        <v>42446.590277777781</v>
      </c>
      <c r="G1548" s="37">
        <v>42446.611111111109</v>
      </c>
      <c r="H1548" s="1" t="s">
        <v>6</v>
      </c>
      <c r="I1548" s="1" t="s">
        <v>38</v>
      </c>
      <c r="J1548" s="1">
        <v>42446.632349537038</v>
      </c>
      <c r="K1548" s="1" t="s">
        <v>2864</v>
      </c>
      <c r="L1548" s="14">
        <f>24*(TblTimeSheet[[#This Row],[End Date and Time]]-TblTimeSheet[[#This Row],[Start Date and Time]])</f>
        <v>0.49999999988358468</v>
      </c>
      <c r="M15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8">
        <f>--(0&gt;(TblTimeSheet[[#This Row],[End Date and Time]]-TblTimeSheet[[#This Row],[Start Date and Time]]))</f>
        <v>0</v>
      </c>
    </row>
    <row r="1549" spans="1:14" x14ac:dyDescent="0.25">
      <c r="A1549" s="1"/>
      <c r="B1549" s="2" t="s">
        <v>911</v>
      </c>
      <c r="C1549" s="2" t="s">
        <v>1105</v>
      </c>
      <c r="D1549" s="2" t="s">
        <v>32</v>
      </c>
      <c r="E1549" s="7" t="s">
        <v>1861</v>
      </c>
      <c r="F1549" s="37">
        <v>42436.458333333336</v>
      </c>
      <c r="G1549" s="37">
        <v>42436.465277777781</v>
      </c>
      <c r="H1549" s="1" t="s">
        <v>6</v>
      </c>
      <c r="I1549" s="1" t="s">
        <v>38</v>
      </c>
      <c r="J1549" s="1">
        <v>42446.6330787037</v>
      </c>
      <c r="K1549" s="1" t="s">
        <v>2864</v>
      </c>
      <c r="L1549" s="14">
        <f>24*(TblTimeSheet[[#This Row],[End Date and Time]]-TblTimeSheet[[#This Row],[Start Date and Time]])</f>
        <v>0.16666666668606922</v>
      </c>
      <c r="M15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49">
        <f>--(0&gt;(TblTimeSheet[[#This Row],[End Date and Time]]-TblTimeSheet[[#This Row],[Start Date and Time]]))</f>
        <v>0</v>
      </c>
    </row>
    <row r="1550" spans="1:14" x14ac:dyDescent="0.25">
      <c r="A1550" s="1"/>
      <c r="B1550" s="2" t="s">
        <v>913</v>
      </c>
      <c r="C1550" s="2" t="s">
        <v>43</v>
      </c>
      <c r="D1550" s="2" t="s">
        <v>32</v>
      </c>
      <c r="E1550" s="7" t="s">
        <v>1926</v>
      </c>
      <c r="F1550" s="37">
        <v>42434.725694444445</v>
      </c>
      <c r="G1550" s="37">
        <v>42434.732638888891</v>
      </c>
      <c r="H1550" s="1" t="s">
        <v>6</v>
      </c>
      <c r="I1550" s="1" t="s">
        <v>38</v>
      </c>
      <c r="J1550" s="1">
        <v>42446.642870370371</v>
      </c>
      <c r="K1550" s="1" t="s">
        <v>43</v>
      </c>
      <c r="L1550" s="14">
        <f>24*(TblTimeSheet[[#This Row],[End Date and Time]]-TblTimeSheet[[#This Row],[Start Date and Time]])</f>
        <v>0.16666666668606922</v>
      </c>
      <c r="M15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0">
        <f>--(0&gt;(TblTimeSheet[[#This Row],[End Date and Time]]-TblTimeSheet[[#This Row],[Start Date and Time]]))</f>
        <v>0</v>
      </c>
    </row>
    <row r="1551" spans="1:14" x14ac:dyDescent="0.25">
      <c r="A1551" s="1"/>
      <c r="B1551" s="2" t="s">
        <v>911</v>
      </c>
      <c r="C1551" s="2" t="s">
        <v>78</v>
      </c>
      <c r="D1551" s="2" t="s">
        <v>32</v>
      </c>
      <c r="E1551" s="7" t="s">
        <v>1927</v>
      </c>
      <c r="F1551" s="37">
        <v>42446.631944444445</v>
      </c>
      <c r="G1551" s="37">
        <v>42446.645833333336</v>
      </c>
      <c r="H1551" s="1" t="s">
        <v>6</v>
      </c>
      <c r="I1551" s="1" t="s">
        <v>38</v>
      </c>
      <c r="J1551" s="1">
        <v>42446.644178240742</v>
      </c>
      <c r="K1551" s="1" t="s">
        <v>78</v>
      </c>
      <c r="L1551" s="14">
        <f>24*(TblTimeSheet[[#This Row],[End Date and Time]]-TblTimeSheet[[#This Row],[Start Date and Time]])</f>
        <v>0.33333333337213844</v>
      </c>
      <c r="M15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1">
        <f>--(0&gt;(TblTimeSheet[[#This Row],[End Date and Time]]-TblTimeSheet[[#This Row],[Start Date and Time]]))</f>
        <v>0</v>
      </c>
    </row>
    <row r="1552" spans="1:14" x14ac:dyDescent="0.25">
      <c r="A1552" s="1"/>
      <c r="B1552" s="2" t="s">
        <v>911</v>
      </c>
      <c r="C1552" s="2" t="s">
        <v>41</v>
      </c>
      <c r="D1552" s="2" t="s">
        <v>32</v>
      </c>
      <c r="E1552" s="7" t="s">
        <v>1685</v>
      </c>
      <c r="F1552" s="37">
        <v>42446.645833333336</v>
      </c>
      <c r="G1552" s="37">
        <v>42446.65625</v>
      </c>
      <c r="H1552" s="1" t="s">
        <v>6</v>
      </c>
      <c r="I1552" s="1" t="s">
        <v>38</v>
      </c>
      <c r="J1552" s="1">
        <v>42446.656585648147</v>
      </c>
      <c r="K1552" s="1" t="s">
        <v>41</v>
      </c>
      <c r="L1552" s="14">
        <f>24*(TblTimeSheet[[#This Row],[End Date and Time]]-TblTimeSheet[[#This Row],[Start Date and Time]])</f>
        <v>0.24999999994179234</v>
      </c>
      <c r="M15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2">
        <f>--(0&gt;(TblTimeSheet[[#This Row],[End Date and Time]]-TblTimeSheet[[#This Row],[Start Date and Time]]))</f>
        <v>0</v>
      </c>
    </row>
    <row r="1553" spans="1:14" x14ac:dyDescent="0.25">
      <c r="A1553" s="1"/>
      <c r="B1553" s="2" t="s">
        <v>913</v>
      </c>
      <c r="C1553" s="2" t="s">
        <v>36</v>
      </c>
      <c r="D1553" s="2" t="s">
        <v>32</v>
      </c>
      <c r="E1553" s="7" t="s">
        <v>1686</v>
      </c>
      <c r="F1553" s="37">
        <v>42446.65625</v>
      </c>
      <c r="G1553" s="37">
        <v>42446.659722222219</v>
      </c>
      <c r="H1553" s="1" t="s">
        <v>6</v>
      </c>
      <c r="I1553" s="1" t="s">
        <v>38</v>
      </c>
      <c r="J1553" s="1">
        <v>42446.658472222225</v>
      </c>
      <c r="K1553" s="1" t="s">
        <v>36</v>
      </c>
      <c r="L1553" s="14">
        <f>24*(TblTimeSheet[[#This Row],[End Date and Time]]-TblTimeSheet[[#This Row],[Start Date and Time]])</f>
        <v>8.3333333255723119E-2</v>
      </c>
      <c r="M15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3">
        <f>--(0&gt;(TblTimeSheet[[#This Row],[End Date and Time]]-TblTimeSheet[[#This Row],[Start Date and Time]]))</f>
        <v>0</v>
      </c>
    </row>
    <row r="1554" spans="1:14" x14ac:dyDescent="0.25">
      <c r="A1554" s="1"/>
      <c r="B1554" s="2" t="s">
        <v>911</v>
      </c>
      <c r="C1554" s="2" t="s">
        <v>41</v>
      </c>
      <c r="D1554" s="2" t="s">
        <v>33</v>
      </c>
      <c r="E1554" s="7" t="s">
        <v>1687</v>
      </c>
      <c r="F1554" s="37">
        <v>42446.666666666664</v>
      </c>
      <c r="G1554" s="37">
        <v>42446.673611111109</v>
      </c>
      <c r="H1554" s="1" t="s">
        <v>6</v>
      </c>
      <c r="I1554" s="1" t="s">
        <v>38</v>
      </c>
      <c r="J1554" s="1">
        <v>42446.678981481484</v>
      </c>
      <c r="K1554" s="1" t="s">
        <v>41</v>
      </c>
      <c r="L1554" s="14">
        <f>24*(TblTimeSheet[[#This Row],[End Date and Time]]-TblTimeSheet[[#This Row],[Start Date and Time]])</f>
        <v>0.16666666668606922</v>
      </c>
      <c r="M15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4">
        <f>--(0&gt;(TblTimeSheet[[#This Row],[End Date and Time]]-TblTimeSheet[[#This Row],[Start Date and Time]]))</f>
        <v>0</v>
      </c>
    </row>
    <row r="1555" spans="1:14" ht="45" x14ac:dyDescent="0.25">
      <c r="A1555" s="1"/>
      <c r="B1555" s="2" t="s">
        <v>913</v>
      </c>
      <c r="C1555" s="2" t="s">
        <v>36</v>
      </c>
      <c r="D1555" s="2" t="s">
        <v>33</v>
      </c>
      <c r="E1555" s="7" t="s">
        <v>1928</v>
      </c>
      <c r="F1555" s="37">
        <v>42446.666666666664</v>
      </c>
      <c r="G1555" s="37">
        <v>42446.6875</v>
      </c>
      <c r="H1555" s="1" t="s">
        <v>6</v>
      </c>
      <c r="I1555" s="1" t="s">
        <v>38</v>
      </c>
      <c r="J1555" s="1">
        <v>42446.689016203702</v>
      </c>
      <c r="K1555" s="1" t="s">
        <v>36</v>
      </c>
      <c r="L1555" s="14">
        <f>24*(TblTimeSheet[[#This Row],[End Date and Time]]-TblTimeSheet[[#This Row],[Start Date and Time]])</f>
        <v>0.50000000005820766</v>
      </c>
      <c r="M15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5">
        <f>--(0&gt;(TblTimeSheet[[#This Row],[End Date and Time]]-TblTimeSheet[[#This Row],[Start Date and Time]]))</f>
        <v>0</v>
      </c>
    </row>
    <row r="1556" spans="1:14" x14ac:dyDescent="0.25">
      <c r="A1556" s="1"/>
      <c r="B1556" s="2" t="s">
        <v>697</v>
      </c>
      <c r="C1556" s="2" t="s">
        <v>143</v>
      </c>
      <c r="D1556" s="2" t="s">
        <v>34</v>
      </c>
      <c r="E1556" s="7" t="s">
        <v>1646</v>
      </c>
      <c r="F1556" s="37">
        <v>42446.385416666664</v>
      </c>
      <c r="G1556" s="37">
        <v>42446.541666666664</v>
      </c>
      <c r="H1556" s="1" t="s">
        <v>6</v>
      </c>
      <c r="I1556" s="1" t="s">
        <v>38</v>
      </c>
      <c r="J1556" s="1">
        <v>42446.690416666665</v>
      </c>
      <c r="K1556" s="1" t="s">
        <v>143</v>
      </c>
      <c r="L1556" s="14">
        <f>24*(TblTimeSheet[[#This Row],[End Date and Time]]-TblTimeSheet[[#This Row],[Start Date and Time]])</f>
        <v>3.75</v>
      </c>
      <c r="M15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6">
        <f>--(0&gt;(TblTimeSheet[[#This Row],[End Date and Time]]-TblTimeSheet[[#This Row],[Start Date and Time]]))</f>
        <v>0</v>
      </c>
    </row>
    <row r="1557" spans="1:14" x14ac:dyDescent="0.25">
      <c r="A1557" s="1"/>
      <c r="B1557" s="2" t="s">
        <v>697</v>
      </c>
      <c r="C1557" s="2" t="s">
        <v>143</v>
      </c>
      <c r="D1557" s="2" t="s">
        <v>34</v>
      </c>
      <c r="E1557" s="7" t="s">
        <v>1646</v>
      </c>
      <c r="F1557" s="37">
        <v>42446.583333333336</v>
      </c>
      <c r="G1557" s="37">
        <v>42446.6875</v>
      </c>
      <c r="H1557" s="1" t="s">
        <v>6</v>
      </c>
      <c r="I1557" s="1" t="s">
        <v>38</v>
      </c>
      <c r="J1557" s="1">
        <v>42446.691203703704</v>
      </c>
      <c r="K1557" s="1" t="s">
        <v>143</v>
      </c>
      <c r="L1557" s="14">
        <f>24*(TblTimeSheet[[#This Row],[End Date and Time]]-TblTimeSheet[[#This Row],[Start Date and Time]])</f>
        <v>2.4999999999417923</v>
      </c>
      <c r="M15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7">
        <f>--(0&gt;(TblTimeSheet[[#This Row],[End Date and Time]]-TblTimeSheet[[#This Row],[Start Date and Time]]))</f>
        <v>0</v>
      </c>
    </row>
    <row r="1558" spans="1:14" x14ac:dyDescent="0.25">
      <c r="A1558" s="1"/>
      <c r="B1558" s="2" t="s">
        <v>913</v>
      </c>
      <c r="C1558" s="2" t="s">
        <v>116</v>
      </c>
      <c r="D1558" s="2" t="s">
        <v>33</v>
      </c>
      <c r="E1558" s="7" t="s">
        <v>1688</v>
      </c>
      <c r="F1558" s="37">
        <v>42446.666666666664</v>
      </c>
      <c r="G1558" s="37">
        <v>42446.6875</v>
      </c>
      <c r="H1558" s="1" t="s">
        <v>6</v>
      </c>
      <c r="I1558" s="1" t="s">
        <v>38</v>
      </c>
      <c r="J1558" s="1">
        <v>42446.69358796296</v>
      </c>
      <c r="K1558" s="1" t="s">
        <v>39</v>
      </c>
      <c r="L1558" s="14">
        <f>24*(TblTimeSheet[[#This Row],[End Date and Time]]-TblTimeSheet[[#This Row],[Start Date and Time]])</f>
        <v>0.50000000005820766</v>
      </c>
      <c r="M15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58">
        <f>--(0&gt;(TblTimeSheet[[#This Row],[End Date and Time]]-TblTimeSheet[[#This Row],[Start Date and Time]]))</f>
        <v>0</v>
      </c>
    </row>
    <row r="1559" spans="1:14" x14ac:dyDescent="0.25">
      <c r="A1559" s="1"/>
      <c r="B1559" s="2" t="s">
        <v>913</v>
      </c>
      <c r="C1559" s="2" t="s">
        <v>36</v>
      </c>
      <c r="D1559" s="2" t="s">
        <v>33</v>
      </c>
      <c r="E1559" s="7" t="s">
        <v>1929</v>
      </c>
      <c r="F1559" s="37">
        <v>42446.697916666664</v>
      </c>
      <c r="G1559" s="37">
        <v>42446.708333333336</v>
      </c>
      <c r="H1559" s="1" t="s">
        <v>6</v>
      </c>
      <c r="I1559" s="1" t="s">
        <v>38</v>
      </c>
      <c r="J1559" s="1">
        <v>42446.713622685187</v>
      </c>
      <c r="K1559" s="1" t="s">
        <v>36</v>
      </c>
      <c r="L1559" s="14">
        <f>24*(TblTimeSheet[[#This Row],[End Date and Time]]-TblTimeSheet[[#This Row],[Start Date and Time]])</f>
        <v>0.25000000011641532</v>
      </c>
      <c r="M15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59">
        <f>--(0&gt;(TblTimeSheet[[#This Row],[End Date and Time]]-TblTimeSheet[[#This Row],[Start Date and Time]]))</f>
        <v>0</v>
      </c>
    </row>
    <row r="1560" spans="1:14" x14ac:dyDescent="0.25">
      <c r="A1560" s="1"/>
      <c r="B1560" s="2" t="s">
        <v>913</v>
      </c>
      <c r="C1560" s="2" t="s">
        <v>36</v>
      </c>
      <c r="D1560" s="2" t="s">
        <v>33</v>
      </c>
      <c r="E1560" s="7" t="s">
        <v>1689</v>
      </c>
      <c r="F1560" s="37">
        <v>42446.715277777781</v>
      </c>
      <c r="G1560" s="37">
        <v>42446.71875</v>
      </c>
      <c r="H1560" s="1" t="s">
        <v>6</v>
      </c>
      <c r="I1560" s="1" t="s">
        <v>38</v>
      </c>
      <c r="J1560" s="1">
        <v>42446.718831018516</v>
      </c>
      <c r="K1560" s="1" t="s">
        <v>36</v>
      </c>
      <c r="L1560" s="14">
        <f>24*(TblTimeSheet[[#This Row],[End Date and Time]]-TblTimeSheet[[#This Row],[Start Date and Time]])</f>
        <v>8.3333333255723119E-2</v>
      </c>
      <c r="M15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0">
        <f>--(0&gt;(TblTimeSheet[[#This Row],[End Date and Time]]-TblTimeSheet[[#This Row],[Start Date and Time]]))</f>
        <v>0</v>
      </c>
    </row>
    <row r="1561" spans="1:14" x14ac:dyDescent="0.25">
      <c r="A1561" s="1"/>
      <c r="B1561" s="2" t="s">
        <v>913</v>
      </c>
      <c r="C1561" s="2" t="s">
        <v>1105</v>
      </c>
      <c r="D1561" s="2" t="s">
        <v>33</v>
      </c>
      <c r="E1561" s="7" t="s">
        <v>1930</v>
      </c>
      <c r="F1561" s="37">
        <v>42446.715277777781</v>
      </c>
      <c r="G1561" s="37">
        <v>42446.71875</v>
      </c>
      <c r="H1561" s="1" t="s">
        <v>6</v>
      </c>
      <c r="I1561" s="1" t="s">
        <v>38</v>
      </c>
      <c r="J1561" s="1">
        <v>42446.719849537039</v>
      </c>
      <c r="K1561" s="1" t="s">
        <v>2864</v>
      </c>
      <c r="L1561" s="14">
        <f>24*(TblTimeSheet[[#This Row],[End Date and Time]]-TblTimeSheet[[#This Row],[Start Date and Time]])</f>
        <v>8.3333333255723119E-2</v>
      </c>
      <c r="M15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1">
        <f>--(0&gt;(TblTimeSheet[[#This Row],[End Date and Time]]-TblTimeSheet[[#This Row],[Start Date and Time]]))</f>
        <v>0</v>
      </c>
    </row>
    <row r="1562" spans="1:14" x14ac:dyDescent="0.25">
      <c r="A1562" s="1"/>
      <c r="B1562" s="2" t="s">
        <v>911</v>
      </c>
      <c r="C1562" s="2" t="s">
        <v>41</v>
      </c>
      <c r="D1562" s="2" t="s">
        <v>33</v>
      </c>
      <c r="E1562" s="7" t="s">
        <v>1221</v>
      </c>
      <c r="F1562" s="37">
        <v>42446.697916666664</v>
      </c>
      <c r="G1562" s="37">
        <v>42446.708333333336</v>
      </c>
      <c r="H1562" s="1" t="s">
        <v>6</v>
      </c>
      <c r="I1562" s="1" t="s">
        <v>38</v>
      </c>
      <c r="J1562" s="1">
        <v>42446.719861111109</v>
      </c>
      <c r="K1562" s="1" t="s">
        <v>41</v>
      </c>
      <c r="L1562" s="14">
        <f>24*(TblTimeSheet[[#This Row],[End Date and Time]]-TblTimeSheet[[#This Row],[Start Date and Time]])</f>
        <v>0.25000000011641532</v>
      </c>
      <c r="M15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2">
        <f>--(0&gt;(TblTimeSheet[[#This Row],[End Date and Time]]-TblTimeSheet[[#This Row],[Start Date and Time]]))</f>
        <v>0</v>
      </c>
    </row>
    <row r="1563" spans="1:14" x14ac:dyDescent="0.25">
      <c r="A1563" s="1"/>
      <c r="B1563" s="2" t="s">
        <v>697</v>
      </c>
      <c r="C1563" s="2" t="s">
        <v>116</v>
      </c>
      <c r="D1563" s="2" t="s">
        <v>34</v>
      </c>
      <c r="E1563" s="7" t="s">
        <v>1646</v>
      </c>
      <c r="F1563" s="37">
        <v>42446.385416666664</v>
      </c>
      <c r="G1563" s="37">
        <v>42446.541666666664</v>
      </c>
      <c r="H1563" s="1" t="s">
        <v>6</v>
      </c>
      <c r="I1563" s="1" t="s">
        <v>38</v>
      </c>
      <c r="J1563" s="1">
        <v>42446.723506944443</v>
      </c>
      <c r="K1563" s="1" t="s">
        <v>1026</v>
      </c>
      <c r="L1563" s="14">
        <f>24*(TblTimeSheet[[#This Row],[End Date and Time]]-TblTimeSheet[[#This Row],[Start Date and Time]])</f>
        <v>3.75</v>
      </c>
      <c r="M15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3">
        <f>--(0&gt;(TblTimeSheet[[#This Row],[End Date and Time]]-TblTimeSheet[[#This Row],[Start Date and Time]]))</f>
        <v>0</v>
      </c>
    </row>
    <row r="1564" spans="1:14" x14ac:dyDescent="0.25">
      <c r="A1564" s="1"/>
      <c r="B1564" s="2" t="s">
        <v>697</v>
      </c>
      <c r="C1564" s="2" t="s">
        <v>116</v>
      </c>
      <c r="D1564" s="2" t="s">
        <v>34</v>
      </c>
      <c r="E1564" s="7" t="s">
        <v>1646</v>
      </c>
      <c r="F1564" s="37">
        <v>42446.583333333336</v>
      </c>
      <c r="G1564" s="37">
        <v>42446.6875</v>
      </c>
      <c r="H1564" s="1" t="s">
        <v>6</v>
      </c>
      <c r="I1564" s="1" t="s">
        <v>38</v>
      </c>
      <c r="J1564" s="1">
        <v>42446.723136574074</v>
      </c>
      <c r="K1564" s="1" t="s">
        <v>1026</v>
      </c>
      <c r="L1564" s="14">
        <f>24*(TblTimeSheet[[#This Row],[End Date and Time]]-TblTimeSheet[[#This Row],[Start Date and Time]])</f>
        <v>2.4999999999417923</v>
      </c>
      <c r="M15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64">
        <f>--(0&gt;(TblTimeSheet[[#This Row],[End Date and Time]]-TblTimeSheet[[#This Row],[Start Date and Time]]))</f>
        <v>0</v>
      </c>
    </row>
    <row r="1565" spans="1:14" x14ac:dyDescent="0.25">
      <c r="A1565" s="1"/>
      <c r="B1565" s="2" t="s">
        <v>911</v>
      </c>
      <c r="C1565" s="2" t="s">
        <v>118</v>
      </c>
      <c r="D1565" s="2" t="s">
        <v>33</v>
      </c>
      <c r="E1565" s="7" t="s">
        <v>1690</v>
      </c>
      <c r="F1565" s="37">
        <v>42446.722222222219</v>
      </c>
      <c r="G1565" s="37">
        <v>42446.729166666664</v>
      </c>
      <c r="H1565" s="1" t="s">
        <v>6</v>
      </c>
      <c r="I1565" s="1" t="s">
        <v>38</v>
      </c>
      <c r="J1565" s="1">
        <v>42446.739363425928</v>
      </c>
      <c r="K1565" s="1" t="s">
        <v>118</v>
      </c>
      <c r="L1565" s="14">
        <f>24*(TblTimeSheet[[#This Row],[End Date and Time]]-TblTimeSheet[[#This Row],[Start Date and Time]])</f>
        <v>0.16666666668606922</v>
      </c>
      <c r="M15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5">
        <f>--(0&gt;(TblTimeSheet[[#This Row],[End Date and Time]]-TblTimeSheet[[#This Row],[Start Date and Time]]))</f>
        <v>0</v>
      </c>
    </row>
    <row r="1566" spans="1:14" x14ac:dyDescent="0.25">
      <c r="A1566" s="1"/>
      <c r="B1566" s="2" t="s">
        <v>911</v>
      </c>
      <c r="C1566" s="2" t="s">
        <v>116</v>
      </c>
      <c r="D1566" s="2" t="s">
        <v>33</v>
      </c>
      <c r="E1566" s="7" t="s">
        <v>1691</v>
      </c>
      <c r="F1566" s="37">
        <v>42446.722222222219</v>
      </c>
      <c r="G1566" s="37">
        <v>42446.729166666664</v>
      </c>
      <c r="H1566" s="1" t="s">
        <v>6</v>
      </c>
      <c r="I1566" s="1" t="s">
        <v>38</v>
      </c>
      <c r="J1566" s="1">
        <v>42446.739571759259</v>
      </c>
      <c r="K1566" s="1" t="s">
        <v>39</v>
      </c>
      <c r="L1566" s="14">
        <f>24*(TblTimeSheet[[#This Row],[End Date and Time]]-TblTimeSheet[[#This Row],[Start Date and Time]])</f>
        <v>0.16666666668606922</v>
      </c>
      <c r="M15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66">
        <f>--(0&gt;(TblTimeSheet[[#This Row],[End Date and Time]]-TblTimeSheet[[#This Row],[Start Date and Time]]))</f>
        <v>0</v>
      </c>
    </row>
    <row r="1567" spans="1:14" x14ac:dyDescent="0.25">
      <c r="A1567" s="1"/>
      <c r="B1567" s="2" t="s">
        <v>915</v>
      </c>
      <c r="C1567" s="2" t="s">
        <v>118</v>
      </c>
      <c r="D1567" s="2" t="s">
        <v>32</v>
      </c>
      <c r="E1567" s="7" t="s">
        <v>1692</v>
      </c>
      <c r="F1567" s="37">
        <v>42446.5625</v>
      </c>
      <c r="G1567" s="37">
        <v>42446.708333333336</v>
      </c>
      <c r="H1567" s="1" t="s">
        <v>6</v>
      </c>
      <c r="I1567" s="1" t="s">
        <v>38</v>
      </c>
      <c r="J1567" s="1">
        <v>42446.740289351852</v>
      </c>
      <c r="K1567" s="1" t="s">
        <v>118</v>
      </c>
      <c r="L1567" s="14">
        <f>24*(TblTimeSheet[[#This Row],[End Date and Time]]-TblTimeSheet[[#This Row],[Start Date and Time]])</f>
        <v>3.5000000000582077</v>
      </c>
      <c r="M15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7">
        <f>--(0&gt;(TblTimeSheet[[#This Row],[End Date and Time]]-TblTimeSheet[[#This Row],[Start Date and Time]]))</f>
        <v>0</v>
      </c>
    </row>
    <row r="1568" spans="1:14" x14ac:dyDescent="0.25">
      <c r="A1568" s="1"/>
      <c r="B1568" s="2" t="s">
        <v>913</v>
      </c>
      <c r="C1568" s="2" t="s">
        <v>116</v>
      </c>
      <c r="D1568" s="2" t="s">
        <v>33</v>
      </c>
      <c r="E1568" s="7" t="s">
        <v>1693</v>
      </c>
      <c r="F1568" s="37">
        <v>42446.732638888891</v>
      </c>
      <c r="G1568" s="37">
        <v>42446.743055555555</v>
      </c>
      <c r="H1568" s="1" t="s">
        <v>6</v>
      </c>
      <c r="I1568" s="1" t="s">
        <v>38</v>
      </c>
      <c r="J1568" s="1">
        <v>42446.743113425924</v>
      </c>
      <c r="K1568" s="1" t="s">
        <v>39</v>
      </c>
      <c r="L1568" s="14">
        <f>24*(TblTimeSheet[[#This Row],[End Date and Time]]-TblTimeSheet[[#This Row],[Start Date and Time]])</f>
        <v>0.24999999994179234</v>
      </c>
      <c r="M15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68">
        <f>--(0&gt;(TblTimeSheet[[#This Row],[End Date and Time]]-TblTimeSheet[[#This Row],[Start Date and Time]]))</f>
        <v>0</v>
      </c>
    </row>
    <row r="1569" spans="1:14" x14ac:dyDescent="0.25">
      <c r="A1569" s="1"/>
      <c r="B1569" s="2" t="s">
        <v>913</v>
      </c>
      <c r="C1569" s="2" t="s">
        <v>454</v>
      </c>
      <c r="D1569" s="2" t="s">
        <v>33</v>
      </c>
      <c r="E1569" s="7" t="s">
        <v>449</v>
      </c>
      <c r="F1569" s="37">
        <v>42446.732638888891</v>
      </c>
      <c r="G1569" s="37">
        <v>42446.743055555555</v>
      </c>
      <c r="H1569" s="1" t="s">
        <v>6</v>
      </c>
      <c r="I1569" s="1" t="s">
        <v>38</v>
      </c>
      <c r="J1569" s="1">
        <v>42446.743564814817</v>
      </c>
      <c r="K1569" s="1" t="s">
        <v>454</v>
      </c>
      <c r="L1569" s="14">
        <f>24*(TblTimeSheet[[#This Row],[End Date and Time]]-TblTimeSheet[[#This Row],[Start Date and Time]])</f>
        <v>0.24999999994179234</v>
      </c>
      <c r="M15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69">
        <f>--(0&gt;(TblTimeSheet[[#This Row],[End Date and Time]]-TblTimeSheet[[#This Row],[Start Date and Time]]))</f>
        <v>0</v>
      </c>
    </row>
    <row r="1570" spans="1:14" x14ac:dyDescent="0.25">
      <c r="A1570" s="1"/>
      <c r="B1570" s="2" t="s">
        <v>913</v>
      </c>
      <c r="C1570" s="2" t="s">
        <v>454</v>
      </c>
      <c r="D1570" s="2" t="s">
        <v>34</v>
      </c>
      <c r="E1570" s="7" t="s">
        <v>1694</v>
      </c>
      <c r="F1570" s="37">
        <v>42446.604166666664</v>
      </c>
      <c r="G1570" s="37">
        <v>42446.697916666664</v>
      </c>
      <c r="H1570" s="1" t="s">
        <v>6</v>
      </c>
      <c r="I1570" s="1" t="s">
        <v>38</v>
      </c>
      <c r="J1570" s="1">
        <v>42446.745081018518</v>
      </c>
      <c r="K1570" s="1" t="s">
        <v>454</v>
      </c>
      <c r="L1570" s="14">
        <f>24*(TblTimeSheet[[#This Row],[End Date and Time]]-TblTimeSheet[[#This Row],[Start Date and Time]])</f>
        <v>2.25</v>
      </c>
      <c r="M15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0">
        <f>--(0&gt;(TblTimeSheet[[#This Row],[End Date and Time]]-TblTimeSheet[[#This Row],[Start Date and Time]]))</f>
        <v>0</v>
      </c>
    </row>
    <row r="1571" spans="1:14" x14ac:dyDescent="0.25">
      <c r="A1571" s="1"/>
      <c r="B1571" s="2" t="s">
        <v>697</v>
      </c>
      <c r="C1571" s="2" t="s">
        <v>124</v>
      </c>
      <c r="D1571" s="2" t="s">
        <v>34</v>
      </c>
      <c r="E1571" s="7" t="s">
        <v>1695</v>
      </c>
      <c r="F1571" s="37">
        <v>42446.583333333336</v>
      </c>
      <c r="G1571" s="37">
        <v>42446.666666666664</v>
      </c>
      <c r="H1571" s="1" t="s">
        <v>6</v>
      </c>
      <c r="I1571" s="1" t="s">
        <v>38</v>
      </c>
      <c r="J1571" s="1">
        <v>42446.753425925926</v>
      </c>
      <c r="K1571" s="1" t="s">
        <v>2863</v>
      </c>
      <c r="L1571" s="14">
        <f>24*(TblTimeSheet[[#This Row],[End Date and Time]]-TblTimeSheet[[#This Row],[Start Date and Time]])</f>
        <v>1.9999999998835847</v>
      </c>
      <c r="M15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1">
        <f>--(0&gt;(TblTimeSheet[[#This Row],[End Date and Time]]-TblTimeSheet[[#This Row],[Start Date and Time]]))</f>
        <v>0</v>
      </c>
    </row>
    <row r="1572" spans="1:14" x14ac:dyDescent="0.25">
      <c r="A1572" s="1"/>
      <c r="B1572" s="2" t="s">
        <v>697</v>
      </c>
      <c r="C1572" s="2" t="s">
        <v>124</v>
      </c>
      <c r="D1572" s="2" t="s">
        <v>34</v>
      </c>
      <c r="E1572" s="7" t="s">
        <v>1696</v>
      </c>
      <c r="F1572" s="37">
        <v>42446.6875</v>
      </c>
      <c r="G1572" s="37">
        <v>42446.729166666664</v>
      </c>
      <c r="H1572" s="1" t="s">
        <v>6</v>
      </c>
      <c r="I1572" s="1" t="s">
        <v>38</v>
      </c>
      <c r="J1572" s="1">
        <v>42446.754664351851</v>
      </c>
      <c r="K1572" s="1" t="s">
        <v>2863</v>
      </c>
      <c r="L1572" s="14">
        <f>24*(TblTimeSheet[[#This Row],[End Date and Time]]-TblTimeSheet[[#This Row],[Start Date and Time]])</f>
        <v>0.99999999994179234</v>
      </c>
      <c r="M15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2">
        <f>--(0&gt;(TblTimeSheet[[#This Row],[End Date and Time]]-TblTimeSheet[[#This Row],[Start Date and Time]]))</f>
        <v>0</v>
      </c>
    </row>
    <row r="1573" spans="1:14" x14ac:dyDescent="0.25">
      <c r="A1573" s="1"/>
      <c r="B1573" s="2" t="s">
        <v>911</v>
      </c>
      <c r="C1573" s="2" t="s">
        <v>1117</v>
      </c>
      <c r="D1573" s="2" t="s">
        <v>33</v>
      </c>
      <c r="E1573" s="7" t="s">
        <v>1697</v>
      </c>
      <c r="F1573" s="37">
        <v>42446.722222222219</v>
      </c>
      <c r="G1573" s="37">
        <v>42446.736111111109</v>
      </c>
      <c r="H1573" s="1" t="s">
        <v>6</v>
      </c>
      <c r="I1573" s="1" t="s">
        <v>38</v>
      </c>
      <c r="J1573" s="1">
        <v>42446.754942129628</v>
      </c>
      <c r="K1573" s="1" t="s">
        <v>2865</v>
      </c>
      <c r="L1573" s="14">
        <f>24*(TblTimeSheet[[#This Row],[End Date and Time]]-TblTimeSheet[[#This Row],[Start Date and Time]])</f>
        <v>0.33333333337213844</v>
      </c>
      <c r="M15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3">
        <f>--(0&gt;(TblTimeSheet[[#This Row],[End Date and Time]]-TblTimeSheet[[#This Row],[Start Date and Time]]))</f>
        <v>0</v>
      </c>
    </row>
    <row r="1574" spans="1:14" x14ac:dyDescent="0.25">
      <c r="A1574" s="1"/>
      <c r="B1574" s="2" t="s">
        <v>911</v>
      </c>
      <c r="C1574" s="2" t="s">
        <v>41</v>
      </c>
      <c r="D1574" s="2" t="s">
        <v>33</v>
      </c>
      <c r="E1574" s="7" t="s">
        <v>1931</v>
      </c>
      <c r="F1574" s="37">
        <v>42446.722222222219</v>
      </c>
      <c r="G1574" s="37">
        <v>42446.736111111109</v>
      </c>
      <c r="H1574" s="1" t="s">
        <v>6</v>
      </c>
      <c r="I1574" s="1" t="s">
        <v>38</v>
      </c>
      <c r="J1574" s="1">
        <v>42446.75571759259</v>
      </c>
      <c r="K1574" s="1" t="s">
        <v>41</v>
      </c>
      <c r="L1574" s="14">
        <f>24*(TblTimeSheet[[#This Row],[End Date and Time]]-TblTimeSheet[[#This Row],[Start Date and Time]])</f>
        <v>0.33333333337213844</v>
      </c>
      <c r="M15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4">
        <f>--(0&gt;(TblTimeSheet[[#This Row],[End Date and Time]]-TblTimeSheet[[#This Row],[Start Date and Time]]))</f>
        <v>0</v>
      </c>
    </row>
    <row r="1575" spans="1:14" x14ac:dyDescent="0.25">
      <c r="A1575" s="1"/>
      <c r="B1575" s="2" t="s">
        <v>911</v>
      </c>
      <c r="C1575" s="2" t="s">
        <v>116</v>
      </c>
      <c r="D1575" s="2" t="s">
        <v>33</v>
      </c>
      <c r="E1575" s="7" t="s">
        <v>1932</v>
      </c>
      <c r="F1575" s="37">
        <v>42446.722222222219</v>
      </c>
      <c r="G1575" s="37">
        <v>42446.736111111109</v>
      </c>
      <c r="H1575" s="1" t="s">
        <v>6</v>
      </c>
      <c r="I1575" s="1" t="s">
        <v>38</v>
      </c>
      <c r="J1575" s="1">
        <v>42446.758090277777</v>
      </c>
      <c r="K1575" s="1" t="s">
        <v>81</v>
      </c>
      <c r="L1575" s="14">
        <f>24*(TblTimeSheet[[#This Row],[End Date and Time]]-TblTimeSheet[[#This Row],[Start Date and Time]])</f>
        <v>0.33333333337213844</v>
      </c>
      <c r="M15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75">
        <f>--(0&gt;(TblTimeSheet[[#This Row],[End Date and Time]]-TblTimeSheet[[#This Row],[Start Date and Time]]))</f>
        <v>0</v>
      </c>
    </row>
    <row r="1576" spans="1:14" x14ac:dyDescent="0.25">
      <c r="A1576" s="1"/>
      <c r="B1576" s="2" t="s">
        <v>913</v>
      </c>
      <c r="C1576" s="2" t="s">
        <v>171</v>
      </c>
      <c r="D1576" s="2" t="s">
        <v>33</v>
      </c>
      <c r="E1576" s="7" t="s">
        <v>715</v>
      </c>
      <c r="F1576" s="37">
        <v>42446.732638888891</v>
      </c>
      <c r="G1576" s="37">
        <v>42446.743055555555</v>
      </c>
      <c r="H1576" s="1" t="s">
        <v>6</v>
      </c>
      <c r="I1576" s="1" t="s">
        <v>38</v>
      </c>
      <c r="J1576" s="1">
        <v>42447.378460648149</v>
      </c>
      <c r="K1576" s="1" t="s">
        <v>171</v>
      </c>
      <c r="L1576" s="14">
        <f>24*(TblTimeSheet[[#This Row],[End Date and Time]]-TblTimeSheet[[#This Row],[Start Date and Time]])</f>
        <v>0.24999999994179234</v>
      </c>
      <c r="M15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6">
        <f>--(0&gt;(TblTimeSheet[[#This Row],[End Date and Time]]-TblTimeSheet[[#This Row],[Start Date and Time]]))</f>
        <v>0</v>
      </c>
    </row>
    <row r="1577" spans="1:14" x14ac:dyDescent="0.25">
      <c r="A1577" s="1"/>
      <c r="B1577" s="2" t="s">
        <v>913</v>
      </c>
      <c r="C1577" s="2" t="s">
        <v>118</v>
      </c>
      <c r="D1577" s="2" t="s">
        <v>33</v>
      </c>
      <c r="E1577" s="7" t="s">
        <v>1471</v>
      </c>
      <c r="F1577" s="37">
        <v>42446.732638888891</v>
      </c>
      <c r="G1577" s="37">
        <v>42446.743055555555</v>
      </c>
      <c r="H1577" s="1" t="s">
        <v>6</v>
      </c>
      <c r="I1577" s="1" t="s">
        <v>38</v>
      </c>
      <c r="J1577" s="1">
        <v>42451.537187499998</v>
      </c>
      <c r="K1577" s="1" t="s">
        <v>118</v>
      </c>
      <c r="L1577" s="14">
        <f>24*(TblTimeSheet[[#This Row],[End Date and Time]]-TblTimeSheet[[#This Row],[Start Date and Time]])</f>
        <v>0.24999999994179234</v>
      </c>
      <c r="M15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7">
        <f>--(0&gt;(TblTimeSheet[[#This Row],[End Date and Time]]-TblTimeSheet[[#This Row],[Start Date and Time]]))</f>
        <v>0</v>
      </c>
    </row>
    <row r="1578" spans="1:14" x14ac:dyDescent="0.25">
      <c r="A1578" s="1"/>
      <c r="B1578" s="2" t="s">
        <v>913</v>
      </c>
      <c r="C1578" s="2" t="s">
        <v>36</v>
      </c>
      <c r="D1578" s="2" t="s">
        <v>33</v>
      </c>
      <c r="E1578" s="7" t="s">
        <v>1933</v>
      </c>
      <c r="F1578" s="37">
        <v>42446.732638888891</v>
      </c>
      <c r="G1578" s="37">
        <v>42446.743055555555</v>
      </c>
      <c r="H1578" s="1" t="s">
        <v>6</v>
      </c>
      <c r="I1578" s="1" t="s">
        <v>38</v>
      </c>
      <c r="J1578" s="1">
        <v>42447.400763888887</v>
      </c>
      <c r="K1578" s="1" t="s">
        <v>36</v>
      </c>
      <c r="L1578" s="14">
        <f>24*(TblTimeSheet[[#This Row],[End Date and Time]]-TblTimeSheet[[#This Row],[Start Date and Time]])</f>
        <v>0.24999999994179234</v>
      </c>
      <c r="M15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78">
        <f>--(0&gt;(TblTimeSheet[[#This Row],[End Date and Time]]-TblTimeSheet[[#This Row],[Start Date and Time]]))</f>
        <v>0</v>
      </c>
    </row>
    <row r="1579" spans="1:14" x14ac:dyDescent="0.25">
      <c r="A1579" s="1"/>
      <c r="B1579" s="2" t="s">
        <v>915</v>
      </c>
      <c r="C1579" s="2" t="s">
        <v>116</v>
      </c>
      <c r="D1579" s="2" t="s">
        <v>32</v>
      </c>
      <c r="E1579" s="7" t="s">
        <v>1934</v>
      </c>
      <c r="F1579" s="37">
        <v>42447.395833333336</v>
      </c>
      <c r="G1579" s="37">
        <v>42447.413194444445</v>
      </c>
      <c r="H1579" s="1" t="s">
        <v>6</v>
      </c>
      <c r="I1579" s="1" t="s">
        <v>38</v>
      </c>
      <c r="J1579" s="1">
        <v>42447.41510416667</v>
      </c>
      <c r="K1579" s="1" t="s">
        <v>701</v>
      </c>
      <c r="L1579" s="14">
        <f>24*(TblTimeSheet[[#This Row],[End Date and Time]]-TblTimeSheet[[#This Row],[Start Date and Time]])</f>
        <v>0.41666666662786156</v>
      </c>
      <c r="M15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79">
        <f>--(0&gt;(TblTimeSheet[[#This Row],[End Date and Time]]-TblTimeSheet[[#This Row],[Start Date and Time]]))</f>
        <v>0</v>
      </c>
    </row>
    <row r="1580" spans="1:14" x14ac:dyDescent="0.25">
      <c r="A1580" s="1"/>
      <c r="B1580" s="2" t="s">
        <v>915</v>
      </c>
      <c r="C1580" s="2" t="s">
        <v>1117</v>
      </c>
      <c r="D1580" s="2" t="s">
        <v>32</v>
      </c>
      <c r="E1580" s="7" t="s">
        <v>1698</v>
      </c>
      <c r="F1580" s="37">
        <v>42447.385416666664</v>
      </c>
      <c r="G1580" s="37">
        <v>42447.447916666664</v>
      </c>
      <c r="H1580" s="1" t="s">
        <v>6</v>
      </c>
      <c r="I1580" s="1" t="s">
        <v>38</v>
      </c>
      <c r="J1580" s="1">
        <v>42447.448425925926</v>
      </c>
      <c r="K1580" s="1" t="s">
        <v>2865</v>
      </c>
      <c r="L1580" s="14">
        <f>24*(TblTimeSheet[[#This Row],[End Date and Time]]-TblTimeSheet[[#This Row],[Start Date and Time]])</f>
        <v>1.5</v>
      </c>
      <c r="M15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0">
        <f>--(0&gt;(TblTimeSheet[[#This Row],[End Date and Time]]-TblTimeSheet[[#This Row],[Start Date and Time]]))</f>
        <v>0</v>
      </c>
    </row>
    <row r="1581" spans="1:14" x14ac:dyDescent="0.25">
      <c r="A1581" s="1"/>
      <c r="B1581" s="2" t="s">
        <v>915</v>
      </c>
      <c r="C1581" s="2" t="s">
        <v>41</v>
      </c>
      <c r="D1581" s="2" t="s">
        <v>32</v>
      </c>
      <c r="E1581" s="7" t="s">
        <v>1699</v>
      </c>
      <c r="F1581" s="37">
        <v>42447.479166666664</v>
      </c>
      <c r="G1581" s="37">
        <v>42447.5</v>
      </c>
      <c r="H1581" s="1" t="s">
        <v>6</v>
      </c>
      <c r="I1581" s="1" t="s">
        <v>38</v>
      </c>
      <c r="J1581" s="1">
        <v>42447.504467592589</v>
      </c>
      <c r="K1581" s="1" t="s">
        <v>41</v>
      </c>
      <c r="L1581" s="14">
        <f>24*(TblTimeSheet[[#This Row],[End Date and Time]]-TblTimeSheet[[#This Row],[Start Date and Time]])</f>
        <v>0.50000000005820766</v>
      </c>
      <c r="M15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1">
        <f>--(0&gt;(TblTimeSheet[[#This Row],[End Date and Time]]-TblTimeSheet[[#This Row],[Start Date and Time]]))</f>
        <v>0</v>
      </c>
    </row>
    <row r="1582" spans="1:14" x14ac:dyDescent="0.25">
      <c r="A1582" s="1"/>
      <c r="B1582" s="2" t="s">
        <v>915</v>
      </c>
      <c r="C1582" s="2" t="s">
        <v>1117</v>
      </c>
      <c r="D1582" s="2" t="s">
        <v>32</v>
      </c>
      <c r="E1582" s="7" t="s">
        <v>1700</v>
      </c>
      <c r="F1582" s="37">
        <v>42447.479166666664</v>
      </c>
      <c r="G1582" s="37">
        <v>42447.5</v>
      </c>
      <c r="H1582" s="1" t="s">
        <v>6</v>
      </c>
      <c r="I1582" s="1" t="s">
        <v>38</v>
      </c>
      <c r="J1582" s="1">
        <v>42447.504907407405</v>
      </c>
      <c r="K1582" s="1" t="s">
        <v>2865</v>
      </c>
      <c r="L1582" s="14">
        <f>24*(TblTimeSheet[[#This Row],[End Date and Time]]-TblTimeSheet[[#This Row],[Start Date and Time]])</f>
        <v>0.50000000005820766</v>
      </c>
      <c r="M15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2">
        <f>--(0&gt;(TblTimeSheet[[#This Row],[End Date and Time]]-TblTimeSheet[[#This Row],[Start Date and Time]]))</f>
        <v>0</v>
      </c>
    </row>
    <row r="1583" spans="1:14" x14ac:dyDescent="0.25">
      <c r="A1583" s="1"/>
      <c r="B1583" s="2" t="s">
        <v>915</v>
      </c>
      <c r="C1583" s="2" t="s">
        <v>1117</v>
      </c>
      <c r="D1583" s="2" t="s">
        <v>32</v>
      </c>
      <c r="E1583" s="7" t="s">
        <v>1701</v>
      </c>
      <c r="F1583" s="37">
        <v>42447.5</v>
      </c>
      <c r="G1583" s="37">
        <v>42447.510416666664</v>
      </c>
      <c r="H1583" s="1" t="s">
        <v>6</v>
      </c>
      <c r="I1583" s="1" t="s">
        <v>38</v>
      </c>
      <c r="J1583" s="1">
        <v>42447.511990740742</v>
      </c>
      <c r="K1583" s="1" t="s">
        <v>2865</v>
      </c>
      <c r="L1583" s="14">
        <f>24*(TblTimeSheet[[#This Row],[End Date and Time]]-TblTimeSheet[[#This Row],[Start Date and Time]])</f>
        <v>0.24999999994179234</v>
      </c>
      <c r="M15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3">
        <f>--(0&gt;(TblTimeSheet[[#This Row],[End Date and Time]]-TblTimeSheet[[#This Row],[Start Date and Time]]))</f>
        <v>0</v>
      </c>
    </row>
    <row r="1584" spans="1:14" x14ac:dyDescent="0.25">
      <c r="A1584" s="1"/>
      <c r="B1584" s="2" t="s">
        <v>913</v>
      </c>
      <c r="C1584" s="2" t="s">
        <v>36</v>
      </c>
      <c r="D1584" s="2" t="s">
        <v>33</v>
      </c>
      <c r="E1584" s="7" t="s">
        <v>1702</v>
      </c>
      <c r="F1584" s="37">
        <v>42447.458333333336</v>
      </c>
      <c r="G1584" s="37">
        <v>42447.5</v>
      </c>
      <c r="H1584" s="1" t="s">
        <v>6</v>
      </c>
      <c r="I1584" s="1" t="s">
        <v>38</v>
      </c>
      <c r="J1584" s="1">
        <v>42447.513715277775</v>
      </c>
      <c r="K1584" s="1" t="s">
        <v>36</v>
      </c>
      <c r="L1584" s="14">
        <f>24*(TblTimeSheet[[#This Row],[End Date and Time]]-TblTimeSheet[[#This Row],[Start Date and Time]])</f>
        <v>0.99999999994179234</v>
      </c>
      <c r="M15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4">
        <f>--(0&gt;(TblTimeSheet[[#This Row],[End Date and Time]]-TblTimeSheet[[#This Row],[Start Date and Time]]))</f>
        <v>0</v>
      </c>
    </row>
    <row r="1585" spans="1:14" x14ac:dyDescent="0.25">
      <c r="A1585" s="1"/>
      <c r="B1585" s="2" t="s">
        <v>913</v>
      </c>
      <c r="C1585" s="2" t="s">
        <v>143</v>
      </c>
      <c r="D1585" s="2" t="s">
        <v>34</v>
      </c>
      <c r="E1585" s="7" t="s">
        <v>1703</v>
      </c>
      <c r="F1585" s="37">
        <v>42447.416666666664</v>
      </c>
      <c r="G1585" s="37">
        <v>42447.447916666664</v>
      </c>
      <c r="H1585" s="1" t="s">
        <v>6</v>
      </c>
      <c r="I1585" s="1" t="s">
        <v>38</v>
      </c>
      <c r="J1585" s="1">
        <v>42447.633252314816</v>
      </c>
      <c r="K1585" s="1" t="s">
        <v>143</v>
      </c>
      <c r="L1585" s="14">
        <f>24*(TblTimeSheet[[#This Row],[End Date and Time]]-TblTimeSheet[[#This Row],[Start Date and Time]])</f>
        <v>0.75</v>
      </c>
      <c r="M15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5">
        <f>--(0&gt;(TblTimeSheet[[#This Row],[End Date and Time]]-TblTimeSheet[[#This Row],[Start Date and Time]]))</f>
        <v>0</v>
      </c>
    </row>
    <row r="1586" spans="1:14" x14ac:dyDescent="0.25">
      <c r="A1586" s="1"/>
      <c r="B1586" s="2" t="s">
        <v>917</v>
      </c>
      <c r="C1586" s="2" t="s">
        <v>171</v>
      </c>
      <c r="D1586" s="2" t="s">
        <v>19</v>
      </c>
      <c r="E1586" s="7" t="s">
        <v>1935</v>
      </c>
      <c r="F1586" s="37">
        <v>42447.458333333336</v>
      </c>
      <c r="G1586" s="37">
        <v>42447.520833333336</v>
      </c>
      <c r="H1586" s="1" t="s">
        <v>6</v>
      </c>
      <c r="I1586" s="1" t="s">
        <v>38</v>
      </c>
      <c r="J1586" s="1">
        <v>42447.61787037037</v>
      </c>
      <c r="K1586" s="1" t="s">
        <v>171</v>
      </c>
      <c r="L1586" s="14">
        <f>24*(TblTimeSheet[[#This Row],[End Date and Time]]-TblTimeSheet[[#This Row],[Start Date and Time]])</f>
        <v>1.5</v>
      </c>
      <c r="M15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6">
        <f>--(0&gt;(TblTimeSheet[[#This Row],[End Date and Time]]-TblTimeSheet[[#This Row],[Start Date and Time]]))</f>
        <v>0</v>
      </c>
    </row>
    <row r="1587" spans="1:14" x14ac:dyDescent="0.25">
      <c r="A1587" s="1"/>
      <c r="B1587" s="2" t="s">
        <v>917</v>
      </c>
      <c r="C1587" s="2" t="s">
        <v>43</v>
      </c>
      <c r="D1587" s="2" t="s">
        <v>19</v>
      </c>
      <c r="E1587" s="7" t="s">
        <v>1704</v>
      </c>
      <c r="F1587" s="37">
        <v>42447.458333333336</v>
      </c>
      <c r="G1587" s="37">
        <v>42447.520833333336</v>
      </c>
      <c r="H1587" s="1" t="s">
        <v>6</v>
      </c>
      <c r="I1587" s="1" t="s">
        <v>38</v>
      </c>
      <c r="J1587" s="1">
        <v>42447.62636574074</v>
      </c>
      <c r="K1587" s="1" t="s">
        <v>43</v>
      </c>
      <c r="L1587" s="14">
        <f>24*(TblTimeSheet[[#This Row],[End Date and Time]]-TblTimeSheet[[#This Row],[Start Date and Time]])</f>
        <v>1.5</v>
      </c>
      <c r="M15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7">
        <f>--(0&gt;(TblTimeSheet[[#This Row],[End Date and Time]]-TblTimeSheet[[#This Row],[Start Date and Time]]))</f>
        <v>0</v>
      </c>
    </row>
    <row r="1588" spans="1:14" x14ac:dyDescent="0.25">
      <c r="A1588" s="1"/>
      <c r="B1588" s="2" t="s">
        <v>913</v>
      </c>
      <c r="C1588" s="2" t="s">
        <v>454</v>
      </c>
      <c r="D1588" s="2" t="s">
        <v>34</v>
      </c>
      <c r="E1588" s="7" t="s">
        <v>1705</v>
      </c>
      <c r="F1588" s="37">
        <v>42447.416666666664</v>
      </c>
      <c r="G1588" s="37">
        <v>42447.447916666664</v>
      </c>
      <c r="H1588" s="1" t="s">
        <v>6</v>
      </c>
      <c r="I1588" s="1" t="s">
        <v>38</v>
      </c>
      <c r="J1588" s="1">
        <v>42447.644479166665</v>
      </c>
      <c r="K1588" s="1" t="s">
        <v>454</v>
      </c>
      <c r="L1588" s="14">
        <f>24*(TblTimeSheet[[#This Row],[End Date and Time]]-TblTimeSheet[[#This Row],[Start Date and Time]])</f>
        <v>0.75</v>
      </c>
      <c r="M15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8">
        <f>--(0&gt;(TblTimeSheet[[#This Row],[End Date and Time]]-TblTimeSheet[[#This Row],[Start Date and Time]]))</f>
        <v>0</v>
      </c>
    </row>
    <row r="1589" spans="1:14" x14ac:dyDescent="0.25">
      <c r="A1589" s="1"/>
      <c r="B1589" s="2" t="s">
        <v>913</v>
      </c>
      <c r="C1589" s="2" t="s">
        <v>454</v>
      </c>
      <c r="D1589" s="2" t="s">
        <v>34</v>
      </c>
      <c r="E1589" s="7" t="s">
        <v>1706</v>
      </c>
      <c r="F1589" s="37">
        <v>42447.458333333336</v>
      </c>
      <c r="G1589" s="37">
        <v>42447.479166666664</v>
      </c>
      <c r="H1589" s="1" t="s">
        <v>6</v>
      </c>
      <c r="I1589" s="1" t="s">
        <v>38</v>
      </c>
      <c r="J1589" s="1">
        <v>42447.645150462966</v>
      </c>
      <c r="K1589" s="1" t="s">
        <v>454</v>
      </c>
      <c r="L1589" s="14">
        <f>24*(TblTimeSheet[[#This Row],[End Date and Time]]-TblTimeSheet[[#This Row],[Start Date and Time]])</f>
        <v>0.49999999988358468</v>
      </c>
      <c r="M15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89">
        <f>--(0&gt;(TblTimeSheet[[#This Row],[End Date and Time]]-TblTimeSheet[[#This Row],[Start Date and Time]]))</f>
        <v>0</v>
      </c>
    </row>
    <row r="1590" spans="1:14" x14ac:dyDescent="0.25">
      <c r="A1590" s="1"/>
      <c r="B1590" s="2" t="s">
        <v>911</v>
      </c>
      <c r="C1590" s="2" t="s">
        <v>1117</v>
      </c>
      <c r="D1590" s="2" t="s">
        <v>33</v>
      </c>
      <c r="E1590" s="7" t="s">
        <v>1707</v>
      </c>
      <c r="F1590" s="37">
        <v>42447.583333333336</v>
      </c>
      <c r="G1590" s="37">
        <v>42447.645833333336</v>
      </c>
      <c r="H1590" s="1" t="s">
        <v>6</v>
      </c>
      <c r="I1590" s="1" t="s">
        <v>38</v>
      </c>
      <c r="J1590" s="1">
        <v>42447.652511574073</v>
      </c>
      <c r="K1590" s="1" t="s">
        <v>2865</v>
      </c>
      <c r="L1590" s="14">
        <f>24*(TblTimeSheet[[#This Row],[End Date and Time]]-TblTimeSheet[[#This Row],[Start Date and Time]])</f>
        <v>1.5</v>
      </c>
      <c r="M15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0">
        <f>--(0&gt;(TblTimeSheet[[#This Row],[End Date and Time]]-TblTimeSheet[[#This Row],[Start Date and Time]]))</f>
        <v>0</v>
      </c>
    </row>
    <row r="1591" spans="1:14" x14ac:dyDescent="0.25">
      <c r="A1591" s="1"/>
      <c r="B1591" s="2" t="s">
        <v>917</v>
      </c>
      <c r="C1591" s="2" t="s">
        <v>78</v>
      </c>
      <c r="D1591" s="2" t="s">
        <v>19</v>
      </c>
      <c r="E1591" s="7" t="s">
        <v>1936</v>
      </c>
      <c r="F1591" s="37">
        <v>42447.458333333336</v>
      </c>
      <c r="G1591" s="37">
        <v>42447.520833333336</v>
      </c>
      <c r="H1591" s="1" t="s">
        <v>6</v>
      </c>
      <c r="I1591" s="1" t="s">
        <v>38</v>
      </c>
      <c r="J1591" s="1">
        <v>42447.677673611113</v>
      </c>
      <c r="K1591" s="1" t="s">
        <v>78</v>
      </c>
      <c r="L1591" s="14">
        <f>24*(TblTimeSheet[[#This Row],[End Date and Time]]-TblTimeSheet[[#This Row],[Start Date and Time]])</f>
        <v>1.5</v>
      </c>
      <c r="M15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1">
        <f>--(0&gt;(TblTimeSheet[[#This Row],[End Date and Time]]-TblTimeSheet[[#This Row],[Start Date and Time]]))</f>
        <v>0</v>
      </c>
    </row>
    <row r="1592" spans="1:14" x14ac:dyDescent="0.25">
      <c r="A1592" s="1"/>
      <c r="B1592" s="2" t="s">
        <v>917</v>
      </c>
      <c r="C1592" s="2" t="s">
        <v>116</v>
      </c>
      <c r="D1592" s="2" t="s">
        <v>19</v>
      </c>
      <c r="E1592" s="7" t="s">
        <v>1708</v>
      </c>
      <c r="F1592" s="37">
        <v>42447.458333333336</v>
      </c>
      <c r="G1592" s="37">
        <v>42447.520833333336</v>
      </c>
      <c r="H1592" s="1" t="s">
        <v>6</v>
      </c>
      <c r="I1592" s="1" t="s">
        <v>38</v>
      </c>
      <c r="J1592" s="1">
        <v>42447.695428240739</v>
      </c>
      <c r="K1592" s="1" t="s">
        <v>701</v>
      </c>
      <c r="L1592" s="14">
        <f>24*(TblTimeSheet[[#This Row],[End Date and Time]]-TblTimeSheet[[#This Row],[Start Date and Time]])</f>
        <v>1.5</v>
      </c>
      <c r="M15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92">
        <f>--(0&gt;(TblTimeSheet[[#This Row],[End Date and Time]]-TblTimeSheet[[#This Row],[Start Date and Time]]))</f>
        <v>0</v>
      </c>
    </row>
    <row r="1593" spans="1:14" x14ac:dyDescent="0.25">
      <c r="A1593" s="1"/>
      <c r="B1593" s="2" t="s">
        <v>917</v>
      </c>
      <c r="C1593" s="2" t="s">
        <v>36</v>
      </c>
      <c r="D1593" s="2" t="s">
        <v>19</v>
      </c>
      <c r="E1593" s="7" t="s">
        <v>1709</v>
      </c>
      <c r="F1593" s="37">
        <v>42447.666666666664</v>
      </c>
      <c r="G1593" s="37">
        <v>42447.6875</v>
      </c>
      <c r="H1593" s="1" t="s">
        <v>6</v>
      </c>
      <c r="I1593" s="1" t="s">
        <v>38</v>
      </c>
      <c r="J1593" s="1">
        <v>42447.68644675926</v>
      </c>
      <c r="K1593" s="1" t="s">
        <v>36</v>
      </c>
      <c r="L1593" s="14">
        <f>24*(TblTimeSheet[[#This Row],[End Date and Time]]-TblTimeSheet[[#This Row],[Start Date and Time]])</f>
        <v>0.50000000005820766</v>
      </c>
      <c r="M15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3">
        <f>--(0&gt;(TblTimeSheet[[#This Row],[End Date and Time]]-TblTimeSheet[[#This Row],[Start Date and Time]]))</f>
        <v>0</v>
      </c>
    </row>
    <row r="1594" spans="1:14" x14ac:dyDescent="0.25">
      <c r="A1594" s="1"/>
      <c r="B1594" s="2" t="s">
        <v>917</v>
      </c>
      <c r="C1594" s="2" t="s">
        <v>171</v>
      </c>
      <c r="D1594" s="2" t="s">
        <v>19</v>
      </c>
      <c r="E1594" s="7" t="s">
        <v>1937</v>
      </c>
      <c r="F1594" s="37">
        <v>42447.666666666664</v>
      </c>
      <c r="G1594" s="37">
        <v>42447.6875</v>
      </c>
      <c r="H1594" s="1" t="s">
        <v>6</v>
      </c>
      <c r="I1594" s="1" t="s">
        <v>38</v>
      </c>
      <c r="J1594" s="1">
        <v>42447.696550925924</v>
      </c>
      <c r="K1594" s="1" t="s">
        <v>171</v>
      </c>
      <c r="L1594" s="14">
        <f>24*(TblTimeSheet[[#This Row],[End Date and Time]]-TblTimeSheet[[#This Row],[Start Date and Time]])</f>
        <v>0.50000000005820766</v>
      </c>
      <c r="M15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4">
        <f>--(0&gt;(TblTimeSheet[[#This Row],[End Date and Time]]-TblTimeSheet[[#This Row],[Start Date and Time]]))</f>
        <v>0</v>
      </c>
    </row>
    <row r="1595" spans="1:14" x14ac:dyDescent="0.25">
      <c r="A1595" s="1"/>
      <c r="B1595" s="2" t="s">
        <v>913</v>
      </c>
      <c r="C1595" s="2" t="s">
        <v>454</v>
      </c>
      <c r="D1595" s="2" t="s">
        <v>34</v>
      </c>
      <c r="E1595" s="7" t="s">
        <v>1710</v>
      </c>
      <c r="F1595" s="37">
        <v>42447.5</v>
      </c>
      <c r="G1595" s="37">
        <v>42447.541666666664</v>
      </c>
      <c r="H1595" s="1" t="s">
        <v>6</v>
      </c>
      <c r="I1595" s="1" t="s">
        <v>38</v>
      </c>
      <c r="J1595" s="1">
        <v>42447.727337962962</v>
      </c>
      <c r="K1595" s="1" t="s">
        <v>454</v>
      </c>
      <c r="L1595" s="14">
        <f>24*(TblTimeSheet[[#This Row],[End Date and Time]]-TblTimeSheet[[#This Row],[Start Date and Time]])</f>
        <v>0.99999999994179234</v>
      </c>
      <c r="M15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5">
        <f>--(0&gt;(TblTimeSheet[[#This Row],[End Date and Time]]-TblTimeSheet[[#This Row],[Start Date and Time]]))</f>
        <v>0</v>
      </c>
    </row>
    <row r="1596" spans="1:14" x14ac:dyDescent="0.25">
      <c r="A1596" s="1"/>
      <c r="B1596" s="2" t="s">
        <v>913</v>
      </c>
      <c r="C1596" s="2" t="s">
        <v>454</v>
      </c>
      <c r="D1596" s="2" t="s">
        <v>34</v>
      </c>
      <c r="E1596" s="7" t="s">
        <v>1710</v>
      </c>
      <c r="F1596" s="37">
        <v>42447.583333333336</v>
      </c>
      <c r="G1596" s="37">
        <v>42447.708333333336</v>
      </c>
      <c r="H1596" s="1" t="s">
        <v>6</v>
      </c>
      <c r="I1596" s="1" t="s">
        <v>38</v>
      </c>
      <c r="J1596" s="1">
        <v>42447.727905092594</v>
      </c>
      <c r="K1596" s="1" t="s">
        <v>454</v>
      </c>
      <c r="L1596" s="14">
        <f>24*(TblTimeSheet[[#This Row],[End Date and Time]]-TblTimeSheet[[#This Row],[Start Date and Time]])</f>
        <v>3</v>
      </c>
      <c r="M15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6">
        <f>--(0&gt;(TblTimeSheet[[#This Row],[End Date and Time]]-TblTimeSheet[[#This Row],[Start Date and Time]]))</f>
        <v>0</v>
      </c>
    </row>
    <row r="1597" spans="1:14" x14ac:dyDescent="0.25">
      <c r="A1597" s="1"/>
      <c r="B1597" s="2" t="s">
        <v>913</v>
      </c>
      <c r="C1597" s="2" t="s">
        <v>454</v>
      </c>
      <c r="D1597" s="2" t="s">
        <v>34</v>
      </c>
      <c r="E1597" s="7" t="s">
        <v>1711</v>
      </c>
      <c r="F1597" s="37">
        <v>42447.71875</v>
      </c>
      <c r="G1597" s="37">
        <v>42447.729166666664</v>
      </c>
      <c r="H1597" s="1" t="s">
        <v>6</v>
      </c>
      <c r="I1597" s="1" t="s">
        <v>38</v>
      </c>
      <c r="J1597" s="1">
        <v>42447.728750000002</v>
      </c>
      <c r="K1597" s="1" t="s">
        <v>454</v>
      </c>
      <c r="L1597" s="14">
        <f>24*(TblTimeSheet[[#This Row],[End Date and Time]]-TblTimeSheet[[#This Row],[Start Date and Time]])</f>
        <v>0.24999999994179234</v>
      </c>
      <c r="M15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7">
        <f>--(0&gt;(TblTimeSheet[[#This Row],[End Date and Time]]-TblTimeSheet[[#This Row],[Start Date and Time]]))</f>
        <v>0</v>
      </c>
    </row>
    <row r="1598" spans="1:14" x14ac:dyDescent="0.25">
      <c r="A1598" s="1"/>
      <c r="B1598" s="2" t="s">
        <v>913</v>
      </c>
      <c r="C1598" s="2" t="s">
        <v>118</v>
      </c>
      <c r="D1598" s="2" t="s">
        <v>34</v>
      </c>
      <c r="E1598" s="7" t="s">
        <v>1670</v>
      </c>
      <c r="F1598" s="37">
        <v>42447.71875</v>
      </c>
      <c r="G1598" s="37">
        <v>42447.729166666664</v>
      </c>
      <c r="H1598" s="1" t="s">
        <v>6</v>
      </c>
      <c r="I1598" s="1" t="s">
        <v>38</v>
      </c>
      <c r="J1598" s="1">
        <v>42447.730011574073</v>
      </c>
      <c r="K1598" s="1" t="s">
        <v>118</v>
      </c>
      <c r="L1598" s="14">
        <f>24*(TblTimeSheet[[#This Row],[End Date and Time]]-TblTimeSheet[[#This Row],[Start Date and Time]])</f>
        <v>0.24999999994179234</v>
      </c>
      <c r="M15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598">
        <f>--(0&gt;(TblTimeSheet[[#This Row],[End Date and Time]]-TblTimeSheet[[#This Row],[Start Date and Time]]))</f>
        <v>0</v>
      </c>
    </row>
    <row r="1599" spans="1:14" x14ac:dyDescent="0.25">
      <c r="A1599" s="1"/>
      <c r="B1599" s="2" t="s">
        <v>913</v>
      </c>
      <c r="C1599" s="2" t="s">
        <v>116</v>
      </c>
      <c r="D1599" s="2" t="s">
        <v>34</v>
      </c>
      <c r="E1599" s="7" t="s">
        <v>1712</v>
      </c>
      <c r="F1599" s="37">
        <v>42447.71875</v>
      </c>
      <c r="G1599" s="37">
        <v>42447.729166666664</v>
      </c>
      <c r="H1599" s="1" t="s">
        <v>6</v>
      </c>
      <c r="I1599" s="1" t="s">
        <v>38</v>
      </c>
      <c r="J1599" s="1">
        <v>42447.730243055557</v>
      </c>
      <c r="K1599" s="1" t="s">
        <v>39</v>
      </c>
      <c r="L1599" s="14">
        <f>24*(TblTimeSheet[[#This Row],[End Date and Time]]-TblTimeSheet[[#This Row],[Start Date and Time]])</f>
        <v>0.24999999994179234</v>
      </c>
      <c r="M15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599">
        <f>--(0&gt;(TblTimeSheet[[#This Row],[End Date and Time]]-TblTimeSheet[[#This Row],[Start Date and Time]]))</f>
        <v>0</v>
      </c>
    </row>
    <row r="1600" spans="1:14" x14ac:dyDescent="0.25">
      <c r="A1600" s="1"/>
      <c r="B1600" s="2" t="s">
        <v>911</v>
      </c>
      <c r="C1600" s="2" t="s">
        <v>1117</v>
      </c>
      <c r="D1600" s="2" t="s">
        <v>33</v>
      </c>
      <c r="E1600" s="7" t="s">
        <v>1713</v>
      </c>
      <c r="F1600" s="37">
        <v>42447.649305555555</v>
      </c>
      <c r="G1600" s="37">
        <v>42447.732638888891</v>
      </c>
      <c r="H1600" s="1" t="s">
        <v>6</v>
      </c>
      <c r="I1600" s="1" t="s">
        <v>38</v>
      </c>
      <c r="J1600" s="1">
        <v>42447.730891203704</v>
      </c>
      <c r="K1600" s="1" t="s">
        <v>2865</v>
      </c>
      <c r="L1600" s="14">
        <f>24*(TblTimeSheet[[#This Row],[End Date and Time]]-TblTimeSheet[[#This Row],[Start Date and Time]])</f>
        <v>2.0000000000582077</v>
      </c>
      <c r="M16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0">
        <f>--(0&gt;(TblTimeSheet[[#This Row],[End Date and Time]]-TblTimeSheet[[#This Row],[Start Date and Time]]))</f>
        <v>0</v>
      </c>
    </row>
    <row r="1601" spans="1:14" x14ac:dyDescent="0.25">
      <c r="A1601" s="1"/>
      <c r="B1601" s="2" t="s">
        <v>913</v>
      </c>
      <c r="C1601" s="2" t="s">
        <v>36</v>
      </c>
      <c r="D1601" s="2" t="s">
        <v>34</v>
      </c>
      <c r="E1601" s="7" t="s">
        <v>1938</v>
      </c>
      <c r="F1601" s="37">
        <v>42447.71875</v>
      </c>
      <c r="G1601" s="37">
        <v>42447.729166666664</v>
      </c>
      <c r="H1601" s="1" t="s">
        <v>6</v>
      </c>
      <c r="I1601" s="1" t="s">
        <v>38</v>
      </c>
      <c r="J1601" s="1">
        <v>42447.733923611115</v>
      </c>
      <c r="K1601" s="1" t="s">
        <v>36</v>
      </c>
      <c r="L1601" s="14">
        <f>24*(TblTimeSheet[[#This Row],[End Date and Time]]-TblTimeSheet[[#This Row],[Start Date and Time]])</f>
        <v>0.24999999994179234</v>
      </c>
      <c r="M16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1">
        <f>--(0&gt;(TblTimeSheet[[#This Row],[End Date and Time]]-TblTimeSheet[[#This Row],[Start Date and Time]]))</f>
        <v>0</v>
      </c>
    </row>
    <row r="1602" spans="1:14" x14ac:dyDescent="0.25">
      <c r="A1602" s="1"/>
      <c r="B1602" s="2" t="s">
        <v>915</v>
      </c>
      <c r="C1602" s="2" t="s">
        <v>116</v>
      </c>
      <c r="D1602" s="2" t="s">
        <v>32</v>
      </c>
      <c r="E1602" s="7" t="s">
        <v>1714</v>
      </c>
      <c r="F1602" s="37">
        <v>42447.645833333336</v>
      </c>
      <c r="G1602" s="37">
        <v>42447.666666666664</v>
      </c>
      <c r="H1602" s="1" t="s">
        <v>6</v>
      </c>
      <c r="I1602" s="1" t="s">
        <v>38</v>
      </c>
      <c r="J1602" s="1">
        <v>42447.742094907408</v>
      </c>
      <c r="K1602" s="1" t="s">
        <v>924</v>
      </c>
      <c r="L1602" s="14">
        <f>24*(TblTimeSheet[[#This Row],[End Date and Time]]-TblTimeSheet[[#This Row],[Start Date and Time]])</f>
        <v>0.49999999988358468</v>
      </c>
      <c r="M16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02">
        <f>--(0&gt;(TblTimeSheet[[#This Row],[End Date and Time]]-TblTimeSheet[[#This Row],[Start Date and Time]]))</f>
        <v>0</v>
      </c>
    </row>
    <row r="1603" spans="1:14" x14ac:dyDescent="0.25">
      <c r="A1603" s="1"/>
      <c r="B1603" s="2" t="s">
        <v>913</v>
      </c>
      <c r="C1603" s="2" t="s">
        <v>171</v>
      </c>
      <c r="D1603" s="2" t="s">
        <v>34</v>
      </c>
      <c r="E1603" s="7" t="s">
        <v>1939</v>
      </c>
      <c r="F1603" s="37">
        <v>42447.71875</v>
      </c>
      <c r="G1603" s="37">
        <v>42447.729166666664</v>
      </c>
      <c r="H1603" s="1" t="s">
        <v>6</v>
      </c>
      <c r="I1603" s="1" t="s">
        <v>38</v>
      </c>
      <c r="J1603" s="1">
        <v>42448.379953703705</v>
      </c>
      <c r="K1603" s="1" t="s">
        <v>171</v>
      </c>
      <c r="L1603" s="14">
        <f>24*(TblTimeSheet[[#This Row],[End Date and Time]]-TblTimeSheet[[#This Row],[Start Date and Time]])</f>
        <v>0.24999999994179234</v>
      </c>
      <c r="M16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3">
        <f>--(0&gt;(TblTimeSheet[[#This Row],[End Date and Time]]-TblTimeSheet[[#This Row],[Start Date and Time]]))</f>
        <v>0</v>
      </c>
    </row>
    <row r="1604" spans="1:14" x14ac:dyDescent="0.25">
      <c r="A1604" s="1"/>
      <c r="B1604" s="2" t="s">
        <v>915</v>
      </c>
      <c r="C1604" s="2" t="s">
        <v>118</v>
      </c>
      <c r="D1604" s="2" t="s">
        <v>32</v>
      </c>
      <c r="E1604" s="7" t="s">
        <v>1715</v>
      </c>
      <c r="F1604" s="37">
        <v>42447.375</v>
      </c>
      <c r="G1604" s="37">
        <v>42447.541666666664</v>
      </c>
      <c r="H1604" s="1" t="s">
        <v>6</v>
      </c>
      <c r="I1604" s="1" t="s">
        <v>38</v>
      </c>
      <c r="J1604" s="1">
        <v>42448.410185185188</v>
      </c>
      <c r="K1604" s="1" t="s">
        <v>118</v>
      </c>
      <c r="L1604" s="14">
        <f>24*(TblTimeSheet[[#This Row],[End Date and Time]]-TblTimeSheet[[#This Row],[Start Date and Time]])</f>
        <v>3.9999999999417923</v>
      </c>
      <c r="M16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4">
        <f>--(0&gt;(TblTimeSheet[[#This Row],[End Date and Time]]-TblTimeSheet[[#This Row],[Start Date and Time]]))</f>
        <v>0</v>
      </c>
    </row>
    <row r="1605" spans="1:14" x14ac:dyDescent="0.25">
      <c r="A1605" s="1"/>
      <c r="B1605" s="2" t="s">
        <v>915</v>
      </c>
      <c r="C1605" s="2" t="s">
        <v>118</v>
      </c>
      <c r="D1605" s="2" t="s">
        <v>32</v>
      </c>
      <c r="E1605" s="7" t="s">
        <v>1716</v>
      </c>
      <c r="F1605" s="37">
        <v>42447.5625</v>
      </c>
      <c r="G1605" s="37">
        <v>42447.708333333336</v>
      </c>
      <c r="H1605" s="1" t="s">
        <v>6</v>
      </c>
      <c r="I1605" s="1" t="s">
        <v>38</v>
      </c>
      <c r="J1605" s="1">
        <v>42448.411157407405</v>
      </c>
      <c r="K1605" s="1" t="s">
        <v>118</v>
      </c>
      <c r="L1605" s="14">
        <f>24*(TblTimeSheet[[#This Row],[End Date and Time]]-TblTimeSheet[[#This Row],[Start Date and Time]])</f>
        <v>3.5000000000582077</v>
      </c>
      <c r="M16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5">
        <f>--(0&gt;(TblTimeSheet[[#This Row],[End Date and Time]]-TblTimeSheet[[#This Row],[Start Date and Time]]))</f>
        <v>0</v>
      </c>
    </row>
    <row r="1606" spans="1:14" x14ac:dyDescent="0.25">
      <c r="A1606" s="1"/>
      <c r="B1606" s="2" t="s">
        <v>913</v>
      </c>
      <c r="C1606" s="2" t="s">
        <v>116</v>
      </c>
      <c r="D1606" s="2" t="s">
        <v>34</v>
      </c>
      <c r="E1606" s="7" t="s">
        <v>1940</v>
      </c>
      <c r="F1606" s="37">
        <v>42448.447916666664</v>
      </c>
      <c r="G1606" s="37">
        <v>42448.454861111109</v>
      </c>
      <c r="H1606" s="1" t="s">
        <v>6</v>
      </c>
      <c r="I1606" s="1" t="s">
        <v>38</v>
      </c>
      <c r="J1606" s="1">
        <v>42448.455717592595</v>
      </c>
      <c r="K1606" s="1" t="s">
        <v>39</v>
      </c>
      <c r="L1606" s="14">
        <f>24*(TblTimeSheet[[#This Row],[End Date and Time]]-TblTimeSheet[[#This Row],[Start Date and Time]])</f>
        <v>0.16666666668606922</v>
      </c>
      <c r="M16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06">
        <f>--(0&gt;(TblTimeSheet[[#This Row],[End Date and Time]]-TblTimeSheet[[#This Row],[Start Date and Time]]))</f>
        <v>0</v>
      </c>
    </row>
    <row r="1607" spans="1:14" x14ac:dyDescent="0.25">
      <c r="A1607" s="1"/>
      <c r="B1607" s="2" t="s">
        <v>917</v>
      </c>
      <c r="C1607" s="2" t="s">
        <v>171</v>
      </c>
      <c r="D1607" s="2" t="s">
        <v>19</v>
      </c>
      <c r="E1607" s="7" t="s">
        <v>1941</v>
      </c>
      <c r="F1607" s="37">
        <v>42448.4375</v>
      </c>
      <c r="G1607" s="37">
        <v>42448.447916666664</v>
      </c>
      <c r="H1607" s="1" t="s">
        <v>6</v>
      </c>
      <c r="I1607" s="1" t="s">
        <v>38</v>
      </c>
      <c r="J1607" s="1">
        <v>42448.458414351851</v>
      </c>
      <c r="K1607" s="1" t="s">
        <v>171</v>
      </c>
      <c r="L1607" s="14">
        <f>24*(TblTimeSheet[[#This Row],[End Date and Time]]-TblTimeSheet[[#This Row],[Start Date and Time]])</f>
        <v>0.24999999994179234</v>
      </c>
      <c r="M16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7">
        <f>--(0&gt;(TblTimeSheet[[#This Row],[End Date and Time]]-TblTimeSheet[[#This Row],[Start Date and Time]]))</f>
        <v>0</v>
      </c>
    </row>
    <row r="1608" spans="1:14" x14ac:dyDescent="0.25">
      <c r="A1608" s="1"/>
      <c r="B1608" s="2" t="s">
        <v>909</v>
      </c>
      <c r="C1608" s="2" t="s">
        <v>961</v>
      </c>
      <c r="D1608" s="2" t="s">
        <v>32</v>
      </c>
      <c r="E1608" s="7" t="s">
        <v>1717</v>
      </c>
      <c r="F1608" s="37">
        <v>42410.5</v>
      </c>
      <c r="G1608" s="37">
        <v>42410.552083333336</v>
      </c>
      <c r="H1608" s="1" t="s">
        <v>6</v>
      </c>
      <c r="I1608" s="1" t="s">
        <v>38</v>
      </c>
      <c r="J1608" s="1">
        <v>42448.605775462966</v>
      </c>
      <c r="K1608" s="1" t="s">
        <v>961</v>
      </c>
      <c r="L1608" s="14">
        <f>24*(TblTimeSheet[[#This Row],[End Date and Time]]-TblTimeSheet[[#This Row],[Start Date and Time]])</f>
        <v>1.2500000000582077</v>
      </c>
      <c r="M16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8">
        <f>--(0&gt;(TblTimeSheet[[#This Row],[End Date and Time]]-TblTimeSheet[[#This Row],[Start Date and Time]]))</f>
        <v>0</v>
      </c>
    </row>
    <row r="1609" spans="1:14" ht="30" x14ac:dyDescent="0.25">
      <c r="A1609" s="1"/>
      <c r="B1609" s="2" t="s">
        <v>697</v>
      </c>
      <c r="C1609" s="2" t="s">
        <v>116</v>
      </c>
      <c r="D1609" s="2" t="s">
        <v>33</v>
      </c>
      <c r="E1609" s="7" t="s">
        <v>1877</v>
      </c>
      <c r="F1609" s="37">
        <v>42436.645833333336</v>
      </c>
      <c r="G1609" s="37">
        <v>42436.770833333336</v>
      </c>
      <c r="H1609" s="1" t="s">
        <v>6</v>
      </c>
      <c r="I1609" s="1" t="s">
        <v>38</v>
      </c>
      <c r="J1609" s="1">
        <v>42448.619768518518</v>
      </c>
      <c r="K1609" s="1" t="s">
        <v>1026</v>
      </c>
      <c r="L1609" s="14">
        <f>24*(TblTimeSheet[[#This Row],[End Date and Time]]-TblTimeSheet[[#This Row],[Start Date and Time]])</f>
        <v>3</v>
      </c>
      <c r="M16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09">
        <f>--(0&gt;(TblTimeSheet[[#This Row],[End Date and Time]]-TblTimeSheet[[#This Row],[Start Date and Time]]))</f>
        <v>0</v>
      </c>
    </row>
    <row r="1610" spans="1:14" x14ac:dyDescent="0.25">
      <c r="A1610" s="1"/>
      <c r="B1610" s="2" t="s">
        <v>697</v>
      </c>
      <c r="C1610" s="2" t="s">
        <v>143</v>
      </c>
      <c r="D1610" s="2" t="s">
        <v>34</v>
      </c>
      <c r="E1610" s="7" t="s">
        <v>1718</v>
      </c>
      <c r="F1610" s="37">
        <v>42447.375</v>
      </c>
      <c r="G1610" s="37">
        <v>42447.416666666664</v>
      </c>
      <c r="H1610" s="1" t="s">
        <v>6</v>
      </c>
      <c r="I1610" s="1" t="s">
        <v>38</v>
      </c>
      <c r="J1610" s="1">
        <v>42452.464872685188</v>
      </c>
      <c r="K1610" s="1" t="s">
        <v>143</v>
      </c>
      <c r="L1610" s="14">
        <f>24*(TblTimeSheet[[#This Row],[End Date and Time]]-TblTimeSheet[[#This Row],[Start Date and Time]])</f>
        <v>0.99999999994179234</v>
      </c>
      <c r="M16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0">
        <f>--(0&gt;(TblTimeSheet[[#This Row],[End Date and Time]]-TblTimeSheet[[#This Row],[Start Date and Time]]))</f>
        <v>0</v>
      </c>
    </row>
    <row r="1611" spans="1:14" x14ac:dyDescent="0.25">
      <c r="A1611" s="1"/>
      <c r="B1611" s="2" t="s">
        <v>697</v>
      </c>
      <c r="C1611" s="2" t="s">
        <v>143</v>
      </c>
      <c r="D1611" s="2" t="s">
        <v>34</v>
      </c>
      <c r="E1611" s="7" t="s">
        <v>1665</v>
      </c>
      <c r="F1611" s="37">
        <v>42447.583333333336</v>
      </c>
      <c r="G1611" s="37">
        <v>42447.729166666664</v>
      </c>
      <c r="H1611" s="1" t="s">
        <v>6</v>
      </c>
      <c r="I1611" s="1" t="s">
        <v>38</v>
      </c>
      <c r="J1611" s="1">
        <v>42448.637361111112</v>
      </c>
      <c r="K1611" s="1" t="s">
        <v>143</v>
      </c>
      <c r="L1611" s="14">
        <f>24*(TblTimeSheet[[#This Row],[End Date and Time]]-TblTimeSheet[[#This Row],[Start Date and Time]])</f>
        <v>3.4999999998835847</v>
      </c>
      <c r="M16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1">
        <f>--(0&gt;(TblTimeSheet[[#This Row],[End Date and Time]]-TblTimeSheet[[#This Row],[Start Date and Time]]))</f>
        <v>0</v>
      </c>
    </row>
    <row r="1612" spans="1:14" x14ac:dyDescent="0.25">
      <c r="A1612" s="1"/>
      <c r="B1612" s="2" t="s">
        <v>697</v>
      </c>
      <c r="C1612" s="2" t="s">
        <v>143</v>
      </c>
      <c r="D1612" s="2" t="s">
        <v>34</v>
      </c>
      <c r="E1612" s="7" t="s">
        <v>1665</v>
      </c>
      <c r="F1612" s="37">
        <v>42448.375</v>
      </c>
      <c r="G1612" s="37">
        <v>42448.541666666664</v>
      </c>
      <c r="H1612" s="1" t="s">
        <v>6</v>
      </c>
      <c r="I1612" s="1" t="s">
        <v>38</v>
      </c>
      <c r="J1612" s="1">
        <v>42448.639675925922</v>
      </c>
      <c r="K1612" s="1" t="s">
        <v>143</v>
      </c>
      <c r="L1612" s="14">
        <f>24*(TblTimeSheet[[#This Row],[End Date and Time]]-TblTimeSheet[[#This Row],[Start Date and Time]])</f>
        <v>3.9999999999417923</v>
      </c>
      <c r="M16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2">
        <f>--(0&gt;(TblTimeSheet[[#This Row],[End Date and Time]]-TblTimeSheet[[#This Row],[Start Date and Time]]))</f>
        <v>0</v>
      </c>
    </row>
    <row r="1613" spans="1:14" x14ac:dyDescent="0.25">
      <c r="A1613" s="1"/>
      <c r="B1613" s="2" t="s">
        <v>697</v>
      </c>
      <c r="C1613" s="2" t="s">
        <v>143</v>
      </c>
      <c r="D1613" s="2" t="s">
        <v>34</v>
      </c>
      <c r="E1613" s="7" t="s">
        <v>1666</v>
      </c>
      <c r="F1613" s="37">
        <v>42448.583333333336</v>
      </c>
      <c r="G1613" s="37">
        <v>42448.625</v>
      </c>
      <c r="H1613" s="1" t="s">
        <v>6</v>
      </c>
      <c r="I1613" s="1" t="s">
        <v>38</v>
      </c>
      <c r="J1613" s="1">
        <v>42448.640266203707</v>
      </c>
      <c r="K1613" s="1" t="s">
        <v>143</v>
      </c>
      <c r="L1613" s="14">
        <f>24*(TblTimeSheet[[#This Row],[End Date and Time]]-TblTimeSheet[[#This Row],[Start Date and Time]])</f>
        <v>0.99999999994179234</v>
      </c>
      <c r="M16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3">
        <f>--(0&gt;(TblTimeSheet[[#This Row],[End Date and Time]]-TblTimeSheet[[#This Row],[Start Date and Time]]))</f>
        <v>0</v>
      </c>
    </row>
    <row r="1614" spans="1:14" x14ac:dyDescent="0.25">
      <c r="A1614" s="1"/>
      <c r="B1614" s="2" t="s">
        <v>697</v>
      </c>
      <c r="C1614" s="2" t="s">
        <v>143</v>
      </c>
      <c r="D1614" s="2" t="s">
        <v>34</v>
      </c>
      <c r="E1614" s="7" t="s">
        <v>1942</v>
      </c>
      <c r="F1614" s="37">
        <v>42448.625</v>
      </c>
      <c r="G1614" s="37">
        <v>42448.638888888891</v>
      </c>
      <c r="H1614" s="1" t="s">
        <v>6</v>
      </c>
      <c r="I1614" s="1" t="s">
        <v>38</v>
      </c>
      <c r="J1614" s="1">
        <v>42448.641099537039</v>
      </c>
      <c r="K1614" s="1" t="s">
        <v>143</v>
      </c>
      <c r="L1614" s="14">
        <f>24*(TblTimeSheet[[#This Row],[End Date and Time]]-TblTimeSheet[[#This Row],[Start Date and Time]])</f>
        <v>0.33333333337213844</v>
      </c>
      <c r="M16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4">
        <f>--(0&gt;(TblTimeSheet[[#This Row],[End Date and Time]]-TblTimeSheet[[#This Row],[Start Date and Time]]))</f>
        <v>0</v>
      </c>
    </row>
    <row r="1615" spans="1:14" x14ac:dyDescent="0.25">
      <c r="A1615" s="1"/>
      <c r="B1615" s="2" t="s">
        <v>697</v>
      </c>
      <c r="C1615" s="2" t="s">
        <v>116</v>
      </c>
      <c r="D1615" s="2" t="s">
        <v>34</v>
      </c>
      <c r="E1615" s="7" t="s">
        <v>1665</v>
      </c>
      <c r="F1615" s="37">
        <v>42447.375</v>
      </c>
      <c r="G1615" s="37">
        <v>42447.541666666664</v>
      </c>
      <c r="H1615" s="1" t="s">
        <v>6</v>
      </c>
      <c r="I1615" s="1" t="s">
        <v>38</v>
      </c>
      <c r="J1615" s="1">
        <v>42448.642430555556</v>
      </c>
      <c r="K1615" s="1" t="s">
        <v>1026</v>
      </c>
      <c r="L1615" s="14">
        <f>24*(TblTimeSheet[[#This Row],[End Date and Time]]-TblTimeSheet[[#This Row],[Start Date and Time]])</f>
        <v>3.9999999999417923</v>
      </c>
      <c r="M16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5">
        <f>--(0&gt;(TblTimeSheet[[#This Row],[End Date and Time]]-TblTimeSheet[[#This Row],[Start Date and Time]]))</f>
        <v>0</v>
      </c>
    </row>
    <row r="1616" spans="1:14" x14ac:dyDescent="0.25">
      <c r="A1616" s="1"/>
      <c r="B1616" s="2" t="s">
        <v>697</v>
      </c>
      <c r="C1616" s="2" t="s">
        <v>116</v>
      </c>
      <c r="D1616" s="2" t="s">
        <v>34</v>
      </c>
      <c r="E1616" s="7" t="s">
        <v>1718</v>
      </c>
      <c r="F1616" s="37">
        <v>42447.583333333336</v>
      </c>
      <c r="G1616" s="37">
        <v>42447.729166666664</v>
      </c>
      <c r="H1616" s="1" t="s">
        <v>6</v>
      </c>
      <c r="I1616" s="1" t="s">
        <v>38</v>
      </c>
      <c r="J1616" s="1">
        <v>42448.642928240741</v>
      </c>
      <c r="K1616" s="1" t="s">
        <v>1026</v>
      </c>
      <c r="L1616" s="14">
        <f>24*(TblTimeSheet[[#This Row],[End Date and Time]]-TblTimeSheet[[#This Row],[Start Date and Time]])</f>
        <v>3.4999999998835847</v>
      </c>
      <c r="M16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16">
        <f>--(0&gt;(TblTimeSheet[[#This Row],[End Date and Time]]-TblTimeSheet[[#This Row],[Start Date and Time]]))</f>
        <v>0</v>
      </c>
    </row>
    <row r="1617" spans="1:14" x14ac:dyDescent="0.25">
      <c r="A1617" s="1"/>
      <c r="B1617" s="2" t="s">
        <v>697</v>
      </c>
      <c r="C1617" s="2" t="s">
        <v>116</v>
      </c>
      <c r="D1617" s="2" t="s">
        <v>34</v>
      </c>
      <c r="E1617" s="7" t="s">
        <v>1665</v>
      </c>
      <c r="F1617" s="37">
        <v>42448.375</v>
      </c>
      <c r="G1617" s="37">
        <v>42448.541666666664</v>
      </c>
      <c r="H1617" s="1" t="s">
        <v>6</v>
      </c>
      <c r="I1617" s="1" t="s">
        <v>38</v>
      </c>
      <c r="J1617" s="1">
        <v>42448.643263888887</v>
      </c>
      <c r="K1617" s="1" t="s">
        <v>1026</v>
      </c>
      <c r="L1617" s="14">
        <f>24*(TblTimeSheet[[#This Row],[End Date and Time]]-TblTimeSheet[[#This Row],[Start Date and Time]])</f>
        <v>3.9999999999417923</v>
      </c>
      <c r="M16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17">
        <f>--(0&gt;(TblTimeSheet[[#This Row],[End Date and Time]]-TblTimeSheet[[#This Row],[Start Date and Time]]))</f>
        <v>0</v>
      </c>
    </row>
    <row r="1618" spans="1:14" x14ac:dyDescent="0.25">
      <c r="A1618" s="1"/>
      <c r="B1618" s="2" t="s">
        <v>697</v>
      </c>
      <c r="C1618" s="2" t="s">
        <v>116</v>
      </c>
      <c r="D1618" s="2" t="s">
        <v>34</v>
      </c>
      <c r="E1618" s="7" t="s">
        <v>1666</v>
      </c>
      <c r="F1618" s="37">
        <v>42448.583333333336</v>
      </c>
      <c r="G1618" s="37">
        <v>42448.625</v>
      </c>
      <c r="H1618" s="1" t="s">
        <v>6</v>
      </c>
      <c r="I1618" s="1" t="s">
        <v>38</v>
      </c>
      <c r="J1618" s="1">
        <v>42448.643692129626</v>
      </c>
      <c r="K1618" s="1" t="s">
        <v>1026</v>
      </c>
      <c r="L1618" s="14">
        <f>24*(TblTimeSheet[[#This Row],[End Date and Time]]-TblTimeSheet[[#This Row],[Start Date and Time]])</f>
        <v>0.99999999994179234</v>
      </c>
      <c r="M16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18">
        <f>--(0&gt;(TblTimeSheet[[#This Row],[End Date and Time]]-TblTimeSheet[[#This Row],[Start Date and Time]]))</f>
        <v>0</v>
      </c>
    </row>
    <row r="1619" spans="1:14" x14ac:dyDescent="0.25">
      <c r="A1619" s="1"/>
      <c r="B1619" s="2" t="s">
        <v>697</v>
      </c>
      <c r="C1619" s="2" t="s">
        <v>116</v>
      </c>
      <c r="D1619" s="2" t="s">
        <v>34</v>
      </c>
      <c r="E1619" s="7" t="s">
        <v>1942</v>
      </c>
      <c r="F1619" s="37">
        <v>42448.625</v>
      </c>
      <c r="G1619" s="37">
        <v>42448.638888888891</v>
      </c>
      <c r="H1619" s="1" t="s">
        <v>6</v>
      </c>
      <c r="I1619" s="1" t="s">
        <v>38</v>
      </c>
      <c r="J1619" s="1">
        <v>42448.644050925926</v>
      </c>
      <c r="K1619" s="1" t="s">
        <v>1026</v>
      </c>
      <c r="L1619" s="14">
        <f>24*(TblTimeSheet[[#This Row],[End Date and Time]]-TblTimeSheet[[#This Row],[Start Date and Time]])</f>
        <v>0.33333333337213844</v>
      </c>
      <c r="M16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19">
        <f>--(0&gt;(TblTimeSheet[[#This Row],[End Date and Time]]-TblTimeSheet[[#This Row],[Start Date and Time]]))</f>
        <v>0</v>
      </c>
    </row>
    <row r="1620" spans="1:14" ht="45" x14ac:dyDescent="0.25">
      <c r="A1620" s="1"/>
      <c r="B1620" s="2" t="s">
        <v>697</v>
      </c>
      <c r="C1620" s="2" t="s">
        <v>116</v>
      </c>
      <c r="D1620" s="2" t="s">
        <v>34</v>
      </c>
      <c r="E1620" s="7" t="s">
        <v>1943</v>
      </c>
      <c r="F1620" s="37">
        <v>42448.625</v>
      </c>
      <c r="G1620" s="37">
        <v>42448.638888888891</v>
      </c>
      <c r="H1620" s="1" t="s">
        <v>6</v>
      </c>
      <c r="I1620" s="1" t="s">
        <v>38</v>
      </c>
      <c r="J1620" s="1">
        <v>42448.644861111112</v>
      </c>
      <c r="K1620" s="1" t="s">
        <v>81</v>
      </c>
      <c r="L1620" s="14">
        <f>24*(TblTimeSheet[[#This Row],[End Date and Time]]-TblTimeSheet[[#This Row],[Start Date and Time]])</f>
        <v>0.33333333337213844</v>
      </c>
      <c r="M16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20">
        <f>--(0&gt;(TblTimeSheet[[#This Row],[End Date and Time]]-TblTimeSheet[[#This Row],[Start Date and Time]]))</f>
        <v>0</v>
      </c>
    </row>
    <row r="1621" spans="1:14" x14ac:dyDescent="0.25">
      <c r="A1621" s="1"/>
      <c r="B1621" s="2" t="s">
        <v>697</v>
      </c>
      <c r="C1621" s="2" t="s">
        <v>124</v>
      </c>
      <c r="D1621" s="2" t="s">
        <v>34</v>
      </c>
      <c r="E1621" s="7" t="s">
        <v>1944</v>
      </c>
      <c r="F1621" s="37">
        <v>42447.416666666664</v>
      </c>
      <c r="G1621" s="37">
        <v>42447.4375</v>
      </c>
      <c r="H1621" s="1" t="s">
        <v>6</v>
      </c>
      <c r="I1621" s="1" t="s">
        <v>38</v>
      </c>
      <c r="J1621" s="1">
        <v>42448.650057870371</v>
      </c>
      <c r="K1621" s="1" t="s">
        <v>2863</v>
      </c>
      <c r="L1621" s="14">
        <f>24*(TblTimeSheet[[#This Row],[End Date and Time]]-TblTimeSheet[[#This Row],[Start Date and Time]])</f>
        <v>0.50000000005820766</v>
      </c>
      <c r="M16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1">
        <f>--(0&gt;(TblTimeSheet[[#This Row],[End Date and Time]]-TblTimeSheet[[#This Row],[Start Date and Time]]))</f>
        <v>0</v>
      </c>
    </row>
    <row r="1622" spans="1:14" x14ac:dyDescent="0.25">
      <c r="A1622" s="1"/>
      <c r="B1622" s="2" t="s">
        <v>697</v>
      </c>
      <c r="C1622" s="2" t="s">
        <v>124</v>
      </c>
      <c r="D1622" s="2" t="s">
        <v>34</v>
      </c>
      <c r="E1622" s="7" t="s">
        <v>1719</v>
      </c>
      <c r="F1622" s="37">
        <v>42448.625</v>
      </c>
      <c r="G1622" s="37">
        <v>42448.638888888891</v>
      </c>
      <c r="H1622" s="1" t="s">
        <v>6</v>
      </c>
      <c r="I1622" s="1" t="s">
        <v>38</v>
      </c>
      <c r="J1622" s="1">
        <v>42448.652141203704</v>
      </c>
      <c r="K1622" s="1" t="s">
        <v>2863</v>
      </c>
      <c r="L1622" s="14">
        <f>24*(TblTimeSheet[[#This Row],[End Date and Time]]-TblTimeSheet[[#This Row],[Start Date and Time]])</f>
        <v>0.33333333337213844</v>
      </c>
      <c r="M16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2">
        <f>--(0&gt;(TblTimeSheet[[#This Row],[End Date and Time]]-TblTimeSheet[[#This Row],[Start Date and Time]]))</f>
        <v>0</v>
      </c>
    </row>
    <row r="1623" spans="1:14" x14ac:dyDescent="0.25">
      <c r="A1623" s="1"/>
      <c r="B1623" s="2" t="s">
        <v>915</v>
      </c>
      <c r="C1623" s="2" t="s">
        <v>1117</v>
      </c>
      <c r="D1623" s="2" t="s">
        <v>32</v>
      </c>
      <c r="E1623" s="7" t="s">
        <v>2783</v>
      </c>
      <c r="F1623" s="37">
        <v>42448.583333333336</v>
      </c>
      <c r="G1623" s="37">
        <v>42448.645833333336</v>
      </c>
      <c r="H1623" s="1" t="s">
        <v>6</v>
      </c>
      <c r="I1623" s="1" t="s">
        <v>38</v>
      </c>
      <c r="J1623" s="1">
        <v>42450.498680555553</v>
      </c>
      <c r="K1623" s="1" t="s">
        <v>2865</v>
      </c>
      <c r="L1623" s="14">
        <f>24*(TblTimeSheet[[#This Row],[End Date and Time]]-TblTimeSheet[[#This Row],[Start Date and Time]])</f>
        <v>1.5</v>
      </c>
      <c r="M16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3">
        <f>--(0&gt;(TblTimeSheet[[#This Row],[End Date and Time]]-TblTimeSheet[[#This Row],[Start Date and Time]]))</f>
        <v>0</v>
      </c>
    </row>
    <row r="1624" spans="1:14" x14ac:dyDescent="0.25">
      <c r="A1624" s="1"/>
      <c r="B1624" s="2" t="s">
        <v>911</v>
      </c>
      <c r="C1624" s="2" t="s">
        <v>1117</v>
      </c>
      <c r="D1624" s="2" t="s">
        <v>33</v>
      </c>
      <c r="E1624" s="7" t="s">
        <v>2784</v>
      </c>
      <c r="F1624" s="37">
        <v>42448.375</v>
      </c>
      <c r="G1624" s="37">
        <v>42448.541666666664</v>
      </c>
      <c r="H1624" s="1" t="s">
        <v>6</v>
      </c>
      <c r="I1624" s="1" t="s">
        <v>38</v>
      </c>
      <c r="J1624" s="1">
        <v>42448.736250000002</v>
      </c>
      <c r="K1624" s="1" t="s">
        <v>2865</v>
      </c>
      <c r="L1624" s="14">
        <f>24*(TblTimeSheet[[#This Row],[End Date and Time]]-TblTimeSheet[[#This Row],[Start Date and Time]])</f>
        <v>3.9999999999417923</v>
      </c>
      <c r="M16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4">
        <f>--(0&gt;(TblTimeSheet[[#This Row],[End Date and Time]]-TblTimeSheet[[#This Row],[Start Date and Time]]))</f>
        <v>0</v>
      </c>
    </row>
    <row r="1625" spans="1:14" x14ac:dyDescent="0.25">
      <c r="A1625" s="1"/>
      <c r="B1625" s="2" t="s">
        <v>913</v>
      </c>
      <c r="C1625" s="2" t="s">
        <v>454</v>
      </c>
      <c r="D1625" s="2" t="s">
        <v>34</v>
      </c>
      <c r="E1625" s="7" t="s">
        <v>2785</v>
      </c>
      <c r="F1625" s="37">
        <v>42448.375</v>
      </c>
      <c r="G1625" s="37">
        <v>42448.541666666664</v>
      </c>
      <c r="H1625" s="1" t="s">
        <v>6</v>
      </c>
      <c r="I1625" s="1" t="s">
        <v>38</v>
      </c>
      <c r="J1625" s="1">
        <v>42448.738611111112</v>
      </c>
      <c r="K1625" s="1" t="s">
        <v>454</v>
      </c>
      <c r="L1625" s="14">
        <f>24*(TblTimeSheet[[#This Row],[End Date and Time]]-TblTimeSheet[[#This Row],[Start Date and Time]])</f>
        <v>3.9999999999417923</v>
      </c>
      <c r="M16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5">
        <f>--(0&gt;(TblTimeSheet[[#This Row],[End Date and Time]]-TblTimeSheet[[#This Row],[Start Date and Time]]))</f>
        <v>0</v>
      </c>
    </row>
    <row r="1626" spans="1:14" x14ac:dyDescent="0.25">
      <c r="A1626" s="1"/>
      <c r="B1626" s="2" t="s">
        <v>913</v>
      </c>
      <c r="C1626" s="2" t="s">
        <v>454</v>
      </c>
      <c r="D1626" s="2" t="s">
        <v>34</v>
      </c>
      <c r="E1626" s="7" t="s">
        <v>2786</v>
      </c>
      <c r="F1626" s="37">
        <v>42448.5625</v>
      </c>
      <c r="G1626" s="37">
        <v>42448.635416666664</v>
      </c>
      <c r="H1626" s="1" t="s">
        <v>6</v>
      </c>
      <c r="I1626" s="1" t="s">
        <v>38</v>
      </c>
      <c r="J1626" s="1">
        <v>42448.73914351852</v>
      </c>
      <c r="K1626" s="1" t="s">
        <v>454</v>
      </c>
      <c r="L1626" s="14">
        <f>24*(TblTimeSheet[[#This Row],[End Date and Time]]-TblTimeSheet[[#This Row],[Start Date and Time]])</f>
        <v>1.7499999999417923</v>
      </c>
      <c r="M16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6">
        <f>--(0&gt;(TblTimeSheet[[#This Row],[End Date and Time]]-TblTimeSheet[[#This Row],[Start Date and Time]]))</f>
        <v>0</v>
      </c>
    </row>
    <row r="1627" spans="1:14" x14ac:dyDescent="0.25">
      <c r="A1627" s="1"/>
      <c r="B1627" s="2" t="s">
        <v>913</v>
      </c>
      <c r="C1627" s="2" t="s">
        <v>454</v>
      </c>
      <c r="D1627" s="2" t="s">
        <v>34</v>
      </c>
      <c r="E1627" s="7" t="s">
        <v>2787</v>
      </c>
      <c r="F1627" s="37">
        <v>42448.739583333336</v>
      </c>
      <c r="G1627" s="37">
        <v>42448.760416666664</v>
      </c>
      <c r="H1627" s="1" t="s">
        <v>6</v>
      </c>
      <c r="I1627" s="1" t="s">
        <v>38</v>
      </c>
      <c r="J1627" s="1">
        <v>42450.487175925926</v>
      </c>
      <c r="K1627" s="1" t="s">
        <v>454</v>
      </c>
      <c r="L1627" s="14">
        <f>24*(TblTimeSheet[[#This Row],[End Date and Time]]-TblTimeSheet[[#This Row],[Start Date and Time]])</f>
        <v>0.49999999988358468</v>
      </c>
      <c r="M16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7">
        <f>--(0&gt;(TblTimeSheet[[#This Row],[End Date and Time]]-TblTimeSheet[[#This Row],[Start Date and Time]]))</f>
        <v>0</v>
      </c>
    </row>
    <row r="1628" spans="1:14" x14ac:dyDescent="0.25">
      <c r="A1628" s="1"/>
      <c r="B1628" s="2" t="s">
        <v>915</v>
      </c>
      <c r="C1628" s="2" t="s">
        <v>116</v>
      </c>
      <c r="D1628" s="2" t="s">
        <v>32</v>
      </c>
      <c r="E1628" s="7" t="s">
        <v>2812</v>
      </c>
      <c r="F1628" s="37">
        <v>42448.604166666664</v>
      </c>
      <c r="G1628" s="37">
        <v>42448.625</v>
      </c>
      <c r="H1628" s="1" t="s">
        <v>6</v>
      </c>
      <c r="I1628" s="1" t="s">
        <v>38</v>
      </c>
      <c r="J1628" s="1">
        <v>42448.752303240741</v>
      </c>
      <c r="K1628" s="1" t="s">
        <v>39</v>
      </c>
      <c r="L1628" s="14">
        <f>24*(TblTimeSheet[[#This Row],[End Date and Time]]-TblTimeSheet[[#This Row],[Start Date and Time]])</f>
        <v>0.50000000005820766</v>
      </c>
      <c r="M16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28">
        <f>--(0&gt;(TblTimeSheet[[#This Row],[End Date and Time]]-TblTimeSheet[[#This Row],[Start Date and Time]]))</f>
        <v>0</v>
      </c>
    </row>
    <row r="1629" spans="1:14" x14ac:dyDescent="0.25">
      <c r="A1629" s="1"/>
      <c r="B1629" s="2" t="s">
        <v>913</v>
      </c>
      <c r="C1629" s="2" t="s">
        <v>116</v>
      </c>
      <c r="D1629" s="2" t="s">
        <v>34</v>
      </c>
      <c r="E1629" s="7" t="s">
        <v>2813</v>
      </c>
      <c r="F1629" s="37">
        <v>42448.739583333336</v>
      </c>
      <c r="G1629" s="37">
        <v>42448.760416666664</v>
      </c>
      <c r="H1629" s="1" t="s">
        <v>6</v>
      </c>
      <c r="I1629" s="1" t="s">
        <v>38</v>
      </c>
      <c r="J1629" s="1">
        <v>42448.760983796295</v>
      </c>
      <c r="K1629" s="1" t="s">
        <v>39</v>
      </c>
      <c r="L1629" s="14">
        <f>24*(TblTimeSheet[[#This Row],[End Date and Time]]-TblTimeSheet[[#This Row],[Start Date and Time]])</f>
        <v>0.49999999988358468</v>
      </c>
      <c r="M16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29">
        <f>--(0&gt;(TblTimeSheet[[#This Row],[End Date and Time]]-TblTimeSheet[[#This Row],[Start Date and Time]]))</f>
        <v>0</v>
      </c>
    </row>
    <row r="1630" spans="1:14" x14ac:dyDescent="0.25">
      <c r="A1630" s="1"/>
      <c r="B1630" s="2" t="s">
        <v>913</v>
      </c>
      <c r="C1630" s="2" t="s">
        <v>118</v>
      </c>
      <c r="D1630" s="2" t="s">
        <v>34</v>
      </c>
      <c r="E1630" s="7" t="s">
        <v>2788</v>
      </c>
      <c r="F1630" s="37">
        <v>42448.739583333336</v>
      </c>
      <c r="G1630" s="37">
        <v>42448.760416666664</v>
      </c>
      <c r="H1630" s="1" t="s">
        <v>6</v>
      </c>
      <c r="I1630" s="1" t="s">
        <v>38</v>
      </c>
      <c r="J1630" s="1">
        <v>42450.380208333336</v>
      </c>
      <c r="K1630" s="1" t="s">
        <v>118</v>
      </c>
      <c r="L1630" s="14">
        <f>24*(TblTimeSheet[[#This Row],[End Date and Time]]-TblTimeSheet[[#This Row],[Start Date and Time]])</f>
        <v>0.49999999988358468</v>
      </c>
      <c r="M16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0">
        <f>--(0&gt;(TblTimeSheet[[#This Row],[End Date and Time]]-TblTimeSheet[[#This Row],[Start Date and Time]]))</f>
        <v>0</v>
      </c>
    </row>
    <row r="1631" spans="1:14" ht="45" x14ac:dyDescent="0.25">
      <c r="A1631" s="1"/>
      <c r="B1631" s="2" t="s">
        <v>913</v>
      </c>
      <c r="C1631" s="2" t="s">
        <v>1105</v>
      </c>
      <c r="D1631" s="2" t="s">
        <v>34</v>
      </c>
      <c r="E1631" s="7" t="s">
        <v>2814</v>
      </c>
      <c r="F1631" s="37">
        <v>42448.739583333336</v>
      </c>
      <c r="G1631" s="37">
        <v>42448.760416666664</v>
      </c>
      <c r="H1631" s="1" t="s">
        <v>6</v>
      </c>
      <c r="I1631" s="1" t="s">
        <v>38</v>
      </c>
      <c r="J1631" s="1">
        <v>42450.381099537037</v>
      </c>
      <c r="K1631" s="1" t="s">
        <v>2864</v>
      </c>
      <c r="L1631" s="14">
        <f>24*(TblTimeSheet[[#This Row],[End Date and Time]]-TblTimeSheet[[#This Row],[Start Date and Time]])</f>
        <v>0.49999999988358468</v>
      </c>
      <c r="M16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1">
        <f>--(0&gt;(TblTimeSheet[[#This Row],[End Date and Time]]-TblTimeSheet[[#This Row],[Start Date and Time]]))</f>
        <v>0</v>
      </c>
    </row>
    <row r="1632" spans="1:14" x14ac:dyDescent="0.25">
      <c r="A1632" s="1"/>
      <c r="B1632" s="2" t="s">
        <v>915</v>
      </c>
      <c r="C1632" s="2" t="s">
        <v>118</v>
      </c>
      <c r="D1632" s="2" t="s">
        <v>32</v>
      </c>
      <c r="E1632" s="7" t="s">
        <v>2789</v>
      </c>
      <c r="F1632" s="37">
        <v>42448.375</v>
      </c>
      <c r="G1632" s="37">
        <v>42448.541666666664</v>
      </c>
      <c r="H1632" s="1" t="s">
        <v>6</v>
      </c>
      <c r="I1632" s="1" t="s">
        <v>38</v>
      </c>
      <c r="J1632" s="1">
        <v>42450.389490740738</v>
      </c>
      <c r="K1632" s="1" t="s">
        <v>118</v>
      </c>
      <c r="L1632" s="14">
        <f>24*(TblTimeSheet[[#This Row],[End Date and Time]]-TblTimeSheet[[#This Row],[Start Date and Time]])</f>
        <v>3.9999999999417923</v>
      </c>
      <c r="M16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2">
        <f>--(0&gt;(TblTimeSheet[[#This Row],[End Date and Time]]-TblTimeSheet[[#This Row],[Start Date and Time]]))</f>
        <v>0</v>
      </c>
    </row>
    <row r="1633" spans="1:14" x14ac:dyDescent="0.25">
      <c r="A1633" s="1"/>
      <c r="B1633" s="2" t="s">
        <v>915</v>
      </c>
      <c r="C1633" s="2" t="s">
        <v>118</v>
      </c>
      <c r="D1633" s="2" t="s">
        <v>32</v>
      </c>
      <c r="E1633" s="7" t="s">
        <v>2790</v>
      </c>
      <c r="F1633" s="37">
        <v>42448.583333333336</v>
      </c>
      <c r="G1633" s="37">
        <v>42448.625</v>
      </c>
      <c r="H1633" s="1" t="s">
        <v>6</v>
      </c>
      <c r="I1633" s="1" t="s">
        <v>38</v>
      </c>
      <c r="J1633" s="1">
        <v>42451.485833333332</v>
      </c>
      <c r="K1633" s="1" t="s">
        <v>118</v>
      </c>
      <c r="L1633" s="14">
        <f>24*(TblTimeSheet[[#This Row],[End Date and Time]]-TblTimeSheet[[#This Row],[Start Date and Time]])</f>
        <v>0.99999999994179234</v>
      </c>
      <c r="M16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3">
        <f>--(0&gt;(TblTimeSheet[[#This Row],[End Date and Time]]-TblTimeSheet[[#This Row],[Start Date and Time]]))</f>
        <v>0</v>
      </c>
    </row>
    <row r="1634" spans="1:14" x14ac:dyDescent="0.25">
      <c r="A1634" s="1"/>
      <c r="B1634" s="2" t="s">
        <v>697</v>
      </c>
      <c r="C1634" s="2" t="s">
        <v>118</v>
      </c>
      <c r="D1634" s="2" t="s">
        <v>34</v>
      </c>
      <c r="E1634" s="7" t="s">
        <v>2791</v>
      </c>
      <c r="F1634" s="37">
        <v>42448.625</v>
      </c>
      <c r="G1634" s="37">
        <v>42448.638888888891</v>
      </c>
      <c r="H1634" s="1" t="s">
        <v>6</v>
      </c>
      <c r="I1634" s="1" t="s">
        <v>38</v>
      </c>
      <c r="J1634" s="1">
        <v>42450.476574074077</v>
      </c>
      <c r="K1634" s="1" t="s">
        <v>118</v>
      </c>
      <c r="L1634" s="14">
        <f>24*(TblTimeSheet[[#This Row],[End Date and Time]]-TblTimeSheet[[#This Row],[Start Date and Time]])</f>
        <v>0.33333333337213844</v>
      </c>
      <c r="M16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4">
        <f>--(0&gt;(TblTimeSheet[[#This Row],[End Date and Time]]-TblTimeSheet[[#This Row],[Start Date and Time]]))</f>
        <v>0</v>
      </c>
    </row>
    <row r="1635" spans="1:14" x14ac:dyDescent="0.25">
      <c r="A1635" s="1"/>
      <c r="B1635" s="2" t="s">
        <v>913</v>
      </c>
      <c r="C1635" s="2" t="s">
        <v>36</v>
      </c>
      <c r="D1635" s="2" t="s">
        <v>34</v>
      </c>
      <c r="E1635" s="7" t="s">
        <v>2815</v>
      </c>
      <c r="F1635" s="37">
        <v>42448.739583333336</v>
      </c>
      <c r="G1635" s="37">
        <v>42448.760416666664</v>
      </c>
      <c r="H1635" s="1" t="s">
        <v>6</v>
      </c>
      <c r="I1635" s="1" t="s">
        <v>38</v>
      </c>
      <c r="J1635" s="1">
        <v>42450.485833333332</v>
      </c>
      <c r="K1635" s="1" t="s">
        <v>36</v>
      </c>
      <c r="L1635" s="14">
        <f>24*(TblTimeSheet[[#This Row],[End Date and Time]]-TblTimeSheet[[#This Row],[Start Date and Time]])</f>
        <v>0.49999999988358468</v>
      </c>
      <c r="M16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5">
        <f>--(0&gt;(TblTimeSheet[[#This Row],[End Date and Time]]-TblTimeSheet[[#This Row],[Start Date and Time]]))</f>
        <v>0</v>
      </c>
    </row>
    <row r="1636" spans="1:14" x14ac:dyDescent="0.25">
      <c r="A1636" s="1"/>
      <c r="B1636" s="2" t="s">
        <v>913</v>
      </c>
      <c r="C1636" s="2" t="s">
        <v>171</v>
      </c>
      <c r="D1636" s="2" t="s">
        <v>34</v>
      </c>
      <c r="E1636" s="7" t="s">
        <v>715</v>
      </c>
      <c r="F1636" s="37">
        <v>42448.739583333336</v>
      </c>
      <c r="G1636" s="37">
        <v>42448.760416666664</v>
      </c>
      <c r="H1636" s="1" t="s">
        <v>6</v>
      </c>
      <c r="I1636" s="1" t="s">
        <v>38</v>
      </c>
      <c r="J1636" s="1">
        <v>42450.486342592594</v>
      </c>
      <c r="K1636" s="1" t="s">
        <v>171</v>
      </c>
      <c r="L1636" s="14">
        <f>24*(TblTimeSheet[[#This Row],[End Date and Time]]-TblTimeSheet[[#This Row],[Start Date and Time]])</f>
        <v>0.49999999988358468</v>
      </c>
      <c r="M16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6">
        <f>--(0&gt;(TblTimeSheet[[#This Row],[End Date and Time]]-TblTimeSheet[[#This Row],[Start Date and Time]]))</f>
        <v>0</v>
      </c>
    </row>
    <row r="1637" spans="1:14" x14ac:dyDescent="0.25">
      <c r="A1637" s="1"/>
      <c r="B1637" s="2" t="s">
        <v>913</v>
      </c>
      <c r="C1637" s="2" t="s">
        <v>36</v>
      </c>
      <c r="D1637" s="2" t="s">
        <v>34</v>
      </c>
      <c r="E1637" s="7" t="s">
        <v>2792</v>
      </c>
      <c r="F1637" s="37">
        <v>42450.475694444445</v>
      </c>
      <c r="G1637" s="37">
        <v>42450.496527777781</v>
      </c>
      <c r="H1637" s="1" t="s">
        <v>6</v>
      </c>
      <c r="I1637" s="1" t="s">
        <v>38</v>
      </c>
      <c r="J1637" s="1">
        <v>42450.495243055557</v>
      </c>
      <c r="K1637" s="1" t="s">
        <v>36</v>
      </c>
      <c r="L1637" s="14">
        <f>24*(TblTimeSheet[[#This Row],[End Date and Time]]-TblTimeSheet[[#This Row],[Start Date and Time]])</f>
        <v>0.50000000005820766</v>
      </c>
      <c r="M16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7">
        <f>--(0&gt;(TblTimeSheet[[#This Row],[End Date and Time]]-TblTimeSheet[[#This Row],[Start Date and Time]]))</f>
        <v>0</v>
      </c>
    </row>
    <row r="1638" spans="1:14" x14ac:dyDescent="0.25">
      <c r="A1638" s="1"/>
      <c r="B1638" s="2" t="s">
        <v>911</v>
      </c>
      <c r="C1638" s="2" t="s">
        <v>1117</v>
      </c>
      <c r="D1638" s="2" t="s">
        <v>32</v>
      </c>
      <c r="E1638" s="7" t="s">
        <v>1402</v>
      </c>
      <c r="F1638" s="37">
        <v>42433.6875</v>
      </c>
      <c r="G1638" s="37">
        <v>42433.75</v>
      </c>
      <c r="H1638" s="1" t="s">
        <v>6</v>
      </c>
      <c r="I1638" s="1" t="s">
        <v>38</v>
      </c>
      <c r="J1638" s="1">
        <v>42450.496759259258</v>
      </c>
      <c r="K1638" s="1" t="s">
        <v>2865</v>
      </c>
      <c r="L1638" s="14">
        <f>24*(TblTimeSheet[[#This Row],[End Date and Time]]-TblTimeSheet[[#This Row],[Start Date and Time]])</f>
        <v>1.5</v>
      </c>
      <c r="M16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8">
        <f>--(0&gt;(TblTimeSheet[[#This Row],[End Date and Time]]-TblTimeSheet[[#This Row],[Start Date and Time]]))</f>
        <v>0</v>
      </c>
    </row>
    <row r="1639" spans="1:14" x14ac:dyDescent="0.25">
      <c r="A1639" s="1"/>
      <c r="B1639" s="2" t="s">
        <v>915</v>
      </c>
      <c r="C1639" s="2" t="s">
        <v>176</v>
      </c>
      <c r="D1639" s="2" t="s">
        <v>32</v>
      </c>
      <c r="E1639" s="7" t="s">
        <v>2793</v>
      </c>
      <c r="F1639" s="37">
        <v>42450.5</v>
      </c>
      <c r="G1639" s="37">
        <v>42450.510416666664</v>
      </c>
      <c r="H1639" s="1" t="s">
        <v>6</v>
      </c>
      <c r="I1639" s="1" t="s">
        <v>38</v>
      </c>
      <c r="J1639" s="1">
        <v>42450.510416666664</v>
      </c>
      <c r="K1639" s="1" t="s">
        <v>176</v>
      </c>
      <c r="L1639" s="14">
        <f>24*(TblTimeSheet[[#This Row],[End Date and Time]]-TblTimeSheet[[#This Row],[Start Date and Time]])</f>
        <v>0.24999999994179234</v>
      </c>
      <c r="M16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39">
        <f>--(0&gt;(TblTimeSheet[[#This Row],[End Date and Time]]-TblTimeSheet[[#This Row],[Start Date and Time]]))</f>
        <v>0</v>
      </c>
    </row>
    <row r="1640" spans="1:14" x14ac:dyDescent="0.25">
      <c r="A1640" s="1"/>
      <c r="B1640" s="2" t="s">
        <v>915</v>
      </c>
      <c r="C1640" s="2" t="s">
        <v>1117</v>
      </c>
      <c r="D1640" s="2" t="s">
        <v>32</v>
      </c>
      <c r="E1640" s="7" t="s">
        <v>2816</v>
      </c>
      <c r="F1640" s="37">
        <v>42450.5</v>
      </c>
      <c r="G1640" s="37">
        <v>42450.510416666664</v>
      </c>
      <c r="H1640" s="1" t="s">
        <v>6</v>
      </c>
      <c r="I1640" s="1" t="s">
        <v>38</v>
      </c>
      <c r="J1640" s="1">
        <v>42450.510578703703</v>
      </c>
      <c r="K1640" s="1" t="s">
        <v>2865</v>
      </c>
      <c r="L1640" s="14">
        <f>24*(TblTimeSheet[[#This Row],[End Date and Time]]-TblTimeSheet[[#This Row],[Start Date and Time]])</f>
        <v>0.24999999994179234</v>
      </c>
      <c r="M16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0">
        <f>--(0&gt;(TblTimeSheet[[#This Row],[End Date and Time]]-TblTimeSheet[[#This Row],[Start Date and Time]]))</f>
        <v>0</v>
      </c>
    </row>
    <row r="1641" spans="1:14" x14ac:dyDescent="0.25">
      <c r="A1641" s="1"/>
      <c r="B1641" s="2" t="s">
        <v>915</v>
      </c>
      <c r="C1641" s="2" t="s">
        <v>116</v>
      </c>
      <c r="D1641" s="2" t="s">
        <v>32</v>
      </c>
      <c r="E1641" s="7" t="s">
        <v>2817</v>
      </c>
      <c r="F1641" s="37">
        <v>42450.5</v>
      </c>
      <c r="G1641" s="37">
        <v>42450.510416666664</v>
      </c>
      <c r="H1641" s="1" t="s">
        <v>6</v>
      </c>
      <c r="I1641" s="1" t="s">
        <v>38</v>
      </c>
      <c r="J1641" s="1">
        <v>42450.511203703703</v>
      </c>
      <c r="K1641" s="1" t="s">
        <v>701</v>
      </c>
      <c r="L1641" s="14">
        <f>24*(TblTimeSheet[[#This Row],[End Date and Time]]-TblTimeSheet[[#This Row],[Start Date and Time]])</f>
        <v>0.24999999994179234</v>
      </c>
      <c r="M16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41">
        <f>--(0&gt;(TblTimeSheet[[#This Row],[End Date and Time]]-TblTimeSheet[[#This Row],[Start Date and Time]]))</f>
        <v>0</v>
      </c>
    </row>
    <row r="1642" spans="1:14" x14ac:dyDescent="0.25">
      <c r="A1642" s="1"/>
      <c r="B1642" s="2" t="s">
        <v>915</v>
      </c>
      <c r="C1642" s="2" t="s">
        <v>118</v>
      </c>
      <c r="D1642" s="2" t="s">
        <v>32</v>
      </c>
      <c r="E1642" s="7" t="s">
        <v>2818</v>
      </c>
      <c r="F1642" s="37">
        <v>42450.5</v>
      </c>
      <c r="G1642" s="37">
        <v>42450.510416666664</v>
      </c>
      <c r="H1642" s="1" t="s">
        <v>6</v>
      </c>
      <c r="I1642" s="1" t="s">
        <v>38</v>
      </c>
      <c r="J1642" s="1">
        <v>42450.513333333336</v>
      </c>
      <c r="K1642" s="1" t="s">
        <v>118</v>
      </c>
      <c r="L1642" s="14">
        <f>24*(TblTimeSheet[[#This Row],[End Date and Time]]-TblTimeSheet[[#This Row],[Start Date and Time]])</f>
        <v>0.24999999994179234</v>
      </c>
      <c r="M16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2">
        <f>--(0&gt;(TblTimeSheet[[#This Row],[End Date and Time]]-TblTimeSheet[[#This Row],[Start Date and Time]]))</f>
        <v>0</v>
      </c>
    </row>
    <row r="1643" spans="1:14" ht="60" x14ac:dyDescent="0.25">
      <c r="A1643" s="1"/>
      <c r="B1643" s="2" t="s">
        <v>915</v>
      </c>
      <c r="C1643" s="2" t="s">
        <v>116</v>
      </c>
      <c r="D1643" s="2" t="s">
        <v>32</v>
      </c>
      <c r="E1643" s="7" t="s">
        <v>2819</v>
      </c>
      <c r="F1643" s="37">
        <v>42450.5</v>
      </c>
      <c r="G1643" s="37">
        <v>42450.510416666664</v>
      </c>
      <c r="H1643" s="1" t="s">
        <v>6</v>
      </c>
      <c r="I1643" s="1" t="s">
        <v>38</v>
      </c>
      <c r="J1643" s="1">
        <v>42450.5159375</v>
      </c>
      <c r="K1643" s="1" t="s">
        <v>81</v>
      </c>
      <c r="L1643" s="14">
        <f>24*(TblTimeSheet[[#This Row],[End Date and Time]]-TblTimeSheet[[#This Row],[Start Date and Time]])</f>
        <v>0.24999999994179234</v>
      </c>
      <c r="M16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43">
        <f>--(0&gt;(TblTimeSheet[[#This Row],[End Date and Time]]-TblTimeSheet[[#This Row],[Start Date and Time]]))</f>
        <v>0</v>
      </c>
    </row>
    <row r="1644" spans="1:14" ht="30" x14ac:dyDescent="0.25">
      <c r="A1644" s="1"/>
      <c r="B1644" s="2" t="s">
        <v>915</v>
      </c>
      <c r="C1644" s="2" t="s">
        <v>116</v>
      </c>
      <c r="D1644" s="2" t="s">
        <v>32</v>
      </c>
      <c r="E1644" s="7" t="s">
        <v>2820</v>
      </c>
      <c r="F1644" s="37">
        <v>42450.5</v>
      </c>
      <c r="G1644" s="37">
        <v>42450.510416666664</v>
      </c>
      <c r="H1644" s="1" t="s">
        <v>6</v>
      </c>
      <c r="I1644" s="1" t="s">
        <v>38</v>
      </c>
      <c r="J1644" s="1">
        <v>42450.520740740743</v>
      </c>
      <c r="K1644" s="1" t="s">
        <v>39</v>
      </c>
      <c r="L1644" s="14">
        <f>24*(TblTimeSheet[[#This Row],[End Date and Time]]-TblTimeSheet[[#This Row],[Start Date and Time]])</f>
        <v>0.24999999994179234</v>
      </c>
      <c r="M16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44">
        <f>--(0&gt;(TblTimeSheet[[#This Row],[End Date and Time]]-TblTimeSheet[[#This Row],[Start Date and Time]]))</f>
        <v>0</v>
      </c>
    </row>
    <row r="1645" spans="1:14" x14ac:dyDescent="0.25">
      <c r="A1645" s="1"/>
      <c r="B1645" s="2" t="s">
        <v>913</v>
      </c>
      <c r="C1645" s="2" t="s">
        <v>454</v>
      </c>
      <c r="D1645" s="2" t="s">
        <v>34</v>
      </c>
      <c r="E1645" s="7" t="s">
        <v>2794</v>
      </c>
      <c r="F1645" s="37">
        <v>42450.493055555555</v>
      </c>
      <c r="G1645" s="37">
        <v>42450.513888888891</v>
      </c>
      <c r="H1645" s="1" t="s">
        <v>6</v>
      </c>
      <c r="I1645" s="1" t="s">
        <v>38</v>
      </c>
      <c r="J1645" s="1">
        <v>42450.557800925926</v>
      </c>
      <c r="K1645" s="1" t="s">
        <v>454</v>
      </c>
      <c r="L1645" s="14">
        <f>24*(TblTimeSheet[[#This Row],[End Date and Time]]-TblTimeSheet[[#This Row],[Start Date and Time]])</f>
        <v>0.50000000005820766</v>
      </c>
      <c r="M16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5">
        <f>--(0&gt;(TblTimeSheet[[#This Row],[End Date and Time]]-TblTimeSheet[[#This Row],[Start Date and Time]]))</f>
        <v>0</v>
      </c>
    </row>
    <row r="1646" spans="1:14" ht="30" x14ac:dyDescent="0.25">
      <c r="A1646" s="1"/>
      <c r="B1646" s="2" t="s">
        <v>911</v>
      </c>
      <c r="C1646" s="2" t="s">
        <v>144</v>
      </c>
      <c r="D1646" s="2" t="s">
        <v>34</v>
      </c>
      <c r="E1646" s="7" t="s">
        <v>2821</v>
      </c>
      <c r="F1646" s="37">
        <v>42450.385416666664</v>
      </c>
      <c r="G1646" s="37">
        <v>42450.541666666664</v>
      </c>
      <c r="H1646" s="1" t="s">
        <v>6</v>
      </c>
      <c r="I1646" s="1" t="s">
        <v>38</v>
      </c>
      <c r="J1646" s="1">
        <v>42450.576597222222</v>
      </c>
      <c r="K1646" s="1" t="s">
        <v>144</v>
      </c>
      <c r="L1646" s="14">
        <f>24*(TblTimeSheet[[#This Row],[End Date and Time]]-TblTimeSheet[[#This Row],[Start Date and Time]])</f>
        <v>3.75</v>
      </c>
      <c r="M16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6">
        <f>--(0&gt;(TblTimeSheet[[#This Row],[End Date and Time]]-TblTimeSheet[[#This Row],[Start Date and Time]]))</f>
        <v>0</v>
      </c>
    </row>
    <row r="1647" spans="1:14" x14ac:dyDescent="0.25">
      <c r="A1647" s="1"/>
      <c r="B1647" s="2" t="s">
        <v>915</v>
      </c>
      <c r="C1647" s="2" t="s">
        <v>116</v>
      </c>
      <c r="D1647" s="2" t="s">
        <v>32</v>
      </c>
      <c r="E1647" s="7" t="s">
        <v>2795</v>
      </c>
      <c r="F1647" s="37">
        <v>42450.520833333336</v>
      </c>
      <c r="G1647" s="37">
        <v>42450.541666666664</v>
      </c>
      <c r="H1647" s="1" t="s">
        <v>6</v>
      </c>
      <c r="I1647" s="1" t="s">
        <v>38</v>
      </c>
      <c r="J1647" s="1">
        <v>42450.6093287037</v>
      </c>
      <c r="K1647" s="1" t="s">
        <v>39</v>
      </c>
      <c r="L1647" s="14">
        <f>24*(TblTimeSheet[[#This Row],[End Date and Time]]-TblTimeSheet[[#This Row],[Start Date and Time]])</f>
        <v>0.49999999988358468</v>
      </c>
      <c r="M16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47">
        <f>--(0&gt;(TblTimeSheet[[#This Row],[End Date and Time]]-TblTimeSheet[[#This Row],[Start Date and Time]]))</f>
        <v>0</v>
      </c>
    </row>
    <row r="1648" spans="1:14" x14ac:dyDescent="0.25">
      <c r="A1648" s="1"/>
      <c r="B1648" s="2" t="s">
        <v>915</v>
      </c>
      <c r="C1648" s="2" t="s">
        <v>1469</v>
      </c>
      <c r="D1648" s="2" t="s">
        <v>32</v>
      </c>
      <c r="E1648" s="7" t="s">
        <v>2822</v>
      </c>
      <c r="F1648" s="37">
        <v>42450.520833333336</v>
      </c>
      <c r="G1648" s="37">
        <v>42450.541666666664</v>
      </c>
      <c r="H1648" s="1" t="s">
        <v>6</v>
      </c>
      <c r="I1648" s="1" t="s">
        <v>38</v>
      </c>
      <c r="J1648" s="1">
        <v>42450.618715277778</v>
      </c>
      <c r="K1648" s="1" t="s">
        <v>1469</v>
      </c>
      <c r="L1648" s="14">
        <f>24*(TblTimeSheet[[#This Row],[End Date and Time]]-TblTimeSheet[[#This Row],[Start Date and Time]])</f>
        <v>0.49999999988358468</v>
      </c>
      <c r="M16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8">
        <f>--(0&gt;(TblTimeSheet[[#This Row],[End Date and Time]]-TblTimeSheet[[#This Row],[Start Date and Time]]))</f>
        <v>0</v>
      </c>
    </row>
    <row r="1649" spans="1:14" x14ac:dyDescent="0.25">
      <c r="A1649" s="1"/>
      <c r="B1649" s="2" t="s">
        <v>911</v>
      </c>
      <c r="C1649" s="2" t="s">
        <v>1117</v>
      </c>
      <c r="D1649" s="2" t="s">
        <v>33</v>
      </c>
      <c r="E1649" s="7" t="s">
        <v>2796</v>
      </c>
      <c r="F1649" s="37">
        <v>42450.375</v>
      </c>
      <c r="G1649" s="37">
        <v>42450.5</v>
      </c>
      <c r="H1649" s="1" t="s">
        <v>6</v>
      </c>
      <c r="I1649" s="1" t="s">
        <v>38</v>
      </c>
      <c r="J1649" s="1">
        <v>42450.620023148149</v>
      </c>
      <c r="K1649" s="1" t="s">
        <v>2865</v>
      </c>
      <c r="L1649" s="14">
        <f>24*(TblTimeSheet[[#This Row],[End Date and Time]]-TblTimeSheet[[#This Row],[Start Date and Time]])</f>
        <v>3</v>
      </c>
      <c r="M16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49">
        <f>--(0&gt;(TblTimeSheet[[#This Row],[End Date and Time]]-TblTimeSheet[[#This Row],[Start Date and Time]]))</f>
        <v>0</v>
      </c>
    </row>
    <row r="1650" spans="1:14" x14ac:dyDescent="0.25">
      <c r="A1650" s="1"/>
      <c r="B1650" s="2" t="s">
        <v>913</v>
      </c>
      <c r="C1650" s="2" t="s">
        <v>36</v>
      </c>
      <c r="D1650" s="2" t="s">
        <v>34</v>
      </c>
      <c r="E1650" s="7" t="s">
        <v>2797</v>
      </c>
      <c r="F1650" s="37">
        <v>42450.618055555555</v>
      </c>
      <c r="G1650" s="37">
        <v>42450.652777777781</v>
      </c>
      <c r="H1650" s="1" t="s">
        <v>6</v>
      </c>
      <c r="I1650" s="1" t="s">
        <v>38</v>
      </c>
      <c r="J1650" s="1">
        <v>42450.656157407408</v>
      </c>
      <c r="K1650" s="1" t="s">
        <v>36</v>
      </c>
      <c r="L1650" s="14">
        <f>24*(TblTimeSheet[[#This Row],[End Date and Time]]-TblTimeSheet[[#This Row],[Start Date and Time]])</f>
        <v>0.8333333334303461</v>
      </c>
      <c r="M16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0">
        <f>--(0&gt;(TblTimeSheet[[#This Row],[End Date and Time]]-TblTimeSheet[[#This Row],[Start Date and Time]]))</f>
        <v>0</v>
      </c>
    </row>
    <row r="1651" spans="1:14" x14ac:dyDescent="0.25">
      <c r="A1651" s="1"/>
      <c r="B1651" s="2" t="s">
        <v>913</v>
      </c>
      <c r="C1651" s="2" t="s">
        <v>1105</v>
      </c>
      <c r="D1651" s="2" t="s">
        <v>34</v>
      </c>
      <c r="E1651" s="7" t="s">
        <v>2823</v>
      </c>
      <c r="F1651" s="37">
        <v>42450.618055555555</v>
      </c>
      <c r="G1651" s="37">
        <v>42450.652777777781</v>
      </c>
      <c r="H1651" s="1" t="s">
        <v>6</v>
      </c>
      <c r="I1651" s="1" t="s">
        <v>38</v>
      </c>
      <c r="J1651" s="1">
        <v>42450.683657407404</v>
      </c>
      <c r="K1651" s="1" t="s">
        <v>2864</v>
      </c>
      <c r="L1651" s="14">
        <f>24*(TblTimeSheet[[#This Row],[End Date and Time]]-TblTimeSheet[[#This Row],[Start Date and Time]])</f>
        <v>0.8333333334303461</v>
      </c>
      <c r="M16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1">
        <f>--(0&gt;(TblTimeSheet[[#This Row],[End Date and Time]]-TblTimeSheet[[#This Row],[Start Date and Time]]))</f>
        <v>0</v>
      </c>
    </row>
    <row r="1652" spans="1:14" x14ac:dyDescent="0.25">
      <c r="A1652" s="1"/>
      <c r="B1652" s="2" t="s">
        <v>913</v>
      </c>
      <c r="C1652" s="2" t="s">
        <v>171</v>
      </c>
      <c r="D1652" s="2" t="s">
        <v>34</v>
      </c>
      <c r="E1652" s="7" t="s">
        <v>2824</v>
      </c>
      <c r="F1652" s="37">
        <v>42450.684027777781</v>
      </c>
      <c r="G1652" s="37">
        <v>42450.690972222219</v>
      </c>
      <c r="H1652" s="1" t="s">
        <v>6</v>
      </c>
      <c r="I1652" s="1" t="s">
        <v>38</v>
      </c>
      <c r="J1652" s="1">
        <v>42450.698692129627</v>
      </c>
      <c r="K1652" s="1" t="s">
        <v>171</v>
      </c>
      <c r="L1652" s="14">
        <f>24*(TblTimeSheet[[#This Row],[End Date and Time]]-TblTimeSheet[[#This Row],[Start Date and Time]])</f>
        <v>0.16666666651144624</v>
      </c>
      <c r="M16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2">
        <f>--(0&gt;(TblTimeSheet[[#This Row],[End Date and Time]]-TblTimeSheet[[#This Row],[Start Date and Time]]))</f>
        <v>0</v>
      </c>
    </row>
    <row r="1653" spans="1:14" x14ac:dyDescent="0.25">
      <c r="A1653" s="1"/>
      <c r="B1653" s="2" t="s">
        <v>913</v>
      </c>
      <c r="C1653" s="2" t="s">
        <v>454</v>
      </c>
      <c r="D1653" s="2" t="s">
        <v>34</v>
      </c>
      <c r="E1653" s="7" t="s">
        <v>2798</v>
      </c>
      <c r="F1653" s="37">
        <v>42450.684027777781</v>
      </c>
      <c r="G1653" s="37">
        <v>42450.701388888891</v>
      </c>
      <c r="H1653" s="1" t="s">
        <v>6</v>
      </c>
      <c r="I1653" s="1" t="s">
        <v>38</v>
      </c>
      <c r="J1653" s="1">
        <v>42450.703333333331</v>
      </c>
      <c r="K1653" s="1" t="s">
        <v>454</v>
      </c>
      <c r="L1653" s="14">
        <f>24*(TblTimeSheet[[#This Row],[End Date and Time]]-TblTimeSheet[[#This Row],[Start Date and Time]])</f>
        <v>0.41666666662786156</v>
      </c>
      <c r="M16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3">
        <f>--(0&gt;(TblTimeSheet[[#This Row],[End Date and Time]]-TblTimeSheet[[#This Row],[Start Date and Time]]))</f>
        <v>0</v>
      </c>
    </row>
    <row r="1654" spans="1:14" x14ac:dyDescent="0.25">
      <c r="A1654" s="1"/>
      <c r="B1654" s="2" t="s">
        <v>913</v>
      </c>
      <c r="C1654" s="2" t="s">
        <v>36</v>
      </c>
      <c r="D1654" s="2" t="s">
        <v>34</v>
      </c>
      <c r="E1654" s="7" t="s">
        <v>2799</v>
      </c>
      <c r="F1654" s="37">
        <v>42450.680555555555</v>
      </c>
      <c r="G1654" s="37">
        <v>42450.690972222219</v>
      </c>
      <c r="H1654" s="1" t="s">
        <v>6</v>
      </c>
      <c r="I1654" s="1" t="s">
        <v>38</v>
      </c>
      <c r="J1654" s="1">
        <v>42450.708981481483</v>
      </c>
      <c r="K1654" s="1" t="s">
        <v>36</v>
      </c>
      <c r="L1654" s="14">
        <f>24*(TblTimeSheet[[#This Row],[End Date and Time]]-TblTimeSheet[[#This Row],[Start Date and Time]])</f>
        <v>0.24999999994179234</v>
      </c>
      <c r="M16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4">
        <f>--(0&gt;(TblTimeSheet[[#This Row],[End Date and Time]]-TblTimeSheet[[#This Row],[Start Date and Time]]))</f>
        <v>0</v>
      </c>
    </row>
    <row r="1655" spans="1:14" ht="30" x14ac:dyDescent="0.25">
      <c r="A1655" s="1"/>
      <c r="B1655" s="2" t="s">
        <v>911</v>
      </c>
      <c r="C1655" s="2" t="s">
        <v>1117</v>
      </c>
      <c r="D1655" s="2" t="s">
        <v>33</v>
      </c>
      <c r="E1655" s="7" t="s">
        <v>2800</v>
      </c>
      <c r="F1655" s="37">
        <v>42450.520833333336</v>
      </c>
      <c r="G1655" s="37">
        <v>42450.541666666664</v>
      </c>
      <c r="H1655" s="1" t="s">
        <v>6</v>
      </c>
      <c r="I1655" s="1" t="s">
        <v>38</v>
      </c>
      <c r="J1655" s="1">
        <v>42450.723182870373</v>
      </c>
      <c r="K1655" s="1" t="s">
        <v>2865</v>
      </c>
      <c r="L1655" s="14">
        <f>24*(TblTimeSheet[[#This Row],[End Date and Time]]-TblTimeSheet[[#This Row],[Start Date and Time]])</f>
        <v>0.49999999988358468</v>
      </c>
      <c r="M16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5">
        <f>--(0&gt;(TblTimeSheet[[#This Row],[End Date and Time]]-TblTimeSheet[[#This Row],[Start Date and Time]]))</f>
        <v>0</v>
      </c>
    </row>
    <row r="1656" spans="1:14" x14ac:dyDescent="0.25">
      <c r="A1656" s="1"/>
      <c r="B1656" s="2" t="s">
        <v>915</v>
      </c>
      <c r="C1656" s="2" t="s">
        <v>1117</v>
      </c>
      <c r="D1656" s="2" t="s">
        <v>32</v>
      </c>
      <c r="E1656" s="7" t="s">
        <v>2801</v>
      </c>
      <c r="F1656" s="37">
        <v>42450.583333333336</v>
      </c>
      <c r="G1656" s="37">
        <v>42450.725694444445</v>
      </c>
      <c r="H1656" s="1" t="s">
        <v>6</v>
      </c>
      <c r="I1656" s="1" t="s">
        <v>38</v>
      </c>
      <c r="J1656" s="1">
        <v>42450.723657407405</v>
      </c>
      <c r="K1656" s="1" t="s">
        <v>2865</v>
      </c>
      <c r="L1656" s="14">
        <f>24*(TblTimeSheet[[#This Row],[End Date and Time]]-TblTimeSheet[[#This Row],[Start Date and Time]])</f>
        <v>3.4166666666278616</v>
      </c>
      <c r="M16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6">
        <f>--(0&gt;(TblTimeSheet[[#This Row],[End Date and Time]]-TblTimeSheet[[#This Row],[Start Date and Time]]))</f>
        <v>0</v>
      </c>
    </row>
    <row r="1657" spans="1:14" x14ac:dyDescent="0.25">
      <c r="A1657" s="1"/>
      <c r="B1657" s="2" t="s">
        <v>915</v>
      </c>
      <c r="C1657" s="2" t="s">
        <v>176</v>
      </c>
      <c r="D1657" s="2" t="s">
        <v>32</v>
      </c>
      <c r="E1657" s="7" t="s">
        <v>2802</v>
      </c>
      <c r="F1657" s="37">
        <v>42450.583333333336</v>
      </c>
      <c r="G1657" s="37">
        <v>42450.75</v>
      </c>
      <c r="H1657" s="1" t="s">
        <v>6</v>
      </c>
      <c r="I1657" s="1" t="s">
        <v>38</v>
      </c>
      <c r="J1657" s="1">
        <v>42450.729525462964</v>
      </c>
      <c r="K1657" s="1" t="s">
        <v>176</v>
      </c>
      <c r="L1657" s="14">
        <f>24*(TblTimeSheet[[#This Row],[End Date and Time]]-TblTimeSheet[[#This Row],[Start Date and Time]])</f>
        <v>3.9999999999417923</v>
      </c>
      <c r="M16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7">
        <f>--(0&gt;(TblTimeSheet[[#This Row],[End Date and Time]]-TblTimeSheet[[#This Row],[Start Date and Time]]))</f>
        <v>0</v>
      </c>
    </row>
    <row r="1658" spans="1:14" x14ac:dyDescent="0.25">
      <c r="A1658" s="1"/>
      <c r="B1658" s="2" t="s">
        <v>915</v>
      </c>
      <c r="C1658" s="2" t="s">
        <v>116</v>
      </c>
      <c r="D1658" s="2" t="s">
        <v>32</v>
      </c>
      <c r="E1658" s="7" t="s">
        <v>2803</v>
      </c>
      <c r="F1658" s="37">
        <v>42450.416666666664</v>
      </c>
      <c r="G1658" s="37">
        <v>42450.5</v>
      </c>
      <c r="H1658" s="1" t="s">
        <v>6</v>
      </c>
      <c r="I1658" s="1" t="s">
        <v>38</v>
      </c>
      <c r="J1658" s="1">
        <v>42450.77065972222</v>
      </c>
      <c r="K1658" s="1" t="s">
        <v>39</v>
      </c>
      <c r="L1658" s="14">
        <f>24*(TblTimeSheet[[#This Row],[End Date and Time]]-TblTimeSheet[[#This Row],[Start Date and Time]])</f>
        <v>2.0000000000582077</v>
      </c>
      <c r="M16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8">
        <f>--(0&gt;(TblTimeSheet[[#This Row],[End Date and Time]]-TblTimeSheet[[#This Row],[Start Date and Time]]))</f>
        <v>0</v>
      </c>
    </row>
    <row r="1659" spans="1:14" x14ac:dyDescent="0.25">
      <c r="A1659" s="1"/>
      <c r="B1659" s="2" t="s">
        <v>915</v>
      </c>
      <c r="C1659" s="2" t="s">
        <v>116</v>
      </c>
      <c r="D1659" s="2" t="s">
        <v>32</v>
      </c>
      <c r="E1659" s="7" t="s">
        <v>2803</v>
      </c>
      <c r="F1659" s="37">
        <v>42450.583333333336</v>
      </c>
      <c r="G1659" s="37">
        <v>42450.708333333336</v>
      </c>
      <c r="H1659" s="1" t="s">
        <v>6</v>
      </c>
      <c r="I1659" s="1" t="s">
        <v>38</v>
      </c>
      <c r="J1659" s="1">
        <v>42450.772118055553</v>
      </c>
      <c r="K1659" s="1" t="s">
        <v>39</v>
      </c>
      <c r="L1659" s="14">
        <f>24*(TblTimeSheet[[#This Row],[End Date and Time]]-TblTimeSheet[[#This Row],[Start Date and Time]])</f>
        <v>3</v>
      </c>
      <c r="M16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59">
        <f>--(0&gt;(TblTimeSheet[[#This Row],[End Date and Time]]-TblTimeSheet[[#This Row],[Start Date and Time]]))</f>
        <v>0</v>
      </c>
    </row>
    <row r="1660" spans="1:14" x14ac:dyDescent="0.25">
      <c r="A1660" s="1"/>
      <c r="B1660" s="2" t="s">
        <v>913</v>
      </c>
      <c r="C1660" s="2" t="s">
        <v>36</v>
      </c>
      <c r="D1660" s="2" t="s">
        <v>35</v>
      </c>
      <c r="E1660" s="7" t="s">
        <v>2804</v>
      </c>
      <c r="F1660" s="37">
        <v>42451.375</v>
      </c>
      <c r="G1660" s="37">
        <v>42451.392361111109</v>
      </c>
      <c r="H1660" s="1" t="s">
        <v>6</v>
      </c>
      <c r="I1660" s="1" t="s">
        <v>38</v>
      </c>
      <c r="J1660" s="1">
        <v>42457.714594907404</v>
      </c>
      <c r="K1660" s="1" t="s">
        <v>36</v>
      </c>
      <c r="L1660" s="14">
        <f>24*(TblTimeSheet[[#This Row],[End Date and Time]]-TblTimeSheet[[#This Row],[Start Date and Time]])</f>
        <v>0.41666666662786156</v>
      </c>
      <c r="M16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0">
        <f>--(0&gt;(TblTimeSheet[[#This Row],[End Date and Time]]-TblTimeSheet[[#This Row],[Start Date and Time]]))</f>
        <v>0</v>
      </c>
    </row>
    <row r="1661" spans="1:14" x14ac:dyDescent="0.25">
      <c r="A1661" s="1"/>
      <c r="B1661" s="2" t="s">
        <v>697</v>
      </c>
      <c r="C1661" s="2" t="s">
        <v>116</v>
      </c>
      <c r="D1661" s="2" t="s">
        <v>34</v>
      </c>
      <c r="E1661" s="7" t="s">
        <v>2805</v>
      </c>
      <c r="F1661" s="37">
        <v>42448.625</v>
      </c>
      <c r="G1661" s="37">
        <v>42448.638888888891</v>
      </c>
      <c r="H1661" s="1" t="s">
        <v>6</v>
      </c>
      <c r="I1661" s="1" t="s">
        <v>38</v>
      </c>
      <c r="J1661" s="1">
        <v>42451.393599537034</v>
      </c>
      <c r="K1661" s="1" t="s">
        <v>701</v>
      </c>
      <c r="L1661" s="14">
        <f>24*(TblTimeSheet[[#This Row],[End Date and Time]]-TblTimeSheet[[#This Row],[Start Date and Time]])</f>
        <v>0.33333333337213844</v>
      </c>
      <c r="M16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61">
        <f>--(0&gt;(TblTimeSheet[[#This Row],[End Date and Time]]-TblTimeSheet[[#This Row],[Start Date and Time]]))</f>
        <v>0</v>
      </c>
    </row>
    <row r="1662" spans="1:14" x14ac:dyDescent="0.25">
      <c r="A1662" s="1"/>
      <c r="B1662" s="2" t="s">
        <v>913</v>
      </c>
      <c r="C1662" s="2" t="s">
        <v>36</v>
      </c>
      <c r="D1662" s="2" t="s">
        <v>35</v>
      </c>
      <c r="E1662" s="7" t="s">
        <v>2806</v>
      </c>
      <c r="F1662" s="37">
        <v>42451.392361111109</v>
      </c>
      <c r="G1662" s="37">
        <v>42451.395833333336</v>
      </c>
      <c r="H1662" s="1" t="s">
        <v>6</v>
      </c>
      <c r="I1662" s="1" t="s">
        <v>38</v>
      </c>
      <c r="J1662" s="1">
        <v>42451.396064814813</v>
      </c>
      <c r="K1662" s="1" t="s">
        <v>36</v>
      </c>
      <c r="L1662" s="14">
        <f>24*(TblTimeSheet[[#This Row],[End Date and Time]]-TblTimeSheet[[#This Row],[Start Date and Time]])</f>
        <v>8.3333333430346102E-2</v>
      </c>
      <c r="M16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2">
        <f>--(0&gt;(TblTimeSheet[[#This Row],[End Date and Time]]-TblTimeSheet[[#This Row],[Start Date and Time]]))</f>
        <v>0</v>
      </c>
    </row>
    <row r="1663" spans="1:14" x14ac:dyDescent="0.25">
      <c r="A1663" s="1"/>
      <c r="B1663" s="2" t="s">
        <v>911</v>
      </c>
      <c r="C1663" s="2" t="s">
        <v>1076</v>
      </c>
      <c r="D1663" s="2" t="s">
        <v>33</v>
      </c>
      <c r="E1663" s="7" t="s">
        <v>2825</v>
      </c>
      <c r="F1663" s="37">
        <v>42450.5</v>
      </c>
      <c r="G1663" s="37">
        <v>42450.520833333336</v>
      </c>
      <c r="H1663" s="1" t="s">
        <v>6</v>
      </c>
      <c r="I1663" s="1" t="s">
        <v>38</v>
      </c>
      <c r="J1663" s="1">
        <v>42451.39875</v>
      </c>
      <c r="K1663" s="1" t="s">
        <v>41</v>
      </c>
      <c r="L1663" s="14">
        <f>24*(TblTimeSheet[[#This Row],[End Date and Time]]-TblTimeSheet[[#This Row],[Start Date and Time]])</f>
        <v>0.50000000005820766</v>
      </c>
      <c r="M16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3">
        <f>--(0&gt;(TblTimeSheet[[#This Row],[End Date and Time]]-TblTimeSheet[[#This Row],[Start Date and Time]]))</f>
        <v>0</v>
      </c>
    </row>
    <row r="1664" spans="1:14" x14ac:dyDescent="0.25">
      <c r="A1664" s="1"/>
      <c r="B1664" s="2" t="s">
        <v>913</v>
      </c>
      <c r="C1664" s="2" t="s">
        <v>1105</v>
      </c>
      <c r="D1664" s="2" t="s">
        <v>35</v>
      </c>
      <c r="E1664" s="7" t="s">
        <v>2826</v>
      </c>
      <c r="F1664" s="37">
        <v>42451.392361111109</v>
      </c>
      <c r="G1664" s="37">
        <v>42451.395833333336</v>
      </c>
      <c r="H1664" s="1" t="s">
        <v>6</v>
      </c>
      <c r="I1664" s="1" t="s">
        <v>38</v>
      </c>
      <c r="J1664" s="1">
        <v>42451.403680555559</v>
      </c>
      <c r="K1664" s="1" t="s">
        <v>2864</v>
      </c>
      <c r="L1664" s="14">
        <f>24*(TblTimeSheet[[#This Row],[End Date and Time]]-TblTimeSheet[[#This Row],[Start Date and Time]])</f>
        <v>8.3333333430346102E-2</v>
      </c>
      <c r="M16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4">
        <f>--(0&gt;(TblTimeSheet[[#This Row],[End Date and Time]]-TblTimeSheet[[#This Row],[Start Date and Time]]))</f>
        <v>0</v>
      </c>
    </row>
    <row r="1665" spans="1:14" x14ac:dyDescent="0.25">
      <c r="A1665" s="1"/>
      <c r="B1665" s="2" t="s">
        <v>913</v>
      </c>
      <c r="C1665" s="2" t="s">
        <v>36</v>
      </c>
      <c r="D1665" s="2" t="s">
        <v>35</v>
      </c>
      <c r="E1665" s="7" t="s">
        <v>2807</v>
      </c>
      <c r="F1665" s="37">
        <v>42451.402777777781</v>
      </c>
      <c r="G1665" s="37">
        <v>42451.416666666664</v>
      </c>
      <c r="H1665" s="1" t="s">
        <v>6</v>
      </c>
      <c r="I1665" s="1" t="s">
        <v>38</v>
      </c>
      <c r="J1665" s="1">
        <v>42451.423726851855</v>
      </c>
      <c r="K1665" s="1" t="s">
        <v>36</v>
      </c>
      <c r="L1665" s="14">
        <f>24*(TblTimeSheet[[#This Row],[End Date and Time]]-TblTimeSheet[[#This Row],[Start Date and Time]])</f>
        <v>0.33333333319751546</v>
      </c>
      <c r="M16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5">
        <f>--(0&gt;(TblTimeSheet[[#This Row],[End Date and Time]]-TblTimeSheet[[#This Row],[Start Date and Time]]))</f>
        <v>0</v>
      </c>
    </row>
    <row r="1666" spans="1:14" x14ac:dyDescent="0.25">
      <c r="A1666" s="1"/>
      <c r="B1666" s="2" t="s">
        <v>917</v>
      </c>
      <c r="C1666" s="2" t="s">
        <v>171</v>
      </c>
      <c r="D1666" s="2" t="s">
        <v>19</v>
      </c>
      <c r="E1666" s="7" t="s">
        <v>2867</v>
      </c>
      <c r="F1666" s="37">
        <v>42451.395833333336</v>
      </c>
      <c r="G1666" s="37">
        <v>42451.423611111109</v>
      </c>
      <c r="H1666" s="1" t="s">
        <v>6</v>
      </c>
      <c r="I1666" s="1" t="s">
        <v>38</v>
      </c>
      <c r="J1666" s="1">
        <v>42451.484849537039</v>
      </c>
      <c r="K1666" s="1" t="s">
        <v>171</v>
      </c>
      <c r="L1666" s="14">
        <f>24*(TblTimeSheet[[#This Row],[End Date and Time]]-TblTimeSheet[[#This Row],[Start Date and Time]])</f>
        <v>0.6666666665696539</v>
      </c>
      <c r="M16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6">
        <f>--(0&gt;(TblTimeSheet[[#This Row],[End Date and Time]]-TblTimeSheet[[#This Row],[Start Date and Time]]))</f>
        <v>0</v>
      </c>
    </row>
    <row r="1667" spans="1:14" ht="60" x14ac:dyDescent="0.25">
      <c r="A1667" s="1"/>
      <c r="B1667" s="2" t="s">
        <v>913</v>
      </c>
      <c r="C1667" s="2" t="s">
        <v>1105</v>
      </c>
      <c r="D1667" s="2" t="s">
        <v>35</v>
      </c>
      <c r="E1667" s="7" t="s">
        <v>2827</v>
      </c>
      <c r="F1667" s="37">
        <v>42451.440972222219</v>
      </c>
      <c r="G1667" s="37">
        <v>42451.447916666664</v>
      </c>
      <c r="H1667" s="1" t="s">
        <v>6</v>
      </c>
      <c r="I1667" s="1" t="s">
        <v>38</v>
      </c>
      <c r="J1667" s="1">
        <v>42451.44940972222</v>
      </c>
      <c r="K1667" s="1" t="s">
        <v>2864</v>
      </c>
      <c r="L1667" s="14">
        <f>24*(TblTimeSheet[[#This Row],[End Date and Time]]-TblTimeSheet[[#This Row],[Start Date and Time]])</f>
        <v>0.16666666668606922</v>
      </c>
      <c r="M16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7">
        <f>--(0&gt;(TblTimeSheet[[#This Row],[End Date and Time]]-TblTimeSheet[[#This Row],[Start Date and Time]]))</f>
        <v>0</v>
      </c>
    </row>
    <row r="1668" spans="1:14" x14ac:dyDescent="0.25">
      <c r="A1668" s="1"/>
      <c r="B1668" s="2" t="s">
        <v>913</v>
      </c>
      <c r="C1668" s="2" t="s">
        <v>171</v>
      </c>
      <c r="D1668" s="2" t="s">
        <v>35</v>
      </c>
      <c r="E1668" s="7" t="s">
        <v>2828</v>
      </c>
      <c r="F1668" s="37">
        <v>42451.440972222219</v>
      </c>
      <c r="G1668" s="37">
        <v>42451.447916666664</v>
      </c>
      <c r="H1668" s="1" t="s">
        <v>6</v>
      </c>
      <c r="I1668" s="1" t="s">
        <v>38</v>
      </c>
      <c r="J1668" s="1">
        <v>42451.450509259259</v>
      </c>
      <c r="K1668" s="1" t="s">
        <v>171</v>
      </c>
      <c r="L1668" s="14">
        <f>24*(TblTimeSheet[[#This Row],[End Date and Time]]-TblTimeSheet[[#This Row],[Start Date and Time]])</f>
        <v>0.16666666668606922</v>
      </c>
      <c r="M16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8">
        <f>--(0&gt;(TblTimeSheet[[#This Row],[End Date and Time]]-TblTimeSheet[[#This Row],[Start Date and Time]]))</f>
        <v>0</v>
      </c>
    </row>
    <row r="1669" spans="1:14" x14ac:dyDescent="0.25">
      <c r="A1669" s="1"/>
      <c r="B1669" s="2" t="s">
        <v>913</v>
      </c>
      <c r="C1669" s="2" t="s">
        <v>118</v>
      </c>
      <c r="D1669" s="2" t="s">
        <v>35</v>
      </c>
      <c r="E1669" s="7" t="s">
        <v>2808</v>
      </c>
      <c r="F1669" s="37">
        <v>42451.440972222219</v>
      </c>
      <c r="G1669" s="37">
        <v>42451.447916666664</v>
      </c>
      <c r="H1669" s="1" t="s">
        <v>6</v>
      </c>
      <c r="I1669" s="1" t="s">
        <v>38</v>
      </c>
      <c r="J1669" s="1">
        <v>42451.450682870367</v>
      </c>
      <c r="K1669" s="1" t="s">
        <v>118</v>
      </c>
      <c r="L1669" s="14">
        <f>24*(TblTimeSheet[[#This Row],[End Date and Time]]-TblTimeSheet[[#This Row],[Start Date and Time]])</f>
        <v>0.16666666668606922</v>
      </c>
      <c r="M16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69">
        <f>--(0&gt;(TblTimeSheet[[#This Row],[End Date and Time]]-TblTimeSheet[[#This Row],[Start Date and Time]]))</f>
        <v>0</v>
      </c>
    </row>
    <row r="1670" spans="1:14" x14ac:dyDescent="0.25">
      <c r="A1670" s="1"/>
      <c r="B1670" s="2" t="s">
        <v>917</v>
      </c>
      <c r="C1670" s="2" t="s">
        <v>43</v>
      </c>
      <c r="D1670" s="2" t="s">
        <v>19</v>
      </c>
      <c r="E1670" s="7" t="s">
        <v>2809</v>
      </c>
      <c r="F1670" s="37">
        <v>42451.395833333336</v>
      </c>
      <c r="G1670" s="37">
        <v>42451.423611111109</v>
      </c>
      <c r="H1670" s="1" t="s">
        <v>6</v>
      </c>
      <c r="I1670" s="1" t="s">
        <v>38</v>
      </c>
      <c r="J1670" s="1">
        <v>42451.452719907407</v>
      </c>
      <c r="K1670" s="1" t="s">
        <v>43</v>
      </c>
      <c r="L1670" s="14">
        <f>24*(TblTimeSheet[[#This Row],[End Date and Time]]-TblTimeSheet[[#This Row],[Start Date and Time]])</f>
        <v>0.6666666665696539</v>
      </c>
      <c r="M16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0">
        <f>--(0&gt;(TblTimeSheet[[#This Row],[End Date and Time]]-TblTimeSheet[[#This Row],[Start Date and Time]]))</f>
        <v>0</v>
      </c>
    </row>
    <row r="1671" spans="1:14" x14ac:dyDescent="0.25">
      <c r="A1671" s="1"/>
      <c r="B1671" s="2" t="s">
        <v>913</v>
      </c>
      <c r="C1671" s="2" t="s">
        <v>36</v>
      </c>
      <c r="D1671" s="2" t="s">
        <v>35</v>
      </c>
      <c r="E1671" s="7" t="s">
        <v>2810</v>
      </c>
      <c r="F1671" s="37">
        <v>42451.440972222219</v>
      </c>
      <c r="G1671" s="37">
        <v>42451.447916666664</v>
      </c>
      <c r="H1671" s="1" t="s">
        <v>6</v>
      </c>
      <c r="I1671" s="1" t="s">
        <v>38</v>
      </c>
      <c r="J1671" s="1">
        <v>42451.470289351855</v>
      </c>
      <c r="K1671" s="1" t="s">
        <v>36</v>
      </c>
      <c r="L1671" s="14">
        <f>24*(TblTimeSheet[[#This Row],[End Date and Time]]-TblTimeSheet[[#This Row],[Start Date and Time]])</f>
        <v>0.16666666668606922</v>
      </c>
      <c r="M16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1">
        <f>--(0&gt;(TblTimeSheet[[#This Row],[End Date and Time]]-TblTimeSheet[[#This Row],[Start Date and Time]]))</f>
        <v>0</v>
      </c>
    </row>
    <row r="1672" spans="1:14" x14ac:dyDescent="0.25">
      <c r="A1672" s="1"/>
      <c r="B1672" s="2" t="s">
        <v>913</v>
      </c>
      <c r="C1672" s="2" t="s">
        <v>454</v>
      </c>
      <c r="D1672" s="2" t="s">
        <v>35</v>
      </c>
      <c r="E1672" s="7" t="s">
        <v>1566</v>
      </c>
      <c r="F1672" s="37">
        <v>42451.440972222219</v>
      </c>
      <c r="G1672" s="37">
        <v>42451.447916666664</v>
      </c>
      <c r="H1672" s="1" t="s">
        <v>6</v>
      </c>
      <c r="I1672" s="1" t="s">
        <v>38</v>
      </c>
      <c r="J1672" s="1">
        <v>42451.473379629628</v>
      </c>
      <c r="K1672" s="1" t="s">
        <v>454</v>
      </c>
      <c r="L1672" s="14">
        <f>24*(TblTimeSheet[[#This Row],[End Date and Time]]-TblTimeSheet[[#This Row],[Start Date and Time]])</f>
        <v>0.16666666668606922</v>
      </c>
      <c r="M16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2">
        <f>--(0&gt;(TblTimeSheet[[#This Row],[End Date and Time]]-TblTimeSheet[[#This Row],[Start Date and Time]]))</f>
        <v>0</v>
      </c>
    </row>
    <row r="1673" spans="1:14" ht="30" x14ac:dyDescent="0.25">
      <c r="A1673" s="1"/>
      <c r="B1673" s="2" t="s">
        <v>913</v>
      </c>
      <c r="C1673" s="2" t="s">
        <v>116</v>
      </c>
      <c r="D1673" s="2" t="s">
        <v>35</v>
      </c>
      <c r="E1673" s="7" t="s">
        <v>2811</v>
      </c>
      <c r="F1673" s="37">
        <v>42451.440972222219</v>
      </c>
      <c r="G1673" s="37">
        <v>42451.447916666664</v>
      </c>
      <c r="H1673" s="1" t="s">
        <v>6</v>
      </c>
      <c r="I1673" s="1" t="s">
        <v>38</v>
      </c>
      <c r="J1673" s="1">
        <v>42451.473692129628</v>
      </c>
      <c r="K1673" s="1" t="s">
        <v>39</v>
      </c>
      <c r="L1673" s="14">
        <f>24*(TblTimeSheet[[#This Row],[End Date and Time]]-TblTimeSheet[[#This Row],[Start Date and Time]])</f>
        <v>0.16666666668606922</v>
      </c>
      <c r="M16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73">
        <f>--(0&gt;(TblTimeSheet[[#This Row],[End Date and Time]]-TblTimeSheet[[#This Row],[Start Date and Time]]))</f>
        <v>0</v>
      </c>
    </row>
    <row r="1674" spans="1:14" x14ac:dyDescent="0.25">
      <c r="A1674" s="1"/>
      <c r="B1674" s="2" t="s">
        <v>917</v>
      </c>
      <c r="C1674" s="2" t="s">
        <v>36</v>
      </c>
      <c r="D1674" s="2" t="s">
        <v>19</v>
      </c>
      <c r="E1674" s="7" t="s">
        <v>2888</v>
      </c>
      <c r="F1674" s="37">
        <v>42451.479166666664</v>
      </c>
      <c r="G1674" s="37">
        <v>42451.482638888891</v>
      </c>
      <c r="H1674" s="1" t="s">
        <v>6</v>
      </c>
      <c r="I1674" s="1" t="s">
        <v>38</v>
      </c>
      <c r="J1674" s="1">
        <v>42451.541747685187</v>
      </c>
      <c r="K1674" s="1" t="s">
        <v>36</v>
      </c>
      <c r="L1674" s="14">
        <f>24*(TblTimeSheet[[#This Row],[End Date and Time]]-TblTimeSheet[[#This Row],[Start Date and Time]])</f>
        <v>8.3333333430346102E-2</v>
      </c>
      <c r="M16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4">
        <f>--(0&gt;(TblTimeSheet[[#This Row],[End Date and Time]]-TblTimeSheet[[#This Row],[Start Date and Time]]))</f>
        <v>0</v>
      </c>
    </row>
    <row r="1675" spans="1:14" ht="30" x14ac:dyDescent="0.25">
      <c r="A1675" s="1"/>
      <c r="B1675" s="2" t="s">
        <v>917</v>
      </c>
      <c r="C1675" s="2" t="s">
        <v>116</v>
      </c>
      <c r="D1675" s="2" t="s">
        <v>19</v>
      </c>
      <c r="E1675" s="7" t="s">
        <v>3621</v>
      </c>
      <c r="F1675" s="37">
        <v>42451.5</v>
      </c>
      <c r="G1675" s="37">
        <v>42451.53125</v>
      </c>
      <c r="H1675" s="1" t="s">
        <v>6</v>
      </c>
      <c r="I1675" s="1" t="s">
        <v>38</v>
      </c>
      <c r="J1675" s="1">
        <v>42451.536805555559</v>
      </c>
      <c r="K1675" s="1" t="s">
        <v>81</v>
      </c>
      <c r="L1675" s="14">
        <f>24*(TblTimeSheet[[#This Row],[End Date and Time]]-TblTimeSheet[[#This Row],[Start Date and Time]])</f>
        <v>0.75</v>
      </c>
      <c r="M16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75">
        <f>--(0&gt;(TblTimeSheet[[#This Row],[End Date and Time]]-TblTimeSheet[[#This Row],[Start Date and Time]]))</f>
        <v>0</v>
      </c>
    </row>
    <row r="1676" spans="1:14" x14ac:dyDescent="0.25">
      <c r="A1676" s="1"/>
      <c r="B1676" s="2" t="s">
        <v>917</v>
      </c>
      <c r="C1676" s="2" t="s">
        <v>36</v>
      </c>
      <c r="D1676" s="2" t="s">
        <v>19</v>
      </c>
      <c r="E1676" s="7" t="s">
        <v>2889</v>
      </c>
      <c r="F1676" s="37">
        <v>42451.5</v>
      </c>
      <c r="G1676" s="37">
        <v>42451.53125</v>
      </c>
      <c r="H1676" s="1" t="s">
        <v>6</v>
      </c>
      <c r="I1676" s="1" t="s">
        <v>38</v>
      </c>
      <c r="J1676" s="1">
        <v>42451.540150462963</v>
      </c>
      <c r="K1676" s="1" t="s">
        <v>36</v>
      </c>
      <c r="L1676" s="14">
        <f>24*(TblTimeSheet[[#This Row],[End Date and Time]]-TblTimeSheet[[#This Row],[Start Date and Time]])</f>
        <v>0.75</v>
      </c>
      <c r="M16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6" s="14">
        <f>--(0&gt;(TblTimeSheet[[#This Row],[End Date and Time]]-TblTimeSheet[[#This Row],[Start Date and Time]]))</f>
        <v>0</v>
      </c>
    </row>
    <row r="1677" spans="1:14" x14ac:dyDescent="0.25">
      <c r="A1677" s="1"/>
      <c r="B1677" s="2" t="s">
        <v>911</v>
      </c>
      <c r="C1677" s="2" t="s">
        <v>144</v>
      </c>
      <c r="D1677" s="2" t="s">
        <v>34</v>
      </c>
      <c r="E1677" s="7" t="s">
        <v>2890</v>
      </c>
      <c r="F1677" s="37">
        <v>42451.395833333336</v>
      </c>
      <c r="G1677" s="37">
        <v>42451.541666666664</v>
      </c>
      <c r="H1677" s="1" t="s">
        <v>6</v>
      </c>
      <c r="I1677" s="1" t="s">
        <v>38</v>
      </c>
      <c r="J1677" s="1">
        <v>42451.597129629627</v>
      </c>
      <c r="K1677" s="1" t="s">
        <v>144</v>
      </c>
      <c r="L1677" s="14">
        <f>24*(TblTimeSheet[[#This Row],[End Date and Time]]-TblTimeSheet[[#This Row],[Start Date and Time]])</f>
        <v>3.4999999998835847</v>
      </c>
      <c r="M16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7" s="14">
        <f>--(0&gt;(TblTimeSheet[[#This Row],[End Date and Time]]-TblTimeSheet[[#This Row],[Start Date and Time]]))</f>
        <v>0</v>
      </c>
    </row>
    <row r="1678" spans="1:14" x14ac:dyDescent="0.25">
      <c r="A1678" s="1"/>
      <c r="B1678" s="2" t="s">
        <v>917</v>
      </c>
      <c r="C1678" s="2" t="s">
        <v>36</v>
      </c>
      <c r="D1678" s="2" t="s">
        <v>20</v>
      </c>
      <c r="E1678" s="7" t="s">
        <v>2891</v>
      </c>
      <c r="F1678" s="37">
        <v>42451.583333333336</v>
      </c>
      <c r="G1678" s="37">
        <v>42451.597222222219</v>
      </c>
      <c r="H1678" s="1" t="s">
        <v>6</v>
      </c>
      <c r="I1678" s="1" t="s">
        <v>38</v>
      </c>
      <c r="J1678" s="1">
        <v>42451.598981481482</v>
      </c>
      <c r="K1678" s="1" t="s">
        <v>36</v>
      </c>
      <c r="L1678" s="14">
        <f>24*(TblTimeSheet[[#This Row],[End Date and Time]]-TblTimeSheet[[#This Row],[Start Date and Time]])</f>
        <v>0.33333333319751546</v>
      </c>
      <c r="M16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8" s="14">
        <f>--(0&gt;(TblTimeSheet[[#This Row],[End Date and Time]]-TblTimeSheet[[#This Row],[Start Date and Time]]))</f>
        <v>0</v>
      </c>
    </row>
    <row r="1679" spans="1:14" x14ac:dyDescent="0.25">
      <c r="A1679" s="1"/>
      <c r="B1679" s="2" t="s">
        <v>911</v>
      </c>
      <c r="C1679" s="2" t="s">
        <v>1117</v>
      </c>
      <c r="D1679" s="2" t="s">
        <v>33</v>
      </c>
      <c r="E1679" s="7" t="s">
        <v>2892</v>
      </c>
      <c r="F1679" s="37">
        <v>42451.375</v>
      </c>
      <c r="G1679" s="37">
        <v>42451.604166666664</v>
      </c>
      <c r="H1679" s="1" t="s">
        <v>6</v>
      </c>
      <c r="I1679" s="1" t="s">
        <v>38</v>
      </c>
      <c r="J1679" s="1">
        <v>42451.608113425929</v>
      </c>
      <c r="K1679" s="1" t="s">
        <v>2865</v>
      </c>
      <c r="L1679" s="14">
        <f>24*(TblTimeSheet[[#This Row],[End Date and Time]]-TblTimeSheet[[#This Row],[Start Date and Time]])</f>
        <v>5.4999999999417923</v>
      </c>
      <c r="M16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79" s="14">
        <f>--(0&gt;(TblTimeSheet[[#This Row],[End Date and Time]]-TblTimeSheet[[#This Row],[Start Date and Time]]))</f>
        <v>0</v>
      </c>
    </row>
    <row r="1680" spans="1:14" x14ac:dyDescent="0.25">
      <c r="A1680" s="1"/>
      <c r="B1680" s="2" t="s">
        <v>917</v>
      </c>
      <c r="C1680" s="2" t="s">
        <v>171</v>
      </c>
      <c r="D1680" s="2" t="s">
        <v>20</v>
      </c>
      <c r="E1680" s="7" t="s">
        <v>3622</v>
      </c>
      <c r="F1680" s="37">
        <v>42451.604166666664</v>
      </c>
      <c r="G1680" s="37">
        <v>42451.611111111109</v>
      </c>
      <c r="H1680" s="1" t="s">
        <v>6</v>
      </c>
      <c r="I1680" s="1" t="s">
        <v>38</v>
      </c>
      <c r="J1680" s="1">
        <v>42451.614490740743</v>
      </c>
      <c r="K1680" s="1" t="s">
        <v>171</v>
      </c>
      <c r="L1680" s="14">
        <f>24*(TblTimeSheet[[#This Row],[End Date and Time]]-TblTimeSheet[[#This Row],[Start Date and Time]])</f>
        <v>0.16666666668606922</v>
      </c>
      <c r="M16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0" s="14">
        <f>--(0&gt;(TblTimeSheet[[#This Row],[End Date and Time]]-TblTimeSheet[[#This Row],[Start Date and Time]]))</f>
        <v>0</v>
      </c>
    </row>
    <row r="1681" spans="1:14" x14ac:dyDescent="0.25">
      <c r="A1681" s="1"/>
      <c r="B1681" s="2" t="s">
        <v>913</v>
      </c>
      <c r="C1681" s="2" t="s">
        <v>116</v>
      </c>
      <c r="D1681" s="2" t="s">
        <v>35</v>
      </c>
      <c r="E1681" s="7" t="s">
        <v>2893</v>
      </c>
      <c r="F1681" s="37">
        <v>42451.614583333336</v>
      </c>
      <c r="G1681" s="37">
        <v>42451.618055555555</v>
      </c>
      <c r="H1681" s="1" t="s">
        <v>6</v>
      </c>
      <c r="I1681" s="1" t="s">
        <v>38</v>
      </c>
      <c r="J1681" s="1">
        <v>42451.622557870367</v>
      </c>
      <c r="K1681" s="1" t="s">
        <v>39</v>
      </c>
      <c r="L1681" s="14">
        <f>24*(TblTimeSheet[[#This Row],[End Date and Time]]-TblTimeSheet[[#This Row],[Start Date and Time]])</f>
        <v>8.3333333255723119E-2</v>
      </c>
      <c r="M16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1" s="14">
        <f>--(0&gt;(TblTimeSheet[[#This Row],[End Date and Time]]-TblTimeSheet[[#This Row],[Start Date and Time]]))</f>
        <v>0</v>
      </c>
    </row>
    <row r="1682" spans="1:14" x14ac:dyDescent="0.25">
      <c r="A1682" s="1"/>
      <c r="B1682" s="2" t="s">
        <v>917</v>
      </c>
      <c r="C1682" s="2" t="s">
        <v>36</v>
      </c>
      <c r="D1682" s="2" t="s">
        <v>20</v>
      </c>
      <c r="E1682" s="7" t="s">
        <v>3623</v>
      </c>
      <c r="F1682" s="37">
        <v>42451.604166666664</v>
      </c>
      <c r="G1682" s="37">
        <v>42451.611111111109</v>
      </c>
      <c r="H1682" s="1" t="s">
        <v>6</v>
      </c>
      <c r="I1682" s="1" t="s">
        <v>38</v>
      </c>
      <c r="J1682" s="1">
        <v>42451.626018518517</v>
      </c>
      <c r="K1682" s="1" t="s">
        <v>36</v>
      </c>
      <c r="L1682" s="14">
        <f>24*(TblTimeSheet[[#This Row],[End Date and Time]]-TblTimeSheet[[#This Row],[Start Date and Time]])</f>
        <v>0.16666666668606922</v>
      </c>
      <c r="M16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2" s="14">
        <f>--(0&gt;(TblTimeSheet[[#This Row],[End Date and Time]]-TblTimeSheet[[#This Row],[Start Date and Time]]))</f>
        <v>0</v>
      </c>
    </row>
    <row r="1683" spans="1:14" x14ac:dyDescent="0.25">
      <c r="A1683" s="1"/>
      <c r="B1683" s="2" t="s">
        <v>917</v>
      </c>
      <c r="C1683" s="2" t="s">
        <v>116</v>
      </c>
      <c r="D1683" s="2" t="s">
        <v>20</v>
      </c>
      <c r="E1683" s="7" t="s">
        <v>3624</v>
      </c>
      <c r="F1683" s="37">
        <v>42451.625</v>
      </c>
      <c r="G1683" s="37">
        <v>42451.628472222219</v>
      </c>
      <c r="H1683" s="1" t="s">
        <v>6</v>
      </c>
      <c r="I1683" s="1" t="s">
        <v>38</v>
      </c>
      <c r="J1683" s="1">
        <v>42451.630196759259</v>
      </c>
      <c r="K1683" s="1" t="s">
        <v>81</v>
      </c>
      <c r="L1683" s="14">
        <f>24*(TblTimeSheet[[#This Row],[End Date and Time]]-TblTimeSheet[[#This Row],[Start Date and Time]])</f>
        <v>8.3333333255723119E-2</v>
      </c>
      <c r="M16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3" s="14">
        <f>--(0&gt;(TblTimeSheet[[#This Row],[End Date and Time]]-TblTimeSheet[[#This Row],[Start Date and Time]]))</f>
        <v>0</v>
      </c>
    </row>
    <row r="1684" spans="1:14" x14ac:dyDescent="0.25">
      <c r="A1684" s="1"/>
      <c r="B1684" s="2" t="s">
        <v>917</v>
      </c>
      <c r="C1684" s="2" t="s">
        <v>36</v>
      </c>
      <c r="D1684" s="2" t="s">
        <v>20</v>
      </c>
      <c r="E1684" s="7" t="s">
        <v>2894</v>
      </c>
      <c r="F1684" s="37">
        <v>42451.625</v>
      </c>
      <c r="G1684" s="37">
        <v>42451.628472222219</v>
      </c>
      <c r="H1684" s="1" t="s">
        <v>6</v>
      </c>
      <c r="I1684" s="1" t="s">
        <v>38</v>
      </c>
      <c r="J1684" s="1">
        <v>42451.630960648145</v>
      </c>
      <c r="K1684" s="1" t="s">
        <v>36</v>
      </c>
      <c r="L1684" s="14">
        <f>24*(TblTimeSheet[[#This Row],[End Date and Time]]-TblTimeSheet[[#This Row],[Start Date and Time]])</f>
        <v>8.3333333255723119E-2</v>
      </c>
      <c r="M16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4" s="14">
        <f>--(0&gt;(TblTimeSheet[[#This Row],[End Date and Time]]-TblTimeSheet[[#This Row],[Start Date and Time]]))</f>
        <v>0</v>
      </c>
    </row>
    <row r="1685" spans="1:14" x14ac:dyDescent="0.25">
      <c r="A1685" s="1"/>
      <c r="B1685" s="2" t="s">
        <v>913</v>
      </c>
      <c r="C1685" s="2" t="s">
        <v>118</v>
      </c>
      <c r="D1685" s="2" t="s">
        <v>35</v>
      </c>
      <c r="E1685" s="7" t="s">
        <v>2895</v>
      </c>
      <c r="F1685" s="37">
        <v>42451.628472222219</v>
      </c>
      <c r="G1685" s="37">
        <v>42451.631944444445</v>
      </c>
      <c r="H1685" s="1" t="s">
        <v>6</v>
      </c>
      <c r="I1685" s="1" t="s">
        <v>38</v>
      </c>
      <c r="J1685" s="1">
        <v>42451.633425925924</v>
      </c>
      <c r="K1685" s="1" t="s">
        <v>118</v>
      </c>
      <c r="L1685" s="14">
        <f>24*(TblTimeSheet[[#This Row],[End Date and Time]]-TblTimeSheet[[#This Row],[Start Date and Time]])</f>
        <v>8.3333333430346102E-2</v>
      </c>
      <c r="M16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5" s="14">
        <f>--(0&gt;(TblTimeSheet[[#This Row],[End Date and Time]]-TblTimeSheet[[#This Row],[Start Date and Time]]))</f>
        <v>0</v>
      </c>
    </row>
    <row r="1686" spans="1:14" x14ac:dyDescent="0.25">
      <c r="A1686" s="1"/>
      <c r="B1686" s="2" t="s">
        <v>913</v>
      </c>
      <c r="C1686" s="2" t="s">
        <v>36</v>
      </c>
      <c r="D1686" s="2" t="s">
        <v>35</v>
      </c>
      <c r="E1686" s="7" t="s">
        <v>2896</v>
      </c>
      <c r="F1686" s="37">
        <v>42451.65625</v>
      </c>
      <c r="G1686" s="37">
        <v>42451.659722222219</v>
      </c>
      <c r="H1686" s="1" t="s">
        <v>6</v>
      </c>
      <c r="I1686" s="1" t="s">
        <v>38</v>
      </c>
      <c r="J1686" s="1">
        <v>42451.672951388886</v>
      </c>
      <c r="K1686" s="1" t="s">
        <v>36</v>
      </c>
      <c r="L1686" s="14">
        <f>24*(TblTimeSheet[[#This Row],[End Date and Time]]-TblTimeSheet[[#This Row],[Start Date and Time]])</f>
        <v>8.3333333255723119E-2</v>
      </c>
      <c r="M16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6" s="14">
        <f>--(0&gt;(TblTimeSheet[[#This Row],[End Date and Time]]-TblTimeSheet[[#This Row],[Start Date and Time]]))</f>
        <v>0</v>
      </c>
    </row>
    <row r="1687" spans="1:14" x14ac:dyDescent="0.25">
      <c r="A1687" s="1"/>
      <c r="B1687" s="2" t="s">
        <v>913</v>
      </c>
      <c r="C1687" s="2" t="s">
        <v>36</v>
      </c>
      <c r="D1687" s="2" t="s">
        <v>35</v>
      </c>
      <c r="E1687" s="7" t="s">
        <v>2897</v>
      </c>
      <c r="F1687" s="37">
        <v>42451.663194444445</v>
      </c>
      <c r="G1687" s="37">
        <v>42451.670138888891</v>
      </c>
      <c r="H1687" s="1" t="s">
        <v>6</v>
      </c>
      <c r="I1687" s="1" t="s">
        <v>38</v>
      </c>
      <c r="J1687" s="1">
        <v>42451.687060185184</v>
      </c>
      <c r="K1687" s="1" t="s">
        <v>36</v>
      </c>
      <c r="L1687" s="14">
        <f>24*(TblTimeSheet[[#This Row],[End Date and Time]]-TblTimeSheet[[#This Row],[Start Date and Time]])</f>
        <v>0.16666666668606922</v>
      </c>
      <c r="M16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7" s="14">
        <f>--(0&gt;(TblTimeSheet[[#This Row],[End Date and Time]]-TblTimeSheet[[#This Row],[Start Date and Time]]))</f>
        <v>0</v>
      </c>
    </row>
    <row r="1688" spans="1:14" x14ac:dyDescent="0.25">
      <c r="A1688" s="1"/>
      <c r="B1688" s="2" t="s">
        <v>913</v>
      </c>
      <c r="C1688" s="2" t="s">
        <v>36</v>
      </c>
      <c r="D1688" s="2" t="s">
        <v>35</v>
      </c>
      <c r="E1688" s="7" t="s">
        <v>3625</v>
      </c>
      <c r="F1688" s="37">
        <v>42451.670138888891</v>
      </c>
      <c r="G1688" s="37">
        <v>42451.673611111109</v>
      </c>
      <c r="H1688" s="1" t="s">
        <v>6</v>
      </c>
      <c r="I1688" s="1" t="s">
        <v>38</v>
      </c>
      <c r="J1688" s="1">
        <v>42451.674270833333</v>
      </c>
      <c r="K1688" s="1" t="s">
        <v>36</v>
      </c>
      <c r="L1688" s="14">
        <f>24*(TblTimeSheet[[#This Row],[End Date and Time]]-TblTimeSheet[[#This Row],[Start Date and Time]])</f>
        <v>8.3333333255723119E-2</v>
      </c>
      <c r="M16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88" s="14">
        <f>--(0&gt;(TblTimeSheet[[#This Row],[End Date and Time]]-TblTimeSheet[[#This Row],[Start Date and Time]]))</f>
        <v>0</v>
      </c>
    </row>
    <row r="1689" spans="1:14" ht="30" x14ac:dyDescent="0.25">
      <c r="A1689" s="1"/>
      <c r="B1689" s="2" t="s">
        <v>913</v>
      </c>
      <c r="C1689" s="2" t="s">
        <v>116</v>
      </c>
      <c r="D1689" s="2" t="s">
        <v>35</v>
      </c>
      <c r="E1689" s="7" t="s">
        <v>2898</v>
      </c>
      <c r="F1689" s="37">
        <v>42451.666666666664</v>
      </c>
      <c r="G1689" s="37">
        <v>42451.673611111109</v>
      </c>
      <c r="H1689" s="1" t="s">
        <v>6</v>
      </c>
      <c r="I1689" s="1" t="s">
        <v>38</v>
      </c>
      <c r="J1689" s="1">
        <v>42451.675879629627</v>
      </c>
      <c r="K1689" s="1" t="s">
        <v>39</v>
      </c>
      <c r="L1689" s="14">
        <f>24*(TblTimeSheet[[#This Row],[End Date and Time]]-TblTimeSheet[[#This Row],[Start Date and Time]])</f>
        <v>0.16666666668606922</v>
      </c>
      <c r="M16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89" s="14">
        <f>--(0&gt;(TblTimeSheet[[#This Row],[End Date and Time]]-TblTimeSheet[[#This Row],[Start Date and Time]]))</f>
        <v>0</v>
      </c>
    </row>
    <row r="1690" spans="1:14" x14ac:dyDescent="0.25">
      <c r="A1690" s="1"/>
      <c r="B1690" s="2" t="s">
        <v>697</v>
      </c>
      <c r="C1690" s="2" t="s">
        <v>143</v>
      </c>
      <c r="D1690" s="2" t="s">
        <v>34</v>
      </c>
      <c r="E1690" s="7" t="s">
        <v>2899</v>
      </c>
      <c r="F1690" s="37">
        <v>42451.625</v>
      </c>
      <c r="G1690" s="37">
        <v>42451.6875</v>
      </c>
      <c r="H1690" s="1" t="s">
        <v>6</v>
      </c>
      <c r="I1690" s="1" t="s">
        <v>38</v>
      </c>
      <c r="J1690" s="1">
        <v>42451.685208333336</v>
      </c>
      <c r="K1690" s="1" t="s">
        <v>143</v>
      </c>
      <c r="L1690" s="14">
        <f>24*(TblTimeSheet[[#This Row],[End Date and Time]]-TblTimeSheet[[#This Row],[Start Date and Time]])</f>
        <v>1.5</v>
      </c>
      <c r="M16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0" s="14">
        <f>--(0&gt;(TblTimeSheet[[#This Row],[End Date and Time]]-TblTimeSheet[[#This Row],[Start Date and Time]]))</f>
        <v>0</v>
      </c>
    </row>
    <row r="1691" spans="1:14" x14ac:dyDescent="0.25">
      <c r="A1691" s="1"/>
      <c r="B1691" s="2" t="s">
        <v>913</v>
      </c>
      <c r="C1691" s="2" t="s">
        <v>36</v>
      </c>
      <c r="D1691" s="2" t="s">
        <v>35</v>
      </c>
      <c r="E1691" s="7" t="s">
        <v>2900</v>
      </c>
      <c r="F1691" s="37">
        <v>42451.704861111109</v>
      </c>
      <c r="G1691" s="37">
        <v>42451.711805555555</v>
      </c>
      <c r="H1691" s="1" t="s">
        <v>6</v>
      </c>
      <c r="I1691" s="1" t="s">
        <v>38</v>
      </c>
      <c r="J1691" s="1">
        <v>42451.713495370372</v>
      </c>
      <c r="K1691" s="1" t="s">
        <v>36</v>
      </c>
      <c r="L1691" s="14">
        <f>24*(TblTimeSheet[[#This Row],[End Date and Time]]-TblTimeSheet[[#This Row],[Start Date and Time]])</f>
        <v>0.16666666668606922</v>
      </c>
      <c r="M16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1" s="14">
        <f>--(0&gt;(TblTimeSheet[[#This Row],[End Date and Time]]-TblTimeSheet[[#This Row],[Start Date and Time]]))</f>
        <v>0</v>
      </c>
    </row>
    <row r="1692" spans="1:14" x14ac:dyDescent="0.25">
      <c r="A1692" s="1"/>
      <c r="B1692" s="2" t="s">
        <v>913</v>
      </c>
      <c r="C1692" s="2" t="s">
        <v>1105</v>
      </c>
      <c r="D1692" s="2" t="s">
        <v>35</v>
      </c>
      <c r="E1692" s="7" t="s">
        <v>3626</v>
      </c>
      <c r="F1692" s="37">
        <v>42451.704861111109</v>
      </c>
      <c r="G1692" s="37">
        <v>42451.711805555555</v>
      </c>
      <c r="H1692" s="1" t="s">
        <v>6</v>
      </c>
      <c r="I1692" s="1" t="s">
        <v>38</v>
      </c>
      <c r="J1692" s="1">
        <v>42451.714733796296</v>
      </c>
      <c r="K1692" s="1" t="s">
        <v>2864</v>
      </c>
      <c r="L1692" s="14">
        <f>24*(TblTimeSheet[[#This Row],[End Date and Time]]-TblTimeSheet[[#This Row],[Start Date and Time]])</f>
        <v>0.16666666668606922</v>
      </c>
      <c r="M16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2" s="14">
        <f>--(0&gt;(TblTimeSheet[[#This Row],[End Date and Time]]-TblTimeSheet[[#This Row],[Start Date and Time]]))</f>
        <v>0</v>
      </c>
    </row>
    <row r="1693" spans="1:14" x14ac:dyDescent="0.25">
      <c r="A1693" s="1"/>
      <c r="B1693" s="2" t="s">
        <v>697</v>
      </c>
      <c r="C1693" s="2" t="s">
        <v>143</v>
      </c>
      <c r="D1693" s="2" t="s">
        <v>34</v>
      </c>
      <c r="E1693" s="7" t="s">
        <v>3627</v>
      </c>
      <c r="F1693" s="37">
        <v>42432.746527777781</v>
      </c>
      <c r="G1693" s="37">
        <v>42432.78125</v>
      </c>
      <c r="H1693" s="1" t="s">
        <v>6</v>
      </c>
      <c r="I1693" s="1" t="s">
        <v>38</v>
      </c>
      <c r="J1693" s="1">
        <v>42451.721828703703</v>
      </c>
      <c r="K1693" s="1" t="s">
        <v>143</v>
      </c>
      <c r="L1693" s="14">
        <f>24*(TblTimeSheet[[#This Row],[End Date and Time]]-TblTimeSheet[[#This Row],[Start Date and Time]])</f>
        <v>0.83333333325572312</v>
      </c>
      <c r="M16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3" s="14">
        <f>--(0&gt;(TblTimeSheet[[#This Row],[End Date and Time]]-TblTimeSheet[[#This Row],[Start Date and Time]]))</f>
        <v>0</v>
      </c>
    </row>
    <row r="1694" spans="1:14" x14ac:dyDescent="0.25">
      <c r="A1694" s="1"/>
      <c r="B1694" s="2" t="s">
        <v>911</v>
      </c>
      <c r="C1694" s="2" t="s">
        <v>116</v>
      </c>
      <c r="D1694" s="2" t="s">
        <v>33</v>
      </c>
      <c r="E1694" s="7" t="s">
        <v>3628</v>
      </c>
      <c r="F1694" s="37">
        <v>42451.666666666664</v>
      </c>
      <c r="G1694" s="37">
        <v>42451.708333333336</v>
      </c>
      <c r="H1694" s="1" t="s">
        <v>6</v>
      </c>
      <c r="I1694" s="1" t="s">
        <v>38</v>
      </c>
      <c r="J1694" s="1">
        <v>42451.727789351855</v>
      </c>
      <c r="K1694" s="1" t="s">
        <v>81</v>
      </c>
      <c r="L1694" s="14">
        <f>24*(TblTimeSheet[[#This Row],[End Date and Time]]-TblTimeSheet[[#This Row],[Start Date and Time]])</f>
        <v>1.0000000001164153</v>
      </c>
      <c r="M16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94" s="14">
        <f>--(0&gt;(TblTimeSheet[[#This Row],[End Date and Time]]-TblTimeSheet[[#This Row],[Start Date and Time]]))</f>
        <v>0</v>
      </c>
    </row>
    <row r="1695" spans="1:14" x14ac:dyDescent="0.25">
      <c r="A1695" s="1"/>
      <c r="B1695" s="2" t="s">
        <v>917</v>
      </c>
      <c r="C1695" s="2" t="s">
        <v>116</v>
      </c>
      <c r="D1695" s="2" t="s">
        <v>20</v>
      </c>
      <c r="E1695" s="7" t="s">
        <v>3629</v>
      </c>
      <c r="F1695" s="37">
        <v>42451.604166666664</v>
      </c>
      <c r="G1695" s="37">
        <v>42451.611111111109</v>
      </c>
      <c r="H1695" s="1" t="s">
        <v>6</v>
      </c>
      <c r="I1695" s="1" t="s">
        <v>38</v>
      </c>
      <c r="J1695" s="1">
        <v>42452.349953703706</v>
      </c>
      <c r="K1695" s="1" t="s">
        <v>701</v>
      </c>
      <c r="L1695" s="14">
        <f>24*(TblTimeSheet[[#This Row],[End Date and Time]]-TblTimeSheet[[#This Row],[Start Date and Time]])</f>
        <v>0.16666666668606922</v>
      </c>
      <c r="M16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5" s="14">
        <f>--(0&gt;(TblTimeSheet[[#This Row],[End Date and Time]]-TblTimeSheet[[#This Row],[Start Date and Time]]))</f>
        <v>0</v>
      </c>
    </row>
    <row r="1696" spans="1:14" x14ac:dyDescent="0.25">
      <c r="A1696" s="1"/>
      <c r="B1696" s="2" t="s">
        <v>697</v>
      </c>
      <c r="C1696" s="2" t="s">
        <v>116</v>
      </c>
      <c r="D1696" s="2" t="s">
        <v>34</v>
      </c>
      <c r="E1696" s="7" t="s">
        <v>3630</v>
      </c>
      <c r="F1696" s="37">
        <v>42451.395833333336</v>
      </c>
      <c r="G1696" s="37">
        <v>42451.5</v>
      </c>
      <c r="H1696" s="1" t="s">
        <v>6</v>
      </c>
      <c r="I1696" s="1" t="s">
        <v>38</v>
      </c>
      <c r="J1696" s="1">
        <v>42452.352164351854</v>
      </c>
      <c r="K1696" s="1" t="s">
        <v>701</v>
      </c>
      <c r="L1696" s="14">
        <f>24*(TblTimeSheet[[#This Row],[End Date and Time]]-TblTimeSheet[[#This Row],[Start Date and Time]])</f>
        <v>2.4999999999417923</v>
      </c>
      <c r="M16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6" s="14">
        <f>--(0&gt;(TblTimeSheet[[#This Row],[End Date and Time]]-TblTimeSheet[[#This Row],[Start Date and Time]]))</f>
        <v>0</v>
      </c>
    </row>
    <row r="1697" spans="1:14" x14ac:dyDescent="0.25">
      <c r="A1697" s="1"/>
      <c r="B1697" s="2" t="s">
        <v>697</v>
      </c>
      <c r="C1697" s="2" t="s">
        <v>116</v>
      </c>
      <c r="D1697" s="2" t="s">
        <v>34</v>
      </c>
      <c r="E1697" s="7" t="s">
        <v>3630</v>
      </c>
      <c r="F1697" s="37">
        <v>42451.513888888891</v>
      </c>
      <c r="G1697" s="37">
        <v>42451.5625</v>
      </c>
      <c r="H1697" s="1" t="s">
        <v>6</v>
      </c>
      <c r="I1697" s="1" t="s">
        <v>38</v>
      </c>
      <c r="J1697" s="1">
        <v>42452.352847222224</v>
      </c>
      <c r="K1697" s="1" t="s">
        <v>701</v>
      </c>
      <c r="L1697" s="14">
        <f>24*(TblTimeSheet[[#This Row],[End Date and Time]]-TblTimeSheet[[#This Row],[Start Date and Time]])</f>
        <v>1.1666666666278616</v>
      </c>
      <c r="M16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97" s="14">
        <f>--(0&gt;(TblTimeSheet[[#This Row],[End Date and Time]]-TblTimeSheet[[#This Row],[Start Date and Time]]))</f>
        <v>0</v>
      </c>
    </row>
    <row r="1698" spans="1:14" x14ac:dyDescent="0.25">
      <c r="A1698" s="1"/>
      <c r="B1698" s="2" t="s">
        <v>697</v>
      </c>
      <c r="C1698" s="2" t="s">
        <v>116</v>
      </c>
      <c r="D1698" s="2" t="s">
        <v>34</v>
      </c>
      <c r="E1698" s="7" t="s">
        <v>3630</v>
      </c>
      <c r="F1698" s="37">
        <v>42451.583333333336</v>
      </c>
      <c r="G1698" s="37">
        <v>42451.597222222219</v>
      </c>
      <c r="H1698" s="1" t="s">
        <v>6</v>
      </c>
      <c r="I1698" s="1" t="s">
        <v>38</v>
      </c>
      <c r="J1698" s="1">
        <v>42452.353275462963</v>
      </c>
      <c r="K1698" s="1" t="s">
        <v>701</v>
      </c>
      <c r="L1698" s="14">
        <f>24*(TblTimeSheet[[#This Row],[End Date and Time]]-TblTimeSheet[[#This Row],[Start Date and Time]])</f>
        <v>0.33333333319751546</v>
      </c>
      <c r="M16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698" s="14">
        <f>--(0&gt;(TblTimeSheet[[#This Row],[End Date and Time]]-TblTimeSheet[[#This Row],[Start Date and Time]]))</f>
        <v>0</v>
      </c>
    </row>
    <row r="1699" spans="1:14" x14ac:dyDescent="0.25">
      <c r="A1699" s="1"/>
      <c r="B1699" s="2" t="s">
        <v>915</v>
      </c>
      <c r="C1699" s="2" t="s">
        <v>116</v>
      </c>
      <c r="D1699" s="2" t="s">
        <v>32</v>
      </c>
      <c r="E1699" s="7" t="s">
        <v>2901</v>
      </c>
      <c r="F1699" s="37">
        <v>42450.513888888891</v>
      </c>
      <c r="G1699" s="37">
        <v>42450.534722222219</v>
      </c>
      <c r="H1699" s="1" t="s">
        <v>6</v>
      </c>
      <c r="I1699" s="1" t="s">
        <v>38</v>
      </c>
      <c r="J1699" s="1">
        <v>42452.355914351851</v>
      </c>
      <c r="K1699" s="1" t="s">
        <v>701</v>
      </c>
      <c r="L1699" s="14">
        <f>24*(TblTimeSheet[[#This Row],[End Date and Time]]-TblTimeSheet[[#This Row],[Start Date and Time]])</f>
        <v>0.49999999988358468</v>
      </c>
      <c r="M16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699" s="14">
        <f>--(0&gt;(TblTimeSheet[[#This Row],[End Date and Time]]-TblTimeSheet[[#This Row],[Start Date and Time]]))</f>
        <v>0</v>
      </c>
    </row>
    <row r="1700" spans="1:14" x14ac:dyDescent="0.25">
      <c r="A1700" s="1"/>
      <c r="B1700" s="2" t="s">
        <v>697</v>
      </c>
      <c r="C1700" s="2" t="s">
        <v>143</v>
      </c>
      <c r="D1700" s="2" t="s">
        <v>34</v>
      </c>
      <c r="E1700" s="7" t="s">
        <v>993</v>
      </c>
      <c r="F1700" s="37">
        <v>42451.395833333336</v>
      </c>
      <c r="G1700" s="37">
        <v>42451.479166666664</v>
      </c>
      <c r="H1700" s="1" t="s">
        <v>6</v>
      </c>
      <c r="I1700" s="1" t="s">
        <v>38</v>
      </c>
      <c r="J1700" s="1">
        <v>42452.378194444442</v>
      </c>
      <c r="K1700" s="1" t="s">
        <v>143</v>
      </c>
      <c r="L1700" s="14">
        <f>24*(TblTimeSheet[[#This Row],[End Date and Time]]-TblTimeSheet[[#This Row],[Start Date and Time]])</f>
        <v>1.9999999998835847</v>
      </c>
      <c r="M17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0" s="14">
        <f>--(0&gt;(TblTimeSheet[[#This Row],[End Date and Time]]-TblTimeSheet[[#This Row],[Start Date and Time]]))</f>
        <v>0</v>
      </c>
    </row>
    <row r="1701" spans="1:14" x14ac:dyDescent="0.25">
      <c r="A1701" s="1"/>
      <c r="B1701" s="2" t="s">
        <v>917</v>
      </c>
      <c r="C1701" s="2" t="s">
        <v>43</v>
      </c>
      <c r="D1701" s="2" t="s">
        <v>20</v>
      </c>
      <c r="E1701" s="7" t="s">
        <v>1870</v>
      </c>
      <c r="F1701" s="37">
        <v>42451.604166666664</v>
      </c>
      <c r="G1701" s="37">
        <v>42451.611111111109</v>
      </c>
      <c r="H1701" s="1" t="s">
        <v>6</v>
      </c>
      <c r="I1701" s="1" t="s">
        <v>38</v>
      </c>
      <c r="J1701" s="1">
        <v>42452.417812500003</v>
      </c>
      <c r="K1701" s="1" t="s">
        <v>43</v>
      </c>
      <c r="L1701" s="14">
        <f>24*(TblTimeSheet[[#This Row],[End Date and Time]]-TblTimeSheet[[#This Row],[Start Date and Time]])</f>
        <v>0.16666666668606922</v>
      </c>
      <c r="M17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1" s="14">
        <f>--(0&gt;(TblTimeSheet[[#This Row],[End Date and Time]]-TblTimeSheet[[#This Row],[Start Date and Time]]))</f>
        <v>0</v>
      </c>
    </row>
    <row r="1702" spans="1:14" x14ac:dyDescent="0.25">
      <c r="A1702" s="1"/>
      <c r="B1702" s="2" t="s">
        <v>911</v>
      </c>
      <c r="C1702" s="2" t="s">
        <v>41</v>
      </c>
      <c r="D1702" s="2" t="s">
        <v>33</v>
      </c>
      <c r="E1702" s="7" t="s">
        <v>2902</v>
      </c>
      <c r="F1702" s="37">
        <v>42451.666666666664</v>
      </c>
      <c r="G1702" s="37">
        <v>42451.708333333336</v>
      </c>
      <c r="H1702" s="1" t="s">
        <v>6</v>
      </c>
      <c r="I1702" s="1" t="s">
        <v>38</v>
      </c>
      <c r="J1702" s="1">
        <v>42452.421631944446</v>
      </c>
      <c r="K1702" s="1" t="s">
        <v>41</v>
      </c>
      <c r="L1702" s="14">
        <f>24*(TblTimeSheet[[#This Row],[End Date and Time]]-TblTimeSheet[[#This Row],[Start Date and Time]])</f>
        <v>1.0000000001164153</v>
      </c>
      <c r="M17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2" s="14">
        <f>--(0&gt;(TblTimeSheet[[#This Row],[End Date and Time]]-TblTimeSheet[[#This Row],[Start Date and Time]]))</f>
        <v>0</v>
      </c>
    </row>
    <row r="1703" spans="1:14" x14ac:dyDescent="0.25">
      <c r="A1703" s="1"/>
      <c r="B1703" s="2" t="s">
        <v>915</v>
      </c>
      <c r="C1703" s="2" t="s">
        <v>116</v>
      </c>
      <c r="D1703" s="2" t="s">
        <v>32</v>
      </c>
      <c r="E1703" s="7" t="s">
        <v>2903</v>
      </c>
      <c r="F1703" s="37">
        <v>42452.416666666664</v>
      </c>
      <c r="G1703" s="37">
        <v>42452.423611111109</v>
      </c>
      <c r="H1703" s="1" t="s">
        <v>6</v>
      </c>
      <c r="I1703" s="1" t="s">
        <v>38</v>
      </c>
      <c r="J1703" s="1">
        <v>42452.423530092594</v>
      </c>
      <c r="K1703" s="1" t="s">
        <v>39</v>
      </c>
      <c r="L1703" s="14">
        <f>24*(TblTimeSheet[[#This Row],[End Date and Time]]-TblTimeSheet[[#This Row],[Start Date and Time]])</f>
        <v>0.16666666668606922</v>
      </c>
      <c r="M17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3" s="14">
        <f>--(0&gt;(TblTimeSheet[[#This Row],[End Date and Time]]-TblTimeSheet[[#This Row],[Start Date and Time]]))</f>
        <v>0</v>
      </c>
    </row>
    <row r="1704" spans="1:14" x14ac:dyDescent="0.25">
      <c r="A1704" s="1"/>
      <c r="B1704" s="2" t="s">
        <v>917</v>
      </c>
      <c r="C1704" s="2" t="s">
        <v>41</v>
      </c>
      <c r="D1704" s="2" t="s">
        <v>20</v>
      </c>
      <c r="E1704" s="7" t="s">
        <v>2904</v>
      </c>
      <c r="F1704" s="37">
        <v>42452.388888888891</v>
      </c>
      <c r="G1704" s="37">
        <v>42452.420138888891</v>
      </c>
      <c r="H1704" s="1" t="s">
        <v>6</v>
      </c>
      <c r="I1704" s="1" t="s">
        <v>38</v>
      </c>
      <c r="J1704" s="1">
        <v>42452.425833333335</v>
      </c>
      <c r="K1704" s="1" t="s">
        <v>41</v>
      </c>
      <c r="L1704" s="14">
        <f>24*(TblTimeSheet[[#This Row],[End Date and Time]]-TblTimeSheet[[#This Row],[Start Date and Time]])</f>
        <v>0.75</v>
      </c>
      <c r="M17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4" s="14">
        <f>--(0&gt;(TblTimeSheet[[#This Row],[End Date and Time]]-TblTimeSheet[[#This Row],[Start Date and Time]]))</f>
        <v>0</v>
      </c>
    </row>
    <row r="1705" spans="1:14" x14ac:dyDescent="0.25">
      <c r="A1705" s="1"/>
      <c r="B1705" s="2" t="s">
        <v>697</v>
      </c>
      <c r="C1705" s="2" t="s">
        <v>143</v>
      </c>
      <c r="D1705" s="2" t="s">
        <v>34</v>
      </c>
      <c r="E1705" s="7" t="s">
        <v>1718</v>
      </c>
      <c r="F1705" s="37">
        <v>42452.458333333336</v>
      </c>
      <c r="G1705" s="37">
        <v>42452.541666666664</v>
      </c>
      <c r="H1705" s="1" t="s">
        <v>6</v>
      </c>
      <c r="I1705" s="1" t="s">
        <v>38</v>
      </c>
      <c r="J1705" s="1">
        <v>42452.465104166666</v>
      </c>
      <c r="K1705" s="1" t="s">
        <v>143</v>
      </c>
      <c r="L1705" s="14">
        <f>24*(TblTimeSheet[[#This Row],[End Date and Time]]-TblTimeSheet[[#This Row],[Start Date and Time]])</f>
        <v>1.9999999998835847</v>
      </c>
      <c r="M17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5" s="14">
        <f>--(0&gt;(TblTimeSheet[[#This Row],[End Date and Time]]-TblTimeSheet[[#This Row],[Start Date and Time]]))</f>
        <v>0</v>
      </c>
    </row>
    <row r="1706" spans="1:14" x14ac:dyDescent="0.25">
      <c r="A1706" s="1"/>
      <c r="B1706" s="2" t="s">
        <v>911</v>
      </c>
      <c r="C1706" s="2" t="s">
        <v>41</v>
      </c>
      <c r="D1706" s="2" t="s">
        <v>33</v>
      </c>
      <c r="E1706" s="7" t="s">
        <v>2905</v>
      </c>
      <c r="F1706" s="37">
        <v>42452.444444444445</v>
      </c>
      <c r="G1706" s="37">
        <v>42452.472222222219</v>
      </c>
      <c r="H1706" s="1" t="s">
        <v>6</v>
      </c>
      <c r="I1706" s="1" t="s">
        <v>38</v>
      </c>
      <c r="J1706" s="1">
        <v>42452.47148148148</v>
      </c>
      <c r="K1706" s="1" t="s">
        <v>41</v>
      </c>
      <c r="L1706" s="14">
        <f>24*(TblTimeSheet[[#This Row],[End Date and Time]]-TblTimeSheet[[#This Row],[Start Date and Time]])</f>
        <v>0.6666666665696539</v>
      </c>
      <c r="M17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6" s="14">
        <f>--(0&gt;(TblTimeSheet[[#This Row],[End Date and Time]]-TblTimeSheet[[#This Row],[Start Date and Time]]))</f>
        <v>0</v>
      </c>
    </row>
    <row r="1707" spans="1:14" x14ac:dyDescent="0.25">
      <c r="A1707" s="1"/>
      <c r="B1707" s="2" t="s">
        <v>917</v>
      </c>
      <c r="C1707" s="2" t="s">
        <v>36</v>
      </c>
      <c r="D1707" s="2" t="s">
        <v>20</v>
      </c>
      <c r="E1707" s="7" t="s">
        <v>2906</v>
      </c>
      <c r="F1707" s="37">
        <v>42452.354166666664</v>
      </c>
      <c r="G1707" s="37">
        <v>42452.364583333336</v>
      </c>
      <c r="H1707" s="1" t="s">
        <v>6</v>
      </c>
      <c r="I1707" s="1" t="s">
        <v>38</v>
      </c>
      <c r="J1707" s="1">
        <v>42452.471643518518</v>
      </c>
      <c r="K1707" s="1" t="s">
        <v>36</v>
      </c>
      <c r="L1707" s="14">
        <f>24*(TblTimeSheet[[#This Row],[End Date and Time]]-TblTimeSheet[[#This Row],[Start Date and Time]])</f>
        <v>0.25000000011641532</v>
      </c>
      <c r="M17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7" s="14">
        <f>--(0&gt;(TblTimeSheet[[#This Row],[End Date and Time]]-TblTimeSheet[[#This Row],[Start Date and Time]]))</f>
        <v>0</v>
      </c>
    </row>
    <row r="1708" spans="1:14" x14ac:dyDescent="0.25">
      <c r="A1708" s="1"/>
      <c r="B1708" s="2" t="s">
        <v>917</v>
      </c>
      <c r="C1708" s="2" t="s">
        <v>171</v>
      </c>
      <c r="D1708" s="2" t="s">
        <v>20</v>
      </c>
      <c r="E1708" s="7" t="s">
        <v>3631</v>
      </c>
      <c r="F1708" s="37">
        <v>42451.666666666664</v>
      </c>
      <c r="G1708" s="37">
        <v>42451.729166666664</v>
      </c>
      <c r="H1708" s="1" t="s">
        <v>6</v>
      </c>
      <c r="I1708" s="1" t="s">
        <v>38</v>
      </c>
      <c r="J1708" s="1">
        <v>42452.491400462961</v>
      </c>
      <c r="K1708" s="1" t="s">
        <v>171</v>
      </c>
      <c r="L1708" s="14">
        <f>24*(TblTimeSheet[[#This Row],[End Date and Time]]-TblTimeSheet[[#This Row],[Start Date and Time]])</f>
        <v>1.5</v>
      </c>
      <c r="M17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8" s="14">
        <f>--(0&gt;(TblTimeSheet[[#This Row],[End Date and Time]]-TblTimeSheet[[#This Row],[Start Date and Time]]))</f>
        <v>0</v>
      </c>
    </row>
    <row r="1709" spans="1:14" ht="30" x14ac:dyDescent="0.25">
      <c r="A1709" s="1"/>
      <c r="B1709" s="2" t="s">
        <v>917</v>
      </c>
      <c r="C1709" s="2" t="s">
        <v>171</v>
      </c>
      <c r="D1709" s="2" t="s">
        <v>20</v>
      </c>
      <c r="E1709" s="7" t="s">
        <v>2907</v>
      </c>
      <c r="F1709" s="37">
        <v>42452.388888888891</v>
      </c>
      <c r="G1709" s="37">
        <v>42452.430555555555</v>
      </c>
      <c r="H1709" s="1" t="s">
        <v>6</v>
      </c>
      <c r="I1709" s="1" t="s">
        <v>38</v>
      </c>
      <c r="J1709" s="1">
        <v>42452.491087962961</v>
      </c>
      <c r="K1709" s="1" t="s">
        <v>171</v>
      </c>
      <c r="L1709" s="14">
        <f>24*(TblTimeSheet[[#This Row],[End Date and Time]]-TblTimeSheet[[#This Row],[Start Date and Time]])</f>
        <v>0.99999999994179234</v>
      </c>
      <c r="M17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09" s="14">
        <f>--(0&gt;(TblTimeSheet[[#This Row],[End Date and Time]]-TblTimeSheet[[#This Row],[Start Date and Time]]))</f>
        <v>0</v>
      </c>
    </row>
    <row r="1710" spans="1:14" x14ac:dyDescent="0.25">
      <c r="A1710" s="1"/>
      <c r="B1710" s="2" t="s">
        <v>917</v>
      </c>
      <c r="C1710" s="2" t="s">
        <v>961</v>
      </c>
      <c r="D1710" s="2" t="s">
        <v>20</v>
      </c>
      <c r="E1710" s="7" t="s">
        <v>3632</v>
      </c>
      <c r="F1710" s="37">
        <v>42452.388888888891</v>
      </c>
      <c r="G1710" s="37">
        <v>42452.420138888891</v>
      </c>
      <c r="H1710" s="1" t="s">
        <v>6</v>
      </c>
      <c r="I1710" s="1" t="s">
        <v>38</v>
      </c>
      <c r="J1710" s="1">
        <v>42452.494421296295</v>
      </c>
      <c r="K1710" s="1" t="s">
        <v>961</v>
      </c>
      <c r="L1710" s="14">
        <f>24*(TblTimeSheet[[#This Row],[End Date and Time]]-TblTimeSheet[[#This Row],[Start Date and Time]])</f>
        <v>0.75</v>
      </c>
      <c r="M17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0" s="14">
        <f>--(0&gt;(TblTimeSheet[[#This Row],[End Date and Time]]-TblTimeSheet[[#This Row],[Start Date and Time]]))</f>
        <v>0</v>
      </c>
    </row>
    <row r="1711" spans="1:14" x14ac:dyDescent="0.25">
      <c r="A1711" s="1"/>
      <c r="B1711" s="2" t="s">
        <v>911</v>
      </c>
      <c r="C1711" s="2" t="s">
        <v>1117</v>
      </c>
      <c r="D1711" s="2" t="s">
        <v>33</v>
      </c>
      <c r="E1711" s="7" t="s">
        <v>3633</v>
      </c>
      <c r="F1711" s="37">
        <v>42452.569444444445</v>
      </c>
      <c r="G1711" s="37">
        <v>42452.576388888891</v>
      </c>
      <c r="H1711" s="1" t="s">
        <v>6</v>
      </c>
      <c r="I1711" s="1" t="s">
        <v>38</v>
      </c>
      <c r="J1711" s="1">
        <v>42452.580243055556</v>
      </c>
      <c r="K1711" s="1" t="s">
        <v>2865</v>
      </c>
      <c r="L1711" s="14">
        <f>24*(TblTimeSheet[[#This Row],[End Date and Time]]-TblTimeSheet[[#This Row],[Start Date and Time]])</f>
        <v>0.16666666668606922</v>
      </c>
      <c r="M17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1" s="14">
        <f>--(0&gt;(TblTimeSheet[[#This Row],[End Date and Time]]-TblTimeSheet[[#This Row],[Start Date and Time]]))</f>
        <v>0</v>
      </c>
    </row>
    <row r="1712" spans="1:14" x14ac:dyDescent="0.25">
      <c r="A1712" s="1"/>
      <c r="B1712" s="2" t="s">
        <v>911</v>
      </c>
      <c r="C1712" s="2" t="s">
        <v>41</v>
      </c>
      <c r="D1712" s="2" t="s">
        <v>33</v>
      </c>
      <c r="E1712" s="7" t="s">
        <v>2908</v>
      </c>
      <c r="F1712" s="37">
        <v>42452.565972222219</v>
      </c>
      <c r="G1712" s="37">
        <v>42452.586805555555</v>
      </c>
      <c r="H1712" s="1" t="s">
        <v>6</v>
      </c>
      <c r="I1712" s="1" t="s">
        <v>38</v>
      </c>
      <c r="J1712" s="1">
        <v>42452.587418981479</v>
      </c>
      <c r="K1712" s="1" t="s">
        <v>41</v>
      </c>
      <c r="L1712" s="14">
        <f>24*(TblTimeSheet[[#This Row],[End Date and Time]]-TblTimeSheet[[#This Row],[Start Date and Time]])</f>
        <v>0.50000000005820766</v>
      </c>
      <c r="M17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2" s="14">
        <f>--(0&gt;(TblTimeSheet[[#This Row],[End Date and Time]]-TblTimeSheet[[#This Row],[Start Date and Time]]))</f>
        <v>0</v>
      </c>
    </row>
    <row r="1713" spans="1:14" x14ac:dyDescent="0.25">
      <c r="A1713" s="1"/>
      <c r="B1713" s="2" t="s">
        <v>911</v>
      </c>
      <c r="C1713" s="2" t="s">
        <v>36</v>
      </c>
      <c r="D1713" s="2" t="s">
        <v>34</v>
      </c>
      <c r="E1713" s="7" t="s">
        <v>1389</v>
      </c>
      <c r="F1713" s="37">
        <v>42452.565972222219</v>
      </c>
      <c r="G1713" s="37">
        <v>42452.583333333336</v>
      </c>
      <c r="H1713" s="1" t="s">
        <v>6</v>
      </c>
      <c r="I1713" s="1" t="s">
        <v>38</v>
      </c>
      <c r="J1713" s="1">
        <v>42452.588148148148</v>
      </c>
      <c r="K1713" s="1" t="s">
        <v>36</v>
      </c>
      <c r="L1713" s="14">
        <f>24*(TblTimeSheet[[#This Row],[End Date and Time]]-TblTimeSheet[[#This Row],[Start Date and Time]])</f>
        <v>0.41666666680248454</v>
      </c>
      <c r="M17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3" s="14">
        <f>--(0&gt;(TblTimeSheet[[#This Row],[End Date and Time]]-TblTimeSheet[[#This Row],[Start Date and Time]]))</f>
        <v>0</v>
      </c>
    </row>
    <row r="1714" spans="1:14" x14ac:dyDescent="0.25">
      <c r="A1714" s="1"/>
      <c r="B1714" s="2" t="s">
        <v>915</v>
      </c>
      <c r="C1714" s="2" t="s">
        <v>1117</v>
      </c>
      <c r="D1714" s="2" t="s">
        <v>32</v>
      </c>
      <c r="E1714" s="7" t="s">
        <v>2909</v>
      </c>
      <c r="F1714" s="37">
        <v>42452.375</v>
      </c>
      <c r="G1714" s="37">
        <v>42452.458333333336</v>
      </c>
      <c r="H1714" s="1" t="s">
        <v>6</v>
      </c>
      <c r="I1714" s="1" t="s">
        <v>38</v>
      </c>
      <c r="J1714" s="1">
        <v>42452.589733796296</v>
      </c>
      <c r="K1714" s="1" t="s">
        <v>2865</v>
      </c>
      <c r="L1714" s="14">
        <f>24*(TblTimeSheet[[#This Row],[End Date and Time]]-TblTimeSheet[[#This Row],[Start Date and Time]])</f>
        <v>2.0000000000582077</v>
      </c>
      <c r="M17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4" s="14">
        <f>--(0&gt;(TblTimeSheet[[#This Row],[End Date and Time]]-TblTimeSheet[[#This Row],[Start Date and Time]]))</f>
        <v>0</v>
      </c>
    </row>
    <row r="1715" spans="1:14" x14ac:dyDescent="0.25">
      <c r="A1715" s="1"/>
      <c r="B1715" s="2" t="s">
        <v>915</v>
      </c>
      <c r="C1715" s="2" t="s">
        <v>1117</v>
      </c>
      <c r="D1715" s="2" t="s">
        <v>32</v>
      </c>
      <c r="E1715" s="7" t="s">
        <v>2910</v>
      </c>
      <c r="F1715" s="37">
        <v>42452.458333333336</v>
      </c>
      <c r="G1715" s="37">
        <v>42452.541666666664</v>
      </c>
      <c r="H1715" s="1" t="s">
        <v>6</v>
      </c>
      <c r="I1715" s="1" t="s">
        <v>38</v>
      </c>
      <c r="J1715" s="1">
        <v>42452.59065972222</v>
      </c>
      <c r="K1715" s="1" t="s">
        <v>2865</v>
      </c>
      <c r="L1715" s="14">
        <f>24*(TblTimeSheet[[#This Row],[End Date and Time]]-TblTimeSheet[[#This Row],[Start Date and Time]])</f>
        <v>1.9999999998835847</v>
      </c>
      <c r="M17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5" s="14">
        <f>--(0&gt;(TblTimeSheet[[#This Row],[End Date and Time]]-TblTimeSheet[[#This Row],[Start Date and Time]]))</f>
        <v>0</v>
      </c>
    </row>
    <row r="1716" spans="1:14" x14ac:dyDescent="0.25">
      <c r="A1716" s="1"/>
      <c r="B1716" s="2" t="s">
        <v>911</v>
      </c>
      <c r="C1716" s="2" t="s">
        <v>144</v>
      </c>
      <c r="D1716" s="2" t="s">
        <v>33</v>
      </c>
      <c r="E1716" s="7" t="s">
        <v>2911</v>
      </c>
      <c r="F1716" s="37">
        <v>42452.600694444445</v>
      </c>
      <c r="G1716" s="37">
        <v>42452.607638888891</v>
      </c>
      <c r="H1716" s="1" t="s">
        <v>6</v>
      </c>
      <c r="I1716" s="1" t="s">
        <v>38</v>
      </c>
      <c r="J1716" s="1">
        <v>42452.631793981483</v>
      </c>
      <c r="K1716" s="1" t="s">
        <v>144</v>
      </c>
      <c r="L1716" s="14">
        <f>24*(TblTimeSheet[[#This Row],[End Date and Time]]-TblTimeSheet[[#This Row],[Start Date and Time]])</f>
        <v>0.16666666668606922</v>
      </c>
      <c r="M17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16" s="14">
        <f>--(0&gt;(TblTimeSheet[[#This Row],[End Date and Time]]-TblTimeSheet[[#This Row],[Start Date and Time]]))</f>
        <v>0</v>
      </c>
    </row>
    <row r="1717" spans="1:14" x14ac:dyDescent="0.25">
      <c r="A1717" s="1"/>
      <c r="B1717" s="2" t="s">
        <v>2870</v>
      </c>
      <c r="C1717" s="2" t="s">
        <v>116</v>
      </c>
      <c r="D1717" s="2" t="s">
        <v>19</v>
      </c>
      <c r="E1717" s="7" t="s">
        <v>2912</v>
      </c>
      <c r="F1717" s="37">
        <v>42452.59375</v>
      </c>
      <c r="G1717" s="37">
        <v>42452.600694444445</v>
      </c>
      <c r="H1717" s="1" t="s">
        <v>6</v>
      </c>
      <c r="I1717" s="1" t="s">
        <v>38</v>
      </c>
      <c r="J1717" s="1">
        <v>42452.609131944446</v>
      </c>
      <c r="K1717" s="1" t="s">
        <v>39</v>
      </c>
      <c r="L1717" s="14">
        <f>24*(TblTimeSheet[[#This Row],[End Date and Time]]-TblTimeSheet[[#This Row],[Start Date and Time]])</f>
        <v>0.16666666668606922</v>
      </c>
      <c r="M17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17" s="14">
        <f>--(0&gt;(TblTimeSheet[[#This Row],[End Date and Time]]-TblTimeSheet[[#This Row],[Start Date and Time]]))</f>
        <v>0</v>
      </c>
    </row>
    <row r="1718" spans="1:14" ht="30" x14ac:dyDescent="0.25">
      <c r="A1718" s="1"/>
      <c r="B1718" s="2" t="s">
        <v>911</v>
      </c>
      <c r="C1718" s="2" t="s">
        <v>116</v>
      </c>
      <c r="D1718" s="2" t="s">
        <v>34</v>
      </c>
      <c r="E1718" s="7" t="s">
        <v>2913</v>
      </c>
      <c r="F1718" s="37">
        <v>42452.600694444445</v>
      </c>
      <c r="G1718" s="37">
        <v>42452.607638888891</v>
      </c>
      <c r="H1718" s="1" t="s">
        <v>6</v>
      </c>
      <c r="I1718" s="1" t="s">
        <v>38</v>
      </c>
      <c r="J1718" s="1">
        <v>42452.611122685186</v>
      </c>
      <c r="K1718" s="1" t="s">
        <v>39</v>
      </c>
      <c r="L1718" s="14">
        <f>24*(TblTimeSheet[[#This Row],[End Date and Time]]-TblTimeSheet[[#This Row],[Start Date and Time]])</f>
        <v>0.16666666668606922</v>
      </c>
      <c r="M17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18" s="14">
        <f>--(0&gt;(TblTimeSheet[[#This Row],[End Date and Time]]-TblTimeSheet[[#This Row],[Start Date and Time]]))</f>
        <v>0</v>
      </c>
    </row>
    <row r="1719" spans="1:14" ht="45" x14ac:dyDescent="0.25">
      <c r="A1719" s="1"/>
      <c r="B1719" s="2" t="s">
        <v>2870</v>
      </c>
      <c r="C1719" s="2" t="s">
        <v>116</v>
      </c>
      <c r="D1719" s="2" t="s">
        <v>19</v>
      </c>
      <c r="E1719" s="7" t="s">
        <v>3634</v>
      </c>
      <c r="F1719" s="37">
        <v>42452.59375</v>
      </c>
      <c r="G1719" s="37">
        <v>42452.600694444445</v>
      </c>
      <c r="H1719" s="1" t="s">
        <v>6</v>
      </c>
      <c r="I1719" s="1" t="s">
        <v>38</v>
      </c>
      <c r="J1719" s="1">
        <v>42452.613078703704</v>
      </c>
      <c r="K1719" s="1" t="s">
        <v>81</v>
      </c>
      <c r="L1719" s="14">
        <f>24*(TblTimeSheet[[#This Row],[End Date and Time]]-TblTimeSheet[[#This Row],[Start Date and Time]])</f>
        <v>0.16666666668606922</v>
      </c>
      <c r="M17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19" s="14">
        <f>--(0&gt;(TblTimeSheet[[#This Row],[End Date and Time]]-TblTimeSheet[[#This Row],[Start Date and Time]]))</f>
        <v>0</v>
      </c>
    </row>
    <row r="1720" spans="1:14" ht="30" x14ac:dyDescent="0.25">
      <c r="A1720" s="1"/>
      <c r="B1720" s="2" t="s">
        <v>911</v>
      </c>
      <c r="C1720" s="2" t="s">
        <v>116</v>
      </c>
      <c r="D1720" s="2" t="s">
        <v>33</v>
      </c>
      <c r="E1720" s="7" t="s">
        <v>3635</v>
      </c>
      <c r="F1720" s="37">
        <v>42452.600694444445</v>
      </c>
      <c r="G1720" s="37">
        <v>42452.607638888891</v>
      </c>
      <c r="H1720" s="1" t="s">
        <v>6</v>
      </c>
      <c r="I1720" s="1" t="s">
        <v>38</v>
      </c>
      <c r="J1720" s="1">
        <v>42452.614872685182</v>
      </c>
      <c r="K1720" s="1" t="s">
        <v>81</v>
      </c>
      <c r="L1720" s="14">
        <f>24*(TblTimeSheet[[#This Row],[End Date and Time]]-TblTimeSheet[[#This Row],[Start Date and Time]])</f>
        <v>0.16666666668606922</v>
      </c>
      <c r="M17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20" s="14">
        <f>--(0&gt;(TblTimeSheet[[#This Row],[End Date and Time]]-TblTimeSheet[[#This Row],[Start Date and Time]]))</f>
        <v>0</v>
      </c>
    </row>
    <row r="1721" spans="1:14" x14ac:dyDescent="0.25">
      <c r="A1721" s="1"/>
      <c r="B1721" s="2" t="s">
        <v>2870</v>
      </c>
      <c r="C1721" s="2" t="s">
        <v>78</v>
      </c>
      <c r="D1721" s="2" t="s">
        <v>19</v>
      </c>
      <c r="E1721" s="7" t="s">
        <v>1214</v>
      </c>
      <c r="F1721" s="37">
        <v>42452.586805555555</v>
      </c>
      <c r="G1721" s="37">
        <v>42452.600694444445</v>
      </c>
      <c r="H1721" s="1" t="s">
        <v>6</v>
      </c>
      <c r="I1721" s="1" t="s">
        <v>38</v>
      </c>
      <c r="J1721" s="1">
        <v>42452.615104166667</v>
      </c>
      <c r="K1721" s="1" t="s">
        <v>78</v>
      </c>
      <c r="L1721" s="14">
        <f>24*(TblTimeSheet[[#This Row],[End Date and Time]]-TblTimeSheet[[#This Row],[Start Date and Time]])</f>
        <v>0.33333333337213844</v>
      </c>
      <c r="M17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1" s="14">
        <f>--(0&gt;(TblTimeSheet[[#This Row],[End Date and Time]]-TblTimeSheet[[#This Row],[Start Date and Time]]))</f>
        <v>0</v>
      </c>
    </row>
    <row r="1722" spans="1:14" x14ac:dyDescent="0.25">
      <c r="A1722" s="1"/>
      <c r="B1722" s="2" t="s">
        <v>2870</v>
      </c>
      <c r="C1722" s="2" t="s">
        <v>41</v>
      </c>
      <c r="D1722" s="2" t="s">
        <v>19</v>
      </c>
      <c r="E1722" s="7" t="s">
        <v>2914</v>
      </c>
      <c r="F1722" s="37">
        <v>42452.586805555555</v>
      </c>
      <c r="G1722" s="37">
        <v>42452.600694444445</v>
      </c>
      <c r="H1722" s="1" t="s">
        <v>6</v>
      </c>
      <c r="I1722" s="1" t="s">
        <v>38</v>
      </c>
      <c r="J1722" s="1">
        <v>42452.617673611108</v>
      </c>
      <c r="K1722" s="1" t="s">
        <v>41</v>
      </c>
      <c r="L1722" s="14">
        <f>24*(TblTimeSheet[[#This Row],[End Date and Time]]-TblTimeSheet[[#This Row],[Start Date and Time]])</f>
        <v>0.33333333337213844</v>
      </c>
      <c r="M17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2" s="14">
        <f>--(0&gt;(TblTimeSheet[[#This Row],[End Date and Time]]-TblTimeSheet[[#This Row],[Start Date and Time]]))</f>
        <v>0</v>
      </c>
    </row>
    <row r="1723" spans="1:14" x14ac:dyDescent="0.25">
      <c r="A1723" s="1"/>
      <c r="B1723" s="2" t="s">
        <v>911</v>
      </c>
      <c r="C1723" s="2" t="s">
        <v>41</v>
      </c>
      <c r="D1723" s="2" t="s">
        <v>33</v>
      </c>
      <c r="E1723" s="7" t="s">
        <v>2915</v>
      </c>
      <c r="F1723" s="37">
        <v>42452.600694444445</v>
      </c>
      <c r="G1723" s="37">
        <v>42452.607638888891</v>
      </c>
      <c r="H1723" s="1" t="s">
        <v>6</v>
      </c>
      <c r="I1723" s="1" t="s">
        <v>38</v>
      </c>
      <c r="J1723" s="1">
        <v>42452.618425925924</v>
      </c>
      <c r="K1723" s="1" t="s">
        <v>41</v>
      </c>
      <c r="L1723" s="14">
        <f>24*(TblTimeSheet[[#This Row],[End Date and Time]]-TblTimeSheet[[#This Row],[Start Date and Time]])</f>
        <v>0.16666666668606922</v>
      </c>
      <c r="M17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3" s="14">
        <f>--(0&gt;(TblTimeSheet[[#This Row],[End Date and Time]]-TblTimeSheet[[#This Row],[Start Date and Time]]))</f>
        <v>0</v>
      </c>
    </row>
    <row r="1724" spans="1:14" x14ac:dyDescent="0.25">
      <c r="A1724" s="1"/>
      <c r="B1724" s="2" t="s">
        <v>2870</v>
      </c>
      <c r="C1724" s="2" t="s">
        <v>36</v>
      </c>
      <c r="D1724" s="2" t="s">
        <v>19</v>
      </c>
      <c r="E1724" s="7" t="s">
        <v>2916</v>
      </c>
      <c r="F1724" s="37">
        <v>42452.586805555555</v>
      </c>
      <c r="G1724" s="37">
        <v>42452.600694444445</v>
      </c>
      <c r="H1724" s="1" t="s">
        <v>6</v>
      </c>
      <c r="I1724" s="1" t="s">
        <v>38</v>
      </c>
      <c r="J1724" s="1">
        <v>42452.659305555557</v>
      </c>
      <c r="K1724" s="1" t="s">
        <v>36</v>
      </c>
      <c r="L1724" s="14">
        <f>24*(TblTimeSheet[[#This Row],[End Date and Time]]-TblTimeSheet[[#This Row],[Start Date and Time]])</f>
        <v>0.33333333337213844</v>
      </c>
      <c r="M17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4" s="14">
        <f>--(0&gt;(TblTimeSheet[[#This Row],[End Date and Time]]-TblTimeSheet[[#This Row],[Start Date and Time]]))</f>
        <v>0</v>
      </c>
    </row>
    <row r="1725" spans="1:14" x14ac:dyDescent="0.25">
      <c r="A1725" s="1"/>
      <c r="B1725" s="2" t="s">
        <v>911</v>
      </c>
      <c r="C1725" s="2" t="s">
        <v>41</v>
      </c>
      <c r="D1725" s="2" t="s">
        <v>34</v>
      </c>
      <c r="E1725" s="7" t="s">
        <v>2917</v>
      </c>
      <c r="F1725" s="37">
        <v>42452.673611111109</v>
      </c>
      <c r="G1725" s="37">
        <v>42452.680555555555</v>
      </c>
      <c r="H1725" s="1" t="s">
        <v>6</v>
      </c>
      <c r="I1725" s="1" t="s">
        <v>38</v>
      </c>
      <c r="J1725" s="1">
        <v>42452.682349537034</v>
      </c>
      <c r="K1725" s="1" t="s">
        <v>41</v>
      </c>
      <c r="L1725" s="14">
        <f>24*(TblTimeSheet[[#This Row],[End Date and Time]]-TblTimeSheet[[#This Row],[Start Date and Time]])</f>
        <v>0.16666666668606922</v>
      </c>
      <c r="M17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5" s="14">
        <f>--(0&gt;(TblTimeSheet[[#This Row],[End Date and Time]]-TblTimeSheet[[#This Row],[Start Date and Time]]))</f>
        <v>0</v>
      </c>
    </row>
    <row r="1726" spans="1:14" x14ac:dyDescent="0.25">
      <c r="A1726" s="1"/>
      <c r="B1726" s="2" t="s">
        <v>911</v>
      </c>
      <c r="C1726" s="2" t="s">
        <v>116</v>
      </c>
      <c r="D1726" s="2" t="s">
        <v>33</v>
      </c>
      <c r="E1726" s="7" t="s">
        <v>3636</v>
      </c>
      <c r="F1726" s="37">
        <v>42452.444444444445</v>
      </c>
      <c r="G1726" s="37">
        <v>42452.472222222219</v>
      </c>
      <c r="H1726" s="1" t="s">
        <v>6</v>
      </c>
      <c r="I1726" s="1" t="s">
        <v>38</v>
      </c>
      <c r="J1726" s="1">
        <v>42452.686006944445</v>
      </c>
      <c r="K1726" s="1" t="s">
        <v>81</v>
      </c>
      <c r="L1726" s="14">
        <f>24*(TblTimeSheet[[#This Row],[End Date and Time]]-TblTimeSheet[[#This Row],[Start Date and Time]])</f>
        <v>0.6666666665696539</v>
      </c>
      <c r="M17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6" s="14">
        <f>--(0&gt;(TblTimeSheet[[#This Row],[End Date and Time]]-TblTimeSheet[[#This Row],[Start Date and Time]]))</f>
        <v>0</v>
      </c>
    </row>
    <row r="1727" spans="1:14" x14ac:dyDescent="0.25">
      <c r="A1727" s="1"/>
      <c r="B1727" s="2" t="s">
        <v>697</v>
      </c>
      <c r="C1727" s="2" t="s">
        <v>124</v>
      </c>
      <c r="D1727" s="2" t="s">
        <v>34</v>
      </c>
      <c r="E1727" s="7" t="s">
        <v>2918</v>
      </c>
      <c r="F1727" s="37">
        <v>42452.625</v>
      </c>
      <c r="G1727" s="37">
        <v>42452.6875</v>
      </c>
      <c r="H1727" s="1" t="s">
        <v>6</v>
      </c>
      <c r="I1727" s="1" t="s">
        <v>38</v>
      </c>
      <c r="J1727" s="1">
        <v>42452.686597222222</v>
      </c>
      <c r="K1727" s="1" t="s">
        <v>2863</v>
      </c>
      <c r="L1727" s="14">
        <f>24*(TblTimeSheet[[#This Row],[End Date and Time]]-TblTimeSheet[[#This Row],[Start Date and Time]])</f>
        <v>1.5</v>
      </c>
      <c r="M17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27" s="14">
        <f>--(0&gt;(TblTimeSheet[[#This Row],[End Date and Time]]-TblTimeSheet[[#This Row],[Start Date and Time]]))</f>
        <v>0</v>
      </c>
    </row>
    <row r="1728" spans="1:14" x14ac:dyDescent="0.25">
      <c r="A1728" s="1"/>
      <c r="B1728" s="2" t="s">
        <v>697</v>
      </c>
      <c r="C1728" s="2" t="s">
        <v>116</v>
      </c>
      <c r="D1728" s="2" t="s">
        <v>34</v>
      </c>
      <c r="E1728" s="7" t="s">
        <v>3637</v>
      </c>
      <c r="F1728" s="37">
        <v>42452.625</v>
      </c>
      <c r="G1728" s="37">
        <v>42452.6875</v>
      </c>
      <c r="H1728" s="1" t="s">
        <v>6</v>
      </c>
      <c r="I1728" s="1" t="s">
        <v>38</v>
      </c>
      <c r="J1728" s="1">
        <v>42452.689189814817</v>
      </c>
      <c r="K1728" s="1" t="s">
        <v>81</v>
      </c>
      <c r="L1728" s="14">
        <f>24*(TblTimeSheet[[#This Row],[End Date and Time]]-TblTimeSheet[[#This Row],[Start Date and Time]])</f>
        <v>1.5</v>
      </c>
      <c r="M17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28" s="14">
        <f>--(0&gt;(TblTimeSheet[[#This Row],[End Date and Time]]-TblTimeSheet[[#This Row],[Start Date and Time]]))</f>
        <v>0</v>
      </c>
    </row>
    <row r="1729" spans="1:14" x14ac:dyDescent="0.25">
      <c r="A1729" s="1"/>
      <c r="B1729" s="2" t="s">
        <v>915</v>
      </c>
      <c r="C1729" s="2" t="s">
        <v>116</v>
      </c>
      <c r="D1729" s="2" t="s">
        <v>32</v>
      </c>
      <c r="E1729" s="7" t="s">
        <v>2919</v>
      </c>
      <c r="F1729" s="37">
        <v>42452.645833333336</v>
      </c>
      <c r="G1729" s="37">
        <v>42452.6875</v>
      </c>
      <c r="H1729" s="1" t="s">
        <v>6</v>
      </c>
      <c r="I1729" s="1" t="s">
        <v>38</v>
      </c>
      <c r="J1729" s="1">
        <v>42452.688402777778</v>
      </c>
      <c r="K1729" s="1" t="s">
        <v>39</v>
      </c>
      <c r="L1729" s="14">
        <f>24*(TblTimeSheet[[#This Row],[End Date and Time]]-TblTimeSheet[[#This Row],[Start Date and Time]])</f>
        <v>0.99999999994179234</v>
      </c>
      <c r="M17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29" s="14">
        <f>--(0&gt;(TblTimeSheet[[#This Row],[End Date and Time]]-TblTimeSheet[[#This Row],[Start Date and Time]]))</f>
        <v>0</v>
      </c>
    </row>
    <row r="1730" spans="1:14" x14ac:dyDescent="0.25">
      <c r="A1730" s="1"/>
      <c r="B1730" s="2" t="s">
        <v>2870</v>
      </c>
      <c r="C1730" s="2" t="s">
        <v>43</v>
      </c>
      <c r="D1730" s="2" t="s">
        <v>19</v>
      </c>
      <c r="E1730" s="7" t="s">
        <v>1270</v>
      </c>
      <c r="F1730" s="37">
        <v>42452.586805555555</v>
      </c>
      <c r="G1730" s="37">
        <v>42452.600694444445</v>
      </c>
      <c r="H1730" s="1" t="s">
        <v>6</v>
      </c>
      <c r="I1730" s="1" t="s">
        <v>38</v>
      </c>
      <c r="J1730" s="1">
        <v>42454.403090277781</v>
      </c>
      <c r="K1730" s="1" t="s">
        <v>43</v>
      </c>
      <c r="L1730" s="14">
        <f>24*(TblTimeSheet[[#This Row],[End Date and Time]]-TblTimeSheet[[#This Row],[Start Date and Time]])</f>
        <v>0.33333333337213844</v>
      </c>
      <c r="M17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0" s="14">
        <f>--(0&gt;(TblTimeSheet[[#This Row],[End Date and Time]]-TblTimeSheet[[#This Row],[Start Date and Time]]))</f>
        <v>0</v>
      </c>
    </row>
    <row r="1731" spans="1:14" x14ac:dyDescent="0.25">
      <c r="A1731" s="1"/>
      <c r="B1731" s="2" t="s">
        <v>911</v>
      </c>
      <c r="C1731" s="2" t="s">
        <v>144</v>
      </c>
      <c r="D1731" s="2" t="s">
        <v>34</v>
      </c>
      <c r="E1731" s="7" t="s">
        <v>2920</v>
      </c>
      <c r="F1731" s="37">
        <v>42454.395833333336</v>
      </c>
      <c r="G1731" s="37">
        <v>42454.5</v>
      </c>
      <c r="H1731" s="1" t="s">
        <v>6</v>
      </c>
      <c r="I1731" s="1" t="s">
        <v>38</v>
      </c>
      <c r="J1731" s="1">
        <v>42454.596701388888</v>
      </c>
      <c r="K1731" s="1" t="s">
        <v>144</v>
      </c>
      <c r="L1731" s="14">
        <f>24*(TblTimeSheet[[#This Row],[End Date and Time]]-TblTimeSheet[[#This Row],[Start Date and Time]])</f>
        <v>2.4999999999417923</v>
      </c>
      <c r="M17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1" s="14">
        <f>--(0&gt;(TblTimeSheet[[#This Row],[End Date and Time]]-TblTimeSheet[[#This Row],[Start Date and Time]]))</f>
        <v>0</v>
      </c>
    </row>
    <row r="1732" spans="1:14" x14ac:dyDescent="0.25">
      <c r="A1732" s="1"/>
      <c r="B1732" s="2" t="s">
        <v>911</v>
      </c>
      <c r="C1732" s="2" t="s">
        <v>144</v>
      </c>
      <c r="D1732" s="2" t="s">
        <v>34</v>
      </c>
      <c r="E1732" s="7" t="s">
        <v>2921</v>
      </c>
      <c r="F1732" s="37">
        <v>42454.520833333336</v>
      </c>
      <c r="G1732" s="37">
        <v>42454.541666666664</v>
      </c>
      <c r="H1732" s="1" t="s">
        <v>6</v>
      </c>
      <c r="I1732" s="1" t="s">
        <v>38</v>
      </c>
      <c r="J1732" s="1">
        <v>42455.428773148145</v>
      </c>
      <c r="K1732" s="1" t="s">
        <v>144</v>
      </c>
      <c r="L1732" s="14">
        <f>24*(TblTimeSheet[[#This Row],[End Date and Time]]-TblTimeSheet[[#This Row],[Start Date and Time]])</f>
        <v>0.49999999988358468</v>
      </c>
      <c r="M17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2" s="14">
        <f>--(0&gt;(TblTimeSheet[[#This Row],[End Date and Time]]-TblTimeSheet[[#This Row],[Start Date and Time]]))</f>
        <v>0</v>
      </c>
    </row>
    <row r="1733" spans="1:14" x14ac:dyDescent="0.25">
      <c r="A1733" s="1"/>
      <c r="B1733" s="2" t="s">
        <v>911</v>
      </c>
      <c r="C1733" s="2" t="s">
        <v>36</v>
      </c>
      <c r="D1733" s="2" t="s">
        <v>34</v>
      </c>
      <c r="E1733" s="7" t="s">
        <v>2922</v>
      </c>
      <c r="F1733" s="37">
        <v>42454.520833333336</v>
      </c>
      <c r="G1733" s="37">
        <v>42454.541666666664</v>
      </c>
      <c r="H1733" s="1" t="s">
        <v>6</v>
      </c>
      <c r="I1733" s="1" t="s">
        <v>38</v>
      </c>
      <c r="J1733" s="1">
        <v>42454.601203703707</v>
      </c>
      <c r="K1733" s="1" t="s">
        <v>36</v>
      </c>
      <c r="L1733" s="14">
        <f>24*(TblTimeSheet[[#This Row],[End Date and Time]]-TblTimeSheet[[#This Row],[Start Date and Time]])</f>
        <v>0.49999999988358468</v>
      </c>
      <c r="M17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3" s="14">
        <f>--(0&gt;(TblTimeSheet[[#This Row],[End Date and Time]]-TblTimeSheet[[#This Row],[Start Date and Time]]))</f>
        <v>0</v>
      </c>
    </row>
    <row r="1734" spans="1:14" x14ac:dyDescent="0.25">
      <c r="A1734" s="1"/>
      <c r="B1734" s="2" t="s">
        <v>697</v>
      </c>
      <c r="C1734" s="2" t="s">
        <v>124</v>
      </c>
      <c r="D1734" s="2" t="s">
        <v>34</v>
      </c>
      <c r="E1734" s="7" t="s">
        <v>2923</v>
      </c>
      <c r="F1734" s="37">
        <v>42454.645833333336</v>
      </c>
      <c r="G1734" s="37">
        <v>42454.666666666664</v>
      </c>
      <c r="H1734" s="1" t="s">
        <v>6</v>
      </c>
      <c r="I1734" s="1" t="s">
        <v>38</v>
      </c>
      <c r="J1734" s="1">
        <v>42454.694016203706</v>
      </c>
      <c r="K1734" s="1" t="s">
        <v>2863</v>
      </c>
      <c r="L1734" s="14">
        <f>24*(TblTimeSheet[[#This Row],[End Date and Time]]-TblTimeSheet[[#This Row],[Start Date and Time]])</f>
        <v>0.49999999988358468</v>
      </c>
      <c r="M17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4" s="14">
        <f>--(0&gt;(TblTimeSheet[[#This Row],[End Date and Time]]-TblTimeSheet[[#This Row],[Start Date and Time]]))</f>
        <v>0</v>
      </c>
    </row>
    <row r="1735" spans="1:14" ht="30" x14ac:dyDescent="0.25">
      <c r="A1735" s="1"/>
      <c r="B1735" s="2" t="s">
        <v>911</v>
      </c>
      <c r="C1735" s="2" t="s">
        <v>144</v>
      </c>
      <c r="D1735" s="2" t="s">
        <v>34</v>
      </c>
      <c r="E1735" s="7" t="s">
        <v>2924</v>
      </c>
      <c r="F1735" s="37">
        <v>42454.583333333336</v>
      </c>
      <c r="G1735" s="37">
        <v>42454.694444444445</v>
      </c>
      <c r="H1735" s="1" t="s">
        <v>6</v>
      </c>
      <c r="I1735" s="1" t="s">
        <v>38</v>
      </c>
      <c r="J1735" s="1">
        <v>42454.694050925929</v>
      </c>
      <c r="K1735" s="1" t="s">
        <v>144</v>
      </c>
      <c r="L1735" s="14">
        <f>24*(TblTimeSheet[[#This Row],[End Date and Time]]-TblTimeSheet[[#This Row],[Start Date and Time]])</f>
        <v>2.6666666666278616</v>
      </c>
      <c r="M17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5" s="14">
        <f>--(0&gt;(TblTimeSheet[[#This Row],[End Date and Time]]-TblTimeSheet[[#This Row],[Start Date and Time]]))</f>
        <v>0</v>
      </c>
    </row>
    <row r="1736" spans="1:14" x14ac:dyDescent="0.25">
      <c r="A1736" s="1"/>
      <c r="B1736" s="2" t="s">
        <v>911</v>
      </c>
      <c r="C1736" s="2" t="s">
        <v>144</v>
      </c>
      <c r="D1736" s="2" t="s">
        <v>34</v>
      </c>
      <c r="E1736" s="7" t="s">
        <v>3638</v>
      </c>
      <c r="F1736" s="37">
        <v>42452.565972222219</v>
      </c>
      <c r="G1736" s="37">
        <v>42452.583333333336</v>
      </c>
      <c r="H1736" s="1" t="s">
        <v>6</v>
      </c>
      <c r="I1736" s="1" t="s">
        <v>38</v>
      </c>
      <c r="J1736" s="1">
        <v>42455.449097222219</v>
      </c>
      <c r="K1736" s="1" t="s">
        <v>144</v>
      </c>
      <c r="L1736" s="14">
        <f>24*(TblTimeSheet[[#This Row],[End Date and Time]]-TblTimeSheet[[#This Row],[Start Date and Time]])</f>
        <v>0.41666666680248454</v>
      </c>
      <c r="M17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6" s="14">
        <f>--(0&gt;(TblTimeSheet[[#This Row],[End Date and Time]]-TblTimeSheet[[#This Row],[Start Date and Time]]))</f>
        <v>0</v>
      </c>
    </row>
    <row r="1737" spans="1:14" x14ac:dyDescent="0.25">
      <c r="A1737" s="1"/>
      <c r="B1737" s="2" t="s">
        <v>915</v>
      </c>
      <c r="C1737" s="2" t="s">
        <v>116</v>
      </c>
      <c r="D1737" s="2" t="s">
        <v>32</v>
      </c>
      <c r="E1737" s="7" t="s">
        <v>2925</v>
      </c>
      <c r="F1737" s="37">
        <v>42455.416666666664</v>
      </c>
      <c r="G1737" s="37">
        <v>42455.458333333336</v>
      </c>
      <c r="H1737" s="1" t="s">
        <v>6</v>
      </c>
      <c r="I1737" s="1" t="s">
        <v>38</v>
      </c>
      <c r="J1737" s="1">
        <v>42455.545439814814</v>
      </c>
      <c r="K1737" s="1" t="s">
        <v>39</v>
      </c>
      <c r="L1737" s="14">
        <f>24*(TblTimeSheet[[#This Row],[End Date and Time]]-TblTimeSheet[[#This Row],[Start Date and Time]])</f>
        <v>1.0000000001164153</v>
      </c>
      <c r="M17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7" s="14">
        <f>--(0&gt;(TblTimeSheet[[#This Row],[End Date and Time]]-TblTimeSheet[[#This Row],[Start Date and Time]]))</f>
        <v>0</v>
      </c>
    </row>
    <row r="1738" spans="1:14" x14ac:dyDescent="0.25">
      <c r="A1738" s="1"/>
      <c r="B1738" s="2" t="s">
        <v>911</v>
      </c>
      <c r="C1738" s="2" t="s">
        <v>41</v>
      </c>
      <c r="D1738" s="2" t="s">
        <v>34</v>
      </c>
      <c r="E1738" s="7" t="s">
        <v>3639</v>
      </c>
      <c r="F1738" s="37">
        <v>42455.517361111109</v>
      </c>
      <c r="G1738" s="37">
        <v>42455.53125</v>
      </c>
      <c r="H1738" s="1" t="s">
        <v>6</v>
      </c>
      <c r="I1738" s="1" t="s">
        <v>38</v>
      </c>
      <c r="J1738" s="1">
        <v>42455.624293981484</v>
      </c>
      <c r="K1738" s="1" t="s">
        <v>41</v>
      </c>
      <c r="L1738" s="14">
        <f>24*(TblTimeSheet[[#This Row],[End Date and Time]]-TblTimeSheet[[#This Row],[Start Date and Time]])</f>
        <v>0.33333333337213844</v>
      </c>
      <c r="M17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8" s="14">
        <f>--(0&gt;(TblTimeSheet[[#This Row],[End Date and Time]]-TblTimeSheet[[#This Row],[Start Date and Time]]))</f>
        <v>0</v>
      </c>
    </row>
    <row r="1739" spans="1:14" x14ac:dyDescent="0.25">
      <c r="A1739" s="1"/>
      <c r="B1739" s="2" t="s">
        <v>911</v>
      </c>
      <c r="C1739" s="2" t="s">
        <v>144</v>
      </c>
      <c r="D1739" s="2" t="s">
        <v>34</v>
      </c>
      <c r="E1739" s="7" t="s">
        <v>3640</v>
      </c>
      <c r="F1739" s="37">
        <v>42455.375</v>
      </c>
      <c r="G1739" s="37">
        <v>42455.541666666664</v>
      </c>
      <c r="H1739" s="1" t="s">
        <v>6</v>
      </c>
      <c r="I1739" s="1" t="s">
        <v>38</v>
      </c>
      <c r="J1739" s="1">
        <v>42455.736990740741</v>
      </c>
      <c r="K1739" s="1" t="s">
        <v>144</v>
      </c>
      <c r="L1739" s="14">
        <f>24*(TblTimeSheet[[#This Row],[End Date and Time]]-TblTimeSheet[[#This Row],[Start Date and Time]])</f>
        <v>3.9999999999417923</v>
      </c>
      <c r="M17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39" s="14">
        <f>--(0&gt;(TblTimeSheet[[#This Row],[End Date and Time]]-TblTimeSheet[[#This Row],[Start Date and Time]]))</f>
        <v>0</v>
      </c>
    </row>
    <row r="1740" spans="1:14" x14ac:dyDescent="0.25">
      <c r="A1740" s="1"/>
      <c r="B1740" s="2" t="s">
        <v>697</v>
      </c>
      <c r="C1740" s="2" t="s">
        <v>43</v>
      </c>
      <c r="D1740" s="2" t="s">
        <v>35</v>
      </c>
      <c r="E1740" s="7" t="s">
        <v>2926</v>
      </c>
      <c r="F1740" s="37">
        <v>42455.645833333336</v>
      </c>
      <c r="G1740" s="37">
        <v>42455.680555555555</v>
      </c>
      <c r="H1740" s="1" t="s">
        <v>6</v>
      </c>
      <c r="I1740" s="1" t="s">
        <v>38</v>
      </c>
      <c r="J1740" s="1">
        <v>42455.679363425923</v>
      </c>
      <c r="K1740" s="1" t="s">
        <v>43</v>
      </c>
      <c r="L1740" s="14">
        <f>24*(TblTimeSheet[[#This Row],[End Date and Time]]-TblTimeSheet[[#This Row],[Start Date and Time]])</f>
        <v>0.83333333325572312</v>
      </c>
      <c r="M17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40" s="14">
        <f>--(0&gt;(TblTimeSheet[[#This Row],[End Date and Time]]-TblTimeSheet[[#This Row],[Start Date and Time]]))</f>
        <v>0</v>
      </c>
    </row>
    <row r="1741" spans="1:14" x14ac:dyDescent="0.25">
      <c r="A1741" s="1"/>
      <c r="B1741" s="2" t="s">
        <v>697</v>
      </c>
      <c r="C1741" s="2" t="s">
        <v>116</v>
      </c>
      <c r="D1741" s="2" t="s">
        <v>35</v>
      </c>
      <c r="E1741" s="7" t="s">
        <v>3641</v>
      </c>
      <c r="F1741" s="37">
        <v>42455.645833333336</v>
      </c>
      <c r="G1741" s="37">
        <v>42455.666666666664</v>
      </c>
      <c r="H1741" s="1" t="s">
        <v>6</v>
      </c>
      <c r="I1741" s="1" t="s">
        <v>38</v>
      </c>
      <c r="J1741" s="1">
        <v>42455.6796875</v>
      </c>
      <c r="K1741" s="1" t="s">
        <v>81</v>
      </c>
      <c r="L1741" s="14">
        <f>24*(TblTimeSheet[[#This Row],[End Date and Time]]-TblTimeSheet[[#This Row],[Start Date and Time]])</f>
        <v>0.49999999988358468</v>
      </c>
      <c r="M17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1" s="14">
        <f>--(0&gt;(TblTimeSheet[[#This Row],[End Date and Time]]-TblTimeSheet[[#This Row],[Start Date and Time]]))</f>
        <v>0</v>
      </c>
    </row>
    <row r="1742" spans="1:14" x14ac:dyDescent="0.25">
      <c r="A1742" s="1"/>
      <c r="B1742" s="2" t="s">
        <v>697</v>
      </c>
      <c r="C1742" s="2" t="s">
        <v>124</v>
      </c>
      <c r="D1742" s="2" t="s">
        <v>35</v>
      </c>
      <c r="E1742" s="7" t="s">
        <v>2927</v>
      </c>
      <c r="F1742" s="37">
        <v>42455.645833333336</v>
      </c>
      <c r="G1742" s="37">
        <v>42455.680555555555</v>
      </c>
      <c r="H1742" s="1" t="s">
        <v>6</v>
      </c>
      <c r="I1742" s="1" t="s">
        <v>38</v>
      </c>
      <c r="J1742" s="1">
        <v>42455.682083333333</v>
      </c>
      <c r="K1742" s="1" t="s">
        <v>2863</v>
      </c>
      <c r="L1742" s="14">
        <f>24*(TblTimeSheet[[#This Row],[End Date and Time]]-TblTimeSheet[[#This Row],[Start Date and Time]])</f>
        <v>0.83333333325572312</v>
      </c>
      <c r="M17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42" s="14">
        <f>--(0&gt;(TblTimeSheet[[#This Row],[End Date and Time]]-TblTimeSheet[[#This Row],[Start Date and Time]]))</f>
        <v>0</v>
      </c>
    </row>
    <row r="1743" spans="1:14" x14ac:dyDescent="0.25">
      <c r="A1743" s="1"/>
      <c r="B1743" s="2" t="s">
        <v>697</v>
      </c>
      <c r="C1743" s="2" t="s">
        <v>116</v>
      </c>
      <c r="D1743" s="2" t="s">
        <v>35</v>
      </c>
      <c r="E1743" s="7" t="s">
        <v>2928</v>
      </c>
      <c r="F1743" s="37">
        <v>42455.645833333336</v>
      </c>
      <c r="G1743" s="37">
        <v>42455.666666666664</v>
      </c>
      <c r="H1743" s="1" t="s">
        <v>6</v>
      </c>
      <c r="I1743" s="1" t="s">
        <v>38</v>
      </c>
      <c r="J1743" s="1">
        <v>42455.683553240742</v>
      </c>
      <c r="K1743" s="1" t="s">
        <v>39</v>
      </c>
      <c r="L1743" s="14">
        <f>24*(TblTimeSheet[[#This Row],[End Date and Time]]-TblTimeSheet[[#This Row],[Start Date and Time]])</f>
        <v>0.49999999988358468</v>
      </c>
      <c r="M17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3" s="14">
        <f>--(0&gt;(TblTimeSheet[[#This Row],[End Date and Time]]-TblTimeSheet[[#This Row],[Start Date and Time]]))</f>
        <v>0</v>
      </c>
    </row>
    <row r="1744" spans="1:14" x14ac:dyDescent="0.25">
      <c r="A1744" s="1"/>
      <c r="B1744" s="2" t="s">
        <v>697</v>
      </c>
      <c r="C1744" s="2" t="s">
        <v>116</v>
      </c>
      <c r="D1744" s="2" t="s">
        <v>35</v>
      </c>
      <c r="E1744" s="7" t="s">
        <v>3642</v>
      </c>
      <c r="F1744" s="37">
        <v>42455.645833333336</v>
      </c>
      <c r="G1744" s="37">
        <v>42455.680555555555</v>
      </c>
      <c r="H1744" s="1" t="s">
        <v>6</v>
      </c>
      <c r="I1744" s="1" t="s">
        <v>38</v>
      </c>
      <c r="J1744" s="1">
        <v>42455.687615740739</v>
      </c>
      <c r="K1744" s="1" t="s">
        <v>1026</v>
      </c>
      <c r="L1744" s="14">
        <f>24*(TblTimeSheet[[#This Row],[End Date and Time]]-TblTimeSheet[[#This Row],[Start Date and Time]])</f>
        <v>0.83333333325572312</v>
      </c>
      <c r="M17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4" s="14">
        <f>--(0&gt;(TblTimeSheet[[#This Row],[End Date and Time]]-TblTimeSheet[[#This Row],[Start Date and Time]]))</f>
        <v>0</v>
      </c>
    </row>
    <row r="1745" spans="1:14" x14ac:dyDescent="0.25">
      <c r="A1745" s="1"/>
      <c r="B1745" s="2" t="s">
        <v>697</v>
      </c>
      <c r="C1745" s="2" t="s">
        <v>116</v>
      </c>
      <c r="D1745" s="2" t="s">
        <v>35</v>
      </c>
      <c r="E1745" s="7" t="s">
        <v>2929</v>
      </c>
      <c r="F1745" s="37">
        <v>42455.645833333336</v>
      </c>
      <c r="G1745" s="37">
        <v>42455.680555555555</v>
      </c>
      <c r="H1745" s="1" t="s">
        <v>6</v>
      </c>
      <c r="I1745" s="1" t="s">
        <v>38</v>
      </c>
      <c r="J1745" s="1">
        <v>42455.690879629627</v>
      </c>
      <c r="K1745" s="1" t="s">
        <v>701</v>
      </c>
      <c r="L1745" s="14">
        <f>24*(TblTimeSheet[[#This Row],[End Date and Time]]-TblTimeSheet[[#This Row],[Start Date and Time]])</f>
        <v>0.83333333325572312</v>
      </c>
      <c r="M17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5" s="14">
        <f>--(0&gt;(TblTimeSheet[[#This Row],[End Date and Time]]-TblTimeSheet[[#This Row],[Start Date and Time]]))</f>
        <v>0</v>
      </c>
    </row>
    <row r="1746" spans="1:14" x14ac:dyDescent="0.25">
      <c r="A1746" s="1"/>
      <c r="B1746" s="2" t="s">
        <v>917</v>
      </c>
      <c r="C1746" s="2" t="s">
        <v>116</v>
      </c>
      <c r="D1746" s="2" t="s">
        <v>20</v>
      </c>
      <c r="E1746" s="7" t="s">
        <v>2930</v>
      </c>
      <c r="F1746" s="37">
        <v>42455.684027777781</v>
      </c>
      <c r="G1746" s="37">
        <v>42455.690972222219</v>
      </c>
      <c r="H1746" s="1" t="s">
        <v>6</v>
      </c>
      <c r="I1746" s="1" t="s">
        <v>38</v>
      </c>
      <c r="J1746" s="1">
        <v>42455.691388888888</v>
      </c>
      <c r="K1746" s="1" t="s">
        <v>39</v>
      </c>
      <c r="L1746" s="14">
        <f>24*(TblTimeSheet[[#This Row],[End Date and Time]]-TblTimeSheet[[#This Row],[Start Date and Time]])</f>
        <v>0.16666666651144624</v>
      </c>
      <c r="M17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6" s="14">
        <f>--(0&gt;(TblTimeSheet[[#This Row],[End Date and Time]]-TblTimeSheet[[#This Row],[Start Date and Time]]))</f>
        <v>0</v>
      </c>
    </row>
    <row r="1747" spans="1:14" x14ac:dyDescent="0.25">
      <c r="A1747" s="1"/>
      <c r="B1747" s="2" t="s">
        <v>917</v>
      </c>
      <c r="C1747" s="2" t="s">
        <v>116</v>
      </c>
      <c r="D1747" s="2" t="s">
        <v>20</v>
      </c>
      <c r="E1747" s="7" t="s">
        <v>2931</v>
      </c>
      <c r="F1747" s="37">
        <v>42455.684027777781</v>
      </c>
      <c r="G1747" s="37">
        <v>42455.690972222219</v>
      </c>
      <c r="H1747" s="1" t="s">
        <v>6</v>
      </c>
      <c r="I1747" s="1" t="s">
        <v>38</v>
      </c>
      <c r="J1747" s="1">
        <v>42455.691412037035</v>
      </c>
      <c r="K1747" s="1" t="s">
        <v>701</v>
      </c>
      <c r="L1747" s="14">
        <f>24*(TblTimeSheet[[#This Row],[End Date and Time]]-TblTimeSheet[[#This Row],[Start Date and Time]])</f>
        <v>0.16666666651144624</v>
      </c>
      <c r="M17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47" s="14">
        <f>--(0&gt;(TblTimeSheet[[#This Row],[End Date and Time]]-TblTimeSheet[[#This Row],[Start Date and Time]]))</f>
        <v>0</v>
      </c>
    </row>
    <row r="1748" spans="1:14" x14ac:dyDescent="0.25">
      <c r="A1748" s="1"/>
      <c r="B1748" s="2" t="s">
        <v>2870</v>
      </c>
      <c r="C1748" s="2" t="s">
        <v>116</v>
      </c>
      <c r="D1748" s="2" t="s">
        <v>19</v>
      </c>
      <c r="E1748" s="7" t="s">
        <v>2932</v>
      </c>
      <c r="F1748" s="37">
        <v>42455.583333333336</v>
      </c>
      <c r="G1748" s="37">
        <v>42455.642361111109</v>
      </c>
      <c r="H1748" s="1" t="s">
        <v>6</v>
      </c>
      <c r="I1748" s="1" t="s">
        <v>38</v>
      </c>
      <c r="J1748" s="1">
        <v>42455.697557870371</v>
      </c>
      <c r="K1748" s="1" t="s">
        <v>701</v>
      </c>
      <c r="L1748" s="14">
        <f>24*(TblTimeSheet[[#This Row],[End Date and Time]]-TblTimeSheet[[#This Row],[Start Date and Time]])</f>
        <v>1.4166666665696539</v>
      </c>
      <c r="M17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48" s="14">
        <f>--(0&gt;(TblTimeSheet[[#This Row],[End Date and Time]]-TblTimeSheet[[#This Row],[Start Date and Time]]))</f>
        <v>0</v>
      </c>
    </row>
    <row r="1749" spans="1:14" x14ac:dyDescent="0.25">
      <c r="A1749" s="1"/>
      <c r="B1749" s="2" t="s">
        <v>917</v>
      </c>
      <c r="C1749" s="2" t="s">
        <v>116</v>
      </c>
      <c r="D1749" s="2" t="s">
        <v>20</v>
      </c>
      <c r="E1749" s="7" t="s">
        <v>2933</v>
      </c>
      <c r="F1749" s="37">
        <v>42455.5</v>
      </c>
      <c r="G1749" s="37">
        <v>42455.541666666664</v>
      </c>
      <c r="H1749" s="1" t="s">
        <v>6</v>
      </c>
      <c r="I1749" s="1" t="s">
        <v>38</v>
      </c>
      <c r="J1749" s="1">
        <v>42455.698576388888</v>
      </c>
      <c r="K1749" s="1" t="s">
        <v>701</v>
      </c>
      <c r="L1749" s="14">
        <f>24*(TblTimeSheet[[#This Row],[End Date and Time]]-TblTimeSheet[[#This Row],[Start Date and Time]])</f>
        <v>0.99999999994179234</v>
      </c>
      <c r="M17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49" s="14">
        <f>--(0&gt;(TblTimeSheet[[#This Row],[End Date and Time]]-TblTimeSheet[[#This Row],[Start Date and Time]]))</f>
        <v>0</v>
      </c>
    </row>
    <row r="1750" spans="1:14" x14ac:dyDescent="0.25">
      <c r="A1750" s="1"/>
      <c r="B1750" s="2" t="s">
        <v>2870</v>
      </c>
      <c r="C1750" s="2" t="s">
        <v>118</v>
      </c>
      <c r="D1750" s="2" t="s">
        <v>19</v>
      </c>
      <c r="E1750" s="7" t="s">
        <v>2934</v>
      </c>
      <c r="F1750" s="37">
        <v>42455.583333333336</v>
      </c>
      <c r="G1750" s="37">
        <v>42455.642361111109</v>
      </c>
      <c r="H1750" s="1" t="s">
        <v>6</v>
      </c>
      <c r="I1750" s="1" t="s">
        <v>38</v>
      </c>
      <c r="J1750" s="1">
        <v>42455.69939814815</v>
      </c>
      <c r="K1750" s="1" t="s">
        <v>118</v>
      </c>
      <c r="L1750" s="14">
        <f>24*(TblTimeSheet[[#This Row],[End Date and Time]]-TblTimeSheet[[#This Row],[Start Date and Time]])</f>
        <v>1.4166666665696539</v>
      </c>
      <c r="M17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0" s="14">
        <f>--(0&gt;(TblTimeSheet[[#This Row],[End Date and Time]]-TblTimeSheet[[#This Row],[Start Date and Time]]))</f>
        <v>0</v>
      </c>
    </row>
    <row r="1751" spans="1:14" x14ac:dyDescent="0.25">
      <c r="A1751" s="1"/>
      <c r="B1751" s="2" t="s">
        <v>2870</v>
      </c>
      <c r="C1751" s="2" t="s">
        <v>116</v>
      </c>
      <c r="D1751" s="2" t="s">
        <v>19</v>
      </c>
      <c r="E1751" s="7" t="s">
        <v>135</v>
      </c>
      <c r="F1751" s="37">
        <v>42452.586805555555</v>
      </c>
      <c r="G1751" s="37">
        <v>42452.607638888891</v>
      </c>
      <c r="H1751" s="1" t="s">
        <v>6</v>
      </c>
      <c r="I1751" s="1" t="s">
        <v>38</v>
      </c>
      <c r="J1751" s="1">
        <v>42455.700844907406</v>
      </c>
      <c r="K1751" s="1" t="s">
        <v>701</v>
      </c>
      <c r="L1751" s="14">
        <f>24*(TblTimeSheet[[#This Row],[End Date and Time]]-TblTimeSheet[[#This Row],[Start Date and Time]])</f>
        <v>0.50000000005820766</v>
      </c>
      <c r="M17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51" s="14">
        <f>--(0&gt;(TblTimeSheet[[#This Row],[End Date and Time]]-TblTimeSheet[[#This Row],[Start Date and Time]]))</f>
        <v>0</v>
      </c>
    </row>
    <row r="1752" spans="1:14" x14ac:dyDescent="0.25">
      <c r="A1752" s="1"/>
      <c r="B1752" s="2" t="s">
        <v>2870</v>
      </c>
      <c r="C1752" s="2" t="s">
        <v>961</v>
      </c>
      <c r="D1752" s="2" t="s">
        <v>19</v>
      </c>
      <c r="E1752" s="7" t="s">
        <v>3643</v>
      </c>
      <c r="F1752" s="37">
        <v>42455.583333333336</v>
      </c>
      <c r="G1752" s="37">
        <v>42455.642361111109</v>
      </c>
      <c r="H1752" s="1" t="s">
        <v>6</v>
      </c>
      <c r="I1752" s="1" t="s">
        <v>38</v>
      </c>
      <c r="J1752" s="1">
        <v>42455.704988425925</v>
      </c>
      <c r="K1752" s="1" t="s">
        <v>961</v>
      </c>
      <c r="L1752" s="14">
        <f>24*(TblTimeSheet[[#This Row],[End Date and Time]]-TblTimeSheet[[#This Row],[Start Date and Time]])</f>
        <v>1.4166666665696539</v>
      </c>
      <c r="M17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2" s="14">
        <f>--(0&gt;(TblTimeSheet[[#This Row],[End Date and Time]]-TblTimeSheet[[#This Row],[Start Date and Time]]))</f>
        <v>0</v>
      </c>
    </row>
    <row r="1753" spans="1:14" x14ac:dyDescent="0.25">
      <c r="A1753" s="1"/>
      <c r="B1753" s="2" t="s">
        <v>917</v>
      </c>
      <c r="C1753" s="2" t="s">
        <v>43</v>
      </c>
      <c r="D1753" s="2" t="s">
        <v>20</v>
      </c>
      <c r="E1753" s="7" t="s">
        <v>2935</v>
      </c>
      <c r="F1753" s="37">
        <v>42454.458333333336</v>
      </c>
      <c r="G1753" s="37">
        <v>42454.5</v>
      </c>
      <c r="H1753" s="1" t="s">
        <v>6</v>
      </c>
      <c r="I1753" s="1" t="s">
        <v>38</v>
      </c>
      <c r="J1753" s="1">
        <v>42455.710879629631</v>
      </c>
      <c r="K1753" s="1" t="s">
        <v>43</v>
      </c>
      <c r="L1753" s="14">
        <f>24*(TblTimeSheet[[#This Row],[End Date and Time]]-TblTimeSheet[[#This Row],[Start Date and Time]])</f>
        <v>0.99999999994179234</v>
      </c>
      <c r="M17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3" s="14">
        <f>--(0&gt;(TblTimeSheet[[#This Row],[End Date and Time]]-TblTimeSheet[[#This Row],[Start Date and Time]]))</f>
        <v>0</v>
      </c>
    </row>
    <row r="1754" spans="1:14" x14ac:dyDescent="0.25">
      <c r="A1754" s="1"/>
      <c r="B1754" s="2" t="s">
        <v>917</v>
      </c>
      <c r="C1754" s="2" t="s">
        <v>43</v>
      </c>
      <c r="D1754" s="2" t="s">
        <v>20</v>
      </c>
      <c r="E1754" s="7" t="s">
        <v>3644</v>
      </c>
      <c r="F1754" s="37">
        <v>42455.684027777781</v>
      </c>
      <c r="G1754" s="37">
        <v>42455.715277777781</v>
      </c>
      <c r="H1754" s="1" t="s">
        <v>6</v>
      </c>
      <c r="I1754" s="1" t="s">
        <v>38</v>
      </c>
      <c r="J1754" s="1">
        <v>42455.712766203702</v>
      </c>
      <c r="K1754" s="1" t="s">
        <v>43</v>
      </c>
      <c r="L1754" s="14">
        <f>24*(TblTimeSheet[[#This Row],[End Date and Time]]-TblTimeSheet[[#This Row],[Start Date and Time]])</f>
        <v>0.75</v>
      </c>
      <c r="M17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4" s="14">
        <f>--(0&gt;(TblTimeSheet[[#This Row],[End Date and Time]]-TblTimeSheet[[#This Row],[Start Date and Time]]))</f>
        <v>0</v>
      </c>
    </row>
    <row r="1755" spans="1:14" x14ac:dyDescent="0.25">
      <c r="A1755" s="1"/>
      <c r="B1755" s="2" t="s">
        <v>917</v>
      </c>
      <c r="C1755" s="2" t="s">
        <v>118</v>
      </c>
      <c r="D1755" s="2" t="s">
        <v>20</v>
      </c>
      <c r="E1755" s="7" t="s">
        <v>2936</v>
      </c>
      <c r="F1755" s="37">
        <v>42455.684027777781</v>
      </c>
      <c r="G1755" s="37">
        <v>42455.715277777781</v>
      </c>
      <c r="H1755" s="1" t="s">
        <v>6</v>
      </c>
      <c r="I1755" s="1" t="s">
        <v>38</v>
      </c>
      <c r="J1755" s="1">
        <v>42455.713506944441</v>
      </c>
      <c r="K1755" s="1" t="s">
        <v>118</v>
      </c>
      <c r="L1755" s="14">
        <f>24*(TblTimeSheet[[#This Row],[End Date and Time]]-TblTimeSheet[[#This Row],[Start Date and Time]])</f>
        <v>0.75</v>
      </c>
      <c r="M17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5" s="14">
        <f>--(0&gt;(TblTimeSheet[[#This Row],[End Date and Time]]-TblTimeSheet[[#This Row],[Start Date and Time]]))</f>
        <v>0</v>
      </c>
    </row>
    <row r="1756" spans="1:14" ht="30" x14ac:dyDescent="0.25">
      <c r="A1756" s="1"/>
      <c r="B1756" s="2" t="s">
        <v>911</v>
      </c>
      <c r="C1756" s="2" t="s">
        <v>144</v>
      </c>
      <c r="D1756" s="2" t="s">
        <v>34</v>
      </c>
      <c r="E1756" s="7" t="s">
        <v>3645</v>
      </c>
      <c r="F1756" s="37">
        <v>42455.5625</v>
      </c>
      <c r="G1756" s="37">
        <v>42455.736111111109</v>
      </c>
      <c r="H1756" s="1" t="s">
        <v>6</v>
      </c>
      <c r="I1756" s="1" t="s">
        <v>38</v>
      </c>
      <c r="J1756" s="1">
        <v>42455.738356481481</v>
      </c>
      <c r="K1756" s="1" t="s">
        <v>144</v>
      </c>
      <c r="L1756" s="14">
        <f>24*(TblTimeSheet[[#This Row],[End Date and Time]]-TblTimeSheet[[#This Row],[Start Date and Time]])</f>
        <v>4.1666666666278616</v>
      </c>
      <c r="M17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6" s="14">
        <f>--(0&gt;(TblTimeSheet[[#This Row],[End Date and Time]]-TblTimeSheet[[#This Row],[Start Date and Time]]))</f>
        <v>0</v>
      </c>
    </row>
    <row r="1757" spans="1:14" x14ac:dyDescent="0.25">
      <c r="A1757" s="1"/>
      <c r="B1757" s="2" t="s">
        <v>697</v>
      </c>
      <c r="C1757" s="2" t="s">
        <v>143</v>
      </c>
      <c r="D1757" s="2" t="s">
        <v>35</v>
      </c>
      <c r="E1757" s="7" t="s">
        <v>2937</v>
      </c>
      <c r="F1757" s="37">
        <v>42455.645833333336</v>
      </c>
      <c r="G1757" s="37">
        <v>42455.680555555555</v>
      </c>
      <c r="H1757" s="1" t="s">
        <v>6</v>
      </c>
      <c r="I1757" s="1" t="s">
        <v>38</v>
      </c>
      <c r="J1757" s="1">
        <v>42459.466377314813</v>
      </c>
      <c r="K1757" s="1" t="s">
        <v>143</v>
      </c>
      <c r="L1757" s="14">
        <f>24*(TblTimeSheet[[#This Row],[End Date and Time]]-TblTimeSheet[[#This Row],[Start Date and Time]])</f>
        <v>0.83333333325572312</v>
      </c>
      <c r="M17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7" s="14">
        <f>--(0&gt;(TblTimeSheet[[#This Row],[End Date and Time]]-TblTimeSheet[[#This Row],[Start Date and Time]]))</f>
        <v>0</v>
      </c>
    </row>
    <row r="1758" spans="1:14" x14ac:dyDescent="0.25">
      <c r="A1758" s="1"/>
      <c r="B1758" s="2" t="s">
        <v>911</v>
      </c>
      <c r="C1758" s="2" t="s">
        <v>41</v>
      </c>
      <c r="D1758" s="2" t="s">
        <v>34</v>
      </c>
      <c r="E1758" s="7" t="s">
        <v>2938</v>
      </c>
      <c r="F1758" s="37">
        <v>42457.416666666664</v>
      </c>
      <c r="G1758" s="37">
        <v>42457.4375</v>
      </c>
      <c r="H1758" s="1" t="s">
        <v>6</v>
      </c>
      <c r="I1758" s="1" t="s">
        <v>38</v>
      </c>
      <c r="J1758" s="1">
        <v>42457.462835648148</v>
      </c>
      <c r="K1758" s="1" t="s">
        <v>41</v>
      </c>
      <c r="L1758" s="14">
        <f>24*(TblTimeSheet[[#This Row],[End Date and Time]]-TblTimeSheet[[#This Row],[Start Date and Time]])</f>
        <v>0.50000000005820766</v>
      </c>
      <c r="M17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8" s="14">
        <f>--(0&gt;(TblTimeSheet[[#This Row],[End Date and Time]]-TblTimeSheet[[#This Row],[Start Date and Time]]))</f>
        <v>0</v>
      </c>
    </row>
    <row r="1759" spans="1:14" ht="30" x14ac:dyDescent="0.25">
      <c r="A1759" s="1"/>
      <c r="B1759" s="2" t="s">
        <v>911</v>
      </c>
      <c r="C1759" s="2" t="s">
        <v>1117</v>
      </c>
      <c r="D1759" s="2" t="s">
        <v>34</v>
      </c>
      <c r="E1759" s="7" t="s">
        <v>2939</v>
      </c>
      <c r="F1759" s="37">
        <v>42457.465277777781</v>
      </c>
      <c r="G1759" s="37">
        <v>42457.489583333336</v>
      </c>
      <c r="H1759" s="1" t="s">
        <v>6</v>
      </c>
      <c r="I1759" s="1" t="s">
        <v>38</v>
      </c>
      <c r="J1759" s="1">
        <v>42457.489768518521</v>
      </c>
      <c r="K1759" s="1" t="s">
        <v>2865</v>
      </c>
      <c r="L1759" s="14">
        <f>24*(TblTimeSheet[[#This Row],[End Date and Time]]-TblTimeSheet[[#This Row],[Start Date and Time]])</f>
        <v>0.58333333331393078</v>
      </c>
      <c r="M17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59" s="14">
        <f>--(0&gt;(TblTimeSheet[[#This Row],[End Date and Time]]-TblTimeSheet[[#This Row],[Start Date and Time]]))</f>
        <v>0</v>
      </c>
    </row>
    <row r="1760" spans="1:14" x14ac:dyDescent="0.25">
      <c r="A1760" s="1"/>
      <c r="B1760" s="2" t="s">
        <v>911</v>
      </c>
      <c r="C1760" s="2" t="s">
        <v>41</v>
      </c>
      <c r="D1760" s="2" t="s">
        <v>34</v>
      </c>
      <c r="E1760" s="7" t="s">
        <v>2940</v>
      </c>
      <c r="F1760" s="37">
        <v>42457.465277777781</v>
      </c>
      <c r="G1760" s="37">
        <v>42457.489583333336</v>
      </c>
      <c r="H1760" s="1" t="s">
        <v>6</v>
      </c>
      <c r="I1760" s="1" t="s">
        <v>38</v>
      </c>
      <c r="J1760" s="1">
        <v>42457.510891203703</v>
      </c>
      <c r="K1760" s="1" t="s">
        <v>41</v>
      </c>
      <c r="L1760" s="14">
        <f>24*(TblTimeSheet[[#This Row],[End Date and Time]]-TblTimeSheet[[#This Row],[Start Date and Time]])</f>
        <v>0.58333333331393078</v>
      </c>
      <c r="M17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0" s="14">
        <f>--(0&gt;(TblTimeSheet[[#This Row],[End Date and Time]]-TblTimeSheet[[#This Row],[Start Date and Time]]))</f>
        <v>0</v>
      </c>
    </row>
    <row r="1761" spans="1:14" x14ac:dyDescent="0.25">
      <c r="A1761" s="1"/>
      <c r="B1761" s="2" t="s">
        <v>911</v>
      </c>
      <c r="C1761" s="2" t="s">
        <v>144</v>
      </c>
      <c r="D1761" s="2" t="s">
        <v>34</v>
      </c>
      <c r="E1761" s="7" t="s">
        <v>2941</v>
      </c>
      <c r="F1761" s="37">
        <v>42457.465277777781</v>
      </c>
      <c r="G1761" s="37">
        <v>42457.489583333336</v>
      </c>
      <c r="H1761" s="1" t="s">
        <v>6</v>
      </c>
      <c r="I1761" s="1" t="s">
        <v>38</v>
      </c>
      <c r="J1761" s="1">
        <v>42457.511759259258</v>
      </c>
      <c r="K1761" s="1" t="s">
        <v>144</v>
      </c>
      <c r="L1761" s="14">
        <f>24*(TblTimeSheet[[#This Row],[End Date and Time]]-TblTimeSheet[[#This Row],[Start Date and Time]])</f>
        <v>0.58333333331393078</v>
      </c>
      <c r="M17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1" s="14">
        <f>--(0&gt;(TblTimeSheet[[#This Row],[End Date and Time]]-TblTimeSheet[[#This Row],[Start Date and Time]]))</f>
        <v>0</v>
      </c>
    </row>
    <row r="1762" spans="1:14" ht="30" x14ac:dyDescent="0.25">
      <c r="A1762" s="1"/>
      <c r="B1762" s="2" t="s">
        <v>911</v>
      </c>
      <c r="C1762" s="2" t="s">
        <v>144</v>
      </c>
      <c r="D1762" s="2" t="s">
        <v>34</v>
      </c>
      <c r="E1762" s="7" t="s">
        <v>2942</v>
      </c>
      <c r="F1762" s="37">
        <v>42457.375</v>
      </c>
      <c r="G1762" s="37">
        <v>42457.416666666664</v>
      </c>
      <c r="H1762" s="1" t="s">
        <v>6</v>
      </c>
      <c r="I1762" s="1" t="s">
        <v>38</v>
      </c>
      <c r="J1762" s="1">
        <v>42457.513807870368</v>
      </c>
      <c r="K1762" s="1" t="s">
        <v>144</v>
      </c>
      <c r="L1762" s="14">
        <f>24*(TblTimeSheet[[#This Row],[End Date and Time]]-TblTimeSheet[[#This Row],[Start Date and Time]])</f>
        <v>0.99999999994179234</v>
      </c>
      <c r="M17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2" s="14">
        <f>--(0&gt;(TblTimeSheet[[#This Row],[End Date and Time]]-TblTimeSheet[[#This Row],[Start Date and Time]]))</f>
        <v>0</v>
      </c>
    </row>
    <row r="1763" spans="1:14" x14ac:dyDescent="0.25">
      <c r="A1763" s="1"/>
      <c r="B1763" s="2" t="s">
        <v>911</v>
      </c>
      <c r="C1763" s="2" t="s">
        <v>1117</v>
      </c>
      <c r="D1763" s="2" t="s">
        <v>34</v>
      </c>
      <c r="E1763" s="7" t="s">
        <v>2943</v>
      </c>
      <c r="F1763" s="37">
        <v>42457.53125</v>
      </c>
      <c r="G1763" s="37">
        <v>42457.541666666664</v>
      </c>
      <c r="H1763" s="1" t="s">
        <v>6</v>
      </c>
      <c r="I1763" s="1" t="s">
        <v>38</v>
      </c>
      <c r="J1763" s="1">
        <v>42457.596319444441</v>
      </c>
      <c r="K1763" s="1" t="s">
        <v>2865</v>
      </c>
      <c r="L1763" s="14">
        <f>24*(TblTimeSheet[[#This Row],[End Date and Time]]-TblTimeSheet[[#This Row],[Start Date and Time]])</f>
        <v>0.24999999994179234</v>
      </c>
      <c r="M17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3" s="14">
        <f>--(0&gt;(TblTimeSheet[[#This Row],[End Date and Time]]-TblTimeSheet[[#This Row],[Start Date and Time]]))</f>
        <v>0</v>
      </c>
    </row>
    <row r="1764" spans="1:14" x14ac:dyDescent="0.25">
      <c r="A1764" s="1"/>
      <c r="B1764" s="2" t="s">
        <v>911</v>
      </c>
      <c r="C1764" s="2" t="s">
        <v>36</v>
      </c>
      <c r="D1764" s="2" t="s">
        <v>34</v>
      </c>
      <c r="E1764" s="7" t="s">
        <v>2944</v>
      </c>
      <c r="F1764" s="37">
        <v>42457.5</v>
      </c>
      <c r="G1764" s="37">
        <v>42457.510416666664</v>
      </c>
      <c r="H1764" s="1" t="s">
        <v>6</v>
      </c>
      <c r="I1764" s="1" t="s">
        <v>38</v>
      </c>
      <c r="J1764" s="1">
        <v>42457.606493055559</v>
      </c>
      <c r="K1764" s="1" t="s">
        <v>36</v>
      </c>
      <c r="L1764" s="14">
        <f>24*(TblTimeSheet[[#This Row],[End Date and Time]]-TblTimeSheet[[#This Row],[Start Date and Time]])</f>
        <v>0.24999999994179234</v>
      </c>
      <c r="M17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4" s="14">
        <f>--(0&gt;(TblTimeSheet[[#This Row],[End Date and Time]]-TblTimeSheet[[#This Row],[Start Date and Time]]))</f>
        <v>0</v>
      </c>
    </row>
    <row r="1765" spans="1:14" x14ac:dyDescent="0.25">
      <c r="A1765" s="1"/>
      <c r="B1765" s="2" t="s">
        <v>911</v>
      </c>
      <c r="C1765" s="2" t="s">
        <v>144</v>
      </c>
      <c r="D1765" s="2" t="s">
        <v>34</v>
      </c>
      <c r="E1765" s="7" t="s">
        <v>2945</v>
      </c>
      <c r="F1765" s="37">
        <v>42457.5</v>
      </c>
      <c r="G1765" s="37">
        <v>42457.510416666664</v>
      </c>
      <c r="H1765" s="1" t="s">
        <v>6</v>
      </c>
      <c r="I1765" s="1" t="s">
        <v>38</v>
      </c>
      <c r="J1765" s="1">
        <v>42457.612604166665</v>
      </c>
      <c r="K1765" s="1" t="s">
        <v>144</v>
      </c>
      <c r="L1765" s="14">
        <f>24*(TblTimeSheet[[#This Row],[End Date and Time]]-TblTimeSheet[[#This Row],[Start Date and Time]])</f>
        <v>0.24999999994179234</v>
      </c>
      <c r="M17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5" s="14">
        <f>--(0&gt;(TblTimeSheet[[#This Row],[End Date and Time]]-TblTimeSheet[[#This Row],[Start Date and Time]]))</f>
        <v>0</v>
      </c>
    </row>
    <row r="1766" spans="1:14" ht="75" x14ac:dyDescent="0.25">
      <c r="A1766" s="1"/>
      <c r="B1766" s="2" t="s">
        <v>915</v>
      </c>
      <c r="C1766" s="2" t="s">
        <v>116</v>
      </c>
      <c r="D1766" s="2" t="s">
        <v>32</v>
      </c>
      <c r="E1766" s="7" t="s">
        <v>3646</v>
      </c>
      <c r="F1766" s="37">
        <v>42457.645833333336</v>
      </c>
      <c r="G1766" s="37">
        <v>42457.659722222219</v>
      </c>
      <c r="H1766" s="1" t="s">
        <v>6</v>
      </c>
      <c r="I1766" s="1" t="s">
        <v>38</v>
      </c>
      <c r="J1766" s="1">
        <v>42457.665925925925</v>
      </c>
      <c r="K1766" s="1" t="s">
        <v>81</v>
      </c>
      <c r="L1766" s="14">
        <f>24*(TblTimeSheet[[#This Row],[End Date and Time]]-TblTimeSheet[[#This Row],[Start Date and Time]])</f>
        <v>0.33333333319751546</v>
      </c>
      <c r="M17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66" s="14">
        <f>--(0&gt;(TblTimeSheet[[#This Row],[End Date and Time]]-TblTimeSheet[[#This Row],[Start Date and Time]]))</f>
        <v>0</v>
      </c>
    </row>
    <row r="1767" spans="1:14" x14ac:dyDescent="0.25">
      <c r="A1767" s="1"/>
      <c r="B1767" s="2" t="s">
        <v>915</v>
      </c>
      <c r="C1767" s="2" t="s">
        <v>118</v>
      </c>
      <c r="D1767" s="2" t="s">
        <v>32</v>
      </c>
      <c r="E1767" s="7" t="s">
        <v>2946</v>
      </c>
      <c r="F1767" s="37">
        <v>42457.645833333336</v>
      </c>
      <c r="G1767" s="37">
        <v>42457.659722222219</v>
      </c>
      <c r="H1767" s="1" t="s">
        <v>6</v>
      </c>
      <c r="I1767" s="1" t="s">
        <v>38</v>
      </c>
      <c r="J1767" s="1">
        <v>42457.666967592595</v>
      </c>
      <c r="K1767" s="1" t="s">
        <v>118</v>
      </c>
      <c r="L1767" s="14">
        <f>24*(TblTimeSheet[[#This Row],[End Date and Time]]-TblTimeSheet[[#This Row],[Start Date and Time]])</f>
        <v>0.33333333319751546</v>
      </c>
      <c r="M17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7" s="14">
        <f>--(0&gt;(TblTimeSheet[[#This Row],[End Date and Time]]-TblTimeSheet[[#This Row],[Start Date and Time]]))</f>
        <v>0</v>
      </c>
    </row>
    <row r="1768" spans="1:14" ht="30" x14ac:dyDescent="0.25">
      <c r="A1768" s="1"/>
      <c r="B1768" s="2" t="s">
        <v>915</v>
      </c>
      <c r="C1768" s="2" t="s">
        <v>116</v>
      </c>
      <c r="D1768" s="2" t="s">
        <v>32</v>
      </c>
      <c r="E1768" s="7" t="s">
        <v>2947</v>
      </c>
      <c r="F1768" s="37">
        <v>42457.645833333336</v>
      </c>
      <c r="G1768" s="37">
        <v>42457.659722222219</v>
      </c>
      <c r="H1768" s="1" t="s">
        <v>6</v>
      </c>
      <c r="I1768" s="1" t="s">
        <v>38</v>
      </c>
      <c r="J1768" s="1">
        <v>42457.670578703706</v>
      </c>
      <c r="K1768" s="1" t="s">
        <v>39</v>
      </c>
      <c r="L1768" s="14">
        <f>24*(TblTimeSheet[[#This Row],[End Date and Time]]-TblTimeSheet[[#This Row],[Start Date and Time]])</f>
        <v>0.33333333319751546</v>
      </c>
      <c r="M17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68" s="14">
        <f>--(0&gt;(TblTimeSheet[[#This Row],[End Date and Time]]-TblTimeSheet[[#This Row],[Start Date and Time]]))</f>
        <v>0</v>
      </c>
    </row>
    <row r="1769" spans="1:14" ht="30" x14ac:dyDescent="0.25">
      <c r="A1769" s="1"/>
      <c r="B1769" s="2" t="s">
        <v>911</v>
      </c>
      <c r="C1769" s="2" t="s">
        <v>144</v>
      </c>
      <c r="D1769" s="2" t="s">
        <v>34</v>
      </c>
      <c r="E1769" s="7" t="s">
        <v>3647</v>
      </c>
      <c r="F1769" s="37">
        <v>42457.520833333336</v>
      </c>
      <c r="G1769" s="37">
        <v>42457.673611111109</v>
      </c>
      <c r="H1769" s="1" t="s">
        <v>6</v>
      </c>
      <c r="I1769" s="1" t="s">
        <v>38</v>
      </c>
      <c r="J1769" s="1">
        <v>42457.690069444441</v>
      </c>
      <c r="K1769" s="1" t="s">
        <v>144</v>
      </c>
      <c r="L1769" s="14">
        <f>24*(TblTimeSheet[[#This Row],[End Date and Time]]-TblTimeSheet[[#This Row],[Start Date and Time]])</f>
        <v>3.6666666665696539</v>
      </c>
      <c r="M17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69" s="14">
        <f>--(0&gt;(TblTimeSheet[[#This Row],[End Date and Time]]-TblTimeSheet[[#This Row],[Start Date and Time]]))</f>
        <v>0</v>
      </c>
    </row>
    <row r="1770" spans="1:14" x14ac:dyDescent="0.25">
      <c r="A1770" s="1"/>
      <c r="B1770" s="2" t="s">
        <v>697</v>
      </c>
      <c r="C1770" s="2" t="s">
        <v>124</v>
      </c>
      <c r="D1770" s="2" t="s">
        <v>35</v>
      </c>
      <c r="E1770" s="7" t="s">
        <v>2948</v>
      </c>
      <c r="F1770" s="37">
        <v>42457.5625</v>
      </c>
      <c r="G1770" s="37">
        <v>42457.645833333336</v>
      </c>
      <c r="H1770" s="1" t="s">
        <v>6</v>
      </c>
      <c r="I1770" s="1" t="s">
        <v>38</v>
      </c>
      <c r="J1770" s="1">
        <v>42457.690925925926</v>
      </c>
      <c r="K1770" s="1" t="s">
        <v>2863</v>
      </c>
      <c r="L1770" s="14">
        <f>24*(TblTimeSheet[[#This Row],[End Date and Time]]-TblTimeSheet[[#This Row],[Start Date and Time]])</f>
        <v>2.0000000000582077</v>
      </c>
      <c r="M17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0" s="14">
        <f>--(0&gt;(TblTimeSheet[[#This Row],[End Date and Time]]-TblTimeSheet[[#This Row],[Start Date and Time]]))</f>
        <v>0</v>
      </c>
    </row>
    <row r="1771" spans="1:14" x14ac:dyDescent="0.25">
      <c r="A1771" s="1"/>
      <c r="B1771" s="2" t="s">
        <v>915</v>
      </c>
      <c r="C1771" s="2" t="s">
        <v>116</v>
      </c>
      <c r="D1771" s="2" t="s">
        <v>32</v>
      </c>
      <c r="E1771" s="7" t="s">
        <v>3648</v>
      </c>
      <c r="F1771" s="37">
        <v>42457.645833333336</v>
      </c>
      <c r="G1771" s="37">
        <v>42457.659722222219</v>
      </c>
      <c r="H1771" s="1" t="s">
        <v>6</v>
      </c>
      <c r="I1771" s="1" t="s">
        <v>38</v>
      </c>
      <c r="J1771" s="1">
        <v>42457.708101851851</v>
      </c>
      <c r="K1771" s="1" t="s">
        <v>701</v>
      </c>
      <c r="L1771" s="14">
        <f>24*(TblTimeSheet[[#This Row],[End Date and Time]]-TblTimeSheet[[#This Row],[Start Date and Time]])</f>
        <v>0.33333333319751546</v>
      </c>
      <c r="M17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71" s="14">
        <f>--(0&gt;(TblTimeSheet[[#This Row],[End Date and Time]]-TblTimeSheet[[#This Row],[Start Date and Time]]))</f>
        <v>0</v>
      </c>
    </row>
    <row r="1772" spans="1:14" x14ac:dyDescent="0.25">
      <c r="A1772" s="1"/>
      <c r="B1772" s="2" t="s">
        <v>911</v>
      </c>
      <c r="C1772" s="2" t="s">
        <v>41</v>
      </c>
      <c r="D1772" s="2" t="s">
        <v>34</v>
      </c>
      <c r="E1772" s="7" t="s">
        <v>2949</v>
      </c>
      <c r="F1772" s="37">
        <v>42457.694444444445</v>
      </c>
      <c r="G1772" s="37">
        <v>42457.711805555555</v>
      </c>
      <c r="H1772" s="1" t="s">
        <v>6</v>
      </c>
      <c r="I1772" s="1" t="s">
        <v>38</v>
      </c>
      <c r="J1772" s="1">
        <v>42457.710104166668</v>
      </c>
      <c r="K1772" s="1" t="s">
        <v>41</v>
      </c>
      <c r="L1772" s="14">
        <f>24*(TblTimeSheet[[#This Row],[End Date and Time]]-TblTimeSheet[[#This Row],[Start Date and Time]])</f>
        <v>0.41666666662786156</v>
      </c>
      <c r="M17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2" s="14">
        <f>--(0&gt;(TblTimeSheet[[#This Row],[End Date and Time]]-TblTimeSheet[[#This Row],[Start Date and Time]]))</f>
        <v>0</v>
      </c>
    </row>
    <row r="1773" spans="1:14" x14ac:dyDescent="0.25">
      <c r="A1773" s="1"/>
      <c r="B1773" s="2" t="s">
        <v>911</v>
      </c>
      <c r="C1773" s="2" t="s">
        <v>1117</v>
      </c>
      <c r="D1773" s="2" t="s">
        <v>34</v>
      </c>
      <c r="E1773" s="7" t="s">
        <v>3649</v>
      </c>
      <c r="F1773" s="37">
        <v>42457.694444444445</v>
      </c>
      <c r="G1773" s="37">
        <v>42457.711805555555</v>
      </c>
      <c r="H1773" s="1" t="s">
        <v>6</v>
      </c>
      <c r="I1773" s="1" t="s">
        <v>38</v>
      </c>
      <c r="J1773" s="1">
        <v>42457.710740740738</v>
      </c>
      <c r="K1773" s="1" t="s">
        <v>2865</v>
      </c>
      <c r="L1773" s="14">
        <f>24*(TblTimeSheet[[#This Row],[End Date and Time]]-TblTimeSheet[[#This Row],[Start Date and Time]])</f>
        <v>0.41666666662786156</v>
      </c>
      <c r="M17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3" s="14">
        <f>--(0&gt;(TblTimeSheet[[#This Row],[End Date and Time]]-TblTimeSheet[[#This Row],[Start Date and Time]]))</f>
        <v>0</v>
      </c>
    </row>
    <row r="1774" spans="1:14" x14ac:dyDescent="0.25">
      <c r="A1774" s="1"/>
      <c r="B1774" s="2" t="s">
        <v>917</v>
      </c>
      <c r="C1774" s="2" t="s">
        <v>36</v>
      </c>
      <c r="D1774" s="2" t="s">
        <v>20</v>
      </c>
      <c r="E1774" s="7" t="s">
        <v>2950</v>
      </c>
      <c r="F1774" s="37">
        <v>42457.458333333336</v>
      </c>
      <c r="G1774" s="37">
        <v>42457.5</v>
      </c>
      <c r="H1774" s="1" t="s">
        <v>6</v>
      </c>
      <c r="I1774" s="1" t="s">
        <v>38</v>
      </c>
      <c r="J1774" s="1">
        <v>42457.711053240739</v>
      </c>
      <c r="K1774" s="1" t="s">
        <v>36</v>
      </c>
      <c r="L1774" s="14">
        <f>24*(TblTimeSheet[[#This Row],[End Date and Time]]-TblTimeSheet[[#This Row],[Start Date and Time]])</f>
        <v>0.99999999994179234</v>
      </c>
      <c r="M17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4" s="14">
        <f>--(0&gt;(TblTimeSheet[[#This Row],[End Date and Time]]-TblTimeSheet[[#This Row],[Start Date and Time]]))</f>
        <v>0</v>
      </c>
    </row>
    <row r="1775" spans="1:14" x14ac:dyDescent="0.25">
      <c r="A1775" s="1"/>
      <c r="B1775" s="2" t="s">
        <v>917</v>
      </c>
      <c r="C1775" s="2" t="s">
        <v>36</v>
      </c>
      <c r="D1775" s="2" t="s">
        <v>20</v>
      </c>
      <c r="E1775" s="7" t="s">
        <v>2951</v>
      </c>
      <c r="F1775" s="37">
        <v>42457.555555555555</v>
      </c>
      <c r="G1775" s="37">
        <v>42457.59375</v>
      </c>
      <c r="H1775" s="1" t="s">
        <v>6</v>
      </c>
      <c r="I1775" s="1" t="s">
        <v>38</v>
      </c>
      <c r="J1775" s="1">
        <v>42457.711944444447</v>
      </c>
      <c r="K1775" s="1" t="s">
        <v>36</v>
      </c>
      <c r="L1775" s="14">
        <f>24*(TblTimeSheet[[#This Row],[End Date and Time]]-TblTimeSheet[[#This Row],[Start Date and Time]])</f>
        <v>0.91666666668606922</v>
      </c>
      <c r="M17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5" s="14">
        <f>--(0&gt;(TblTimeSheet[[#This Row],[End Date and Time]]-TblTimeSheet[[#This Row],[Start Date and Time]]))</f>
        <v>0</v>
      </c>
    </row>
    <row r="1776" spans="1:14" ht="30" x14ac:dyDescent="0.25">
      <c r="A1776" s="1"/>
      <c r="B1776" s="2" t="s">
        <v>917</v>
      </c>
      <c r="C1776" s="2" t="s">
        <v>36</v>
      </c>
      <c r="D1776" s="2" t="s">
        <v>20</v>
      </c>
      <c r="E1776" s="7" t="s">
        <v>3650</v>
      </c>
      <c r="F1776" s="37">
        <v>42457.673611111109</v>
      </c>
      <c r="G1776" s="37">
        <v>42457.697916666664</v>
      </c>
      <c r="H1776" s="1" t="s">
        <v>6</v>
      </c>
      <c r="I1776" s="1" t="s">
        <v>38</v>
      </c>
      <c r="J1776" s="1">
        <v>42457.714768518519</v>
      </c>
      <c r="K1776" s="1" t="s">
        <v>36</v>
      </c>
      <c r="L1776" s="14">
        <f>24*(TblTimeSheet[[#This Row],[End Date and Time]]-TblTimeSheet[[#This Row],[Start Date and Time]])</f>
        <v>0.58333333331393078</v>
      </c>
      <c r="M17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6" s="14">
        <f>--(0&gt;(TblTimeSheet[[#This Row],[End Date and Time]]-TblTimeSheet[[#This Row],[Start Date and Time]]))</f>
        <v>0</v>
      </c>
    </row>
    <row r="1777" spans="1:14" x14ac:dyDescent="0.25">
      <c r="A1777" s="1"/>
      <c r="B1777" s="2" t="s">
        <v>911</v>
      </c>
      <c r="C1777" s="2" t="s">
        <v>144</v>
      </c>
      <c r="D1777" s="2" t="s">
        <v>34</v>
      </c>
      <c r="E1777" s="7" t="s">
        <v>2952</v>
      </c>
      <c r="F1777" s="37">
        <v>42457.694444444445</v>
      </c>
      <c r="G1777" s="37">
        <v>42457.711805555555</v>
      </c>
      <c r="H1777" s="1" t="s">
        <v>6</v>
      </c>
      <c r="I1777" s="1" t="s">
        <v>38</v>
      </c>
      <c r="J1777" s="1">
        <v>42457.716053240743</v>
      </c>
      <c r="K1777" s="1" t="s">
        <v>144</v>
      </c>
      <c r="L1777" s="14">
        <f>24*(TblTimeSheet[[#This Row],[End Date and Time]]-TblTimeSheet[[#This Row],[Start Date and Time]])</f>
        <v>0.41666666662786156</v>
      </c>
      <c r="M17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7" s="14">
        <f>--(0&gt;(TblTimeSheet[[#This Row],[End Date and Time]]-TblTimeSheet[[#This Row],[Start Date and Time]]))</f>
        <v>0</v>
      </c>
    </row>
    <row r="1778" spans="1:14" ht="30" x14ac:dyDescent="0.25">
      <c r="A1778" s="1"/>
      <c r="B1778" s="2" t="s">
        <v>911</v>
      </c>
      <c r="C1778" s="2" t="s">
        <v>116</v>
      </c>
      <c r="D1778" s="2" t="s">
        <v>34</v>
      </c>
      <c r="E1778" s="7" t="s">
        <v>3651</v>
      </c>
      <c r="F1778" s="37">
        <v>42457.694444444445</v>
      </c>
      <c r="G1778" s="37">
        <v>42457.711805555555</v>
      </c>
      <c r="H1778" s="1" t="s">
        <v>6</v>
      </c>
      <c r="I1778" s="1" t="s">
        <v>38</v>
      </c>
      <c r="J1778" s="1">
        <v>42457.725173611114</v>
      </c>
      <c r="K1778" s="1" t="s">
        <v>81</v>
      </c>
      <c r="L1778" s="14">
        <f>24*(TblTimeSheet[[#This Row],[End Date and Time]]-TblTimeSheet[[#This Row],[Start Date and Time]])</f>
        <v>0.41666666662786156</v>
      </c>
      <c r="M17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8" s="14">
        <f>--(0&gt;(TblTimeSheet[[#This Row],[End Date and Time]]-TblTimeSheet[[#This Row],[Start Date and Time]]))</f>
        <v>0</v>
      </c>
    </row>
    <row r="1779" spans="1:14" x14ac:dyDescent="0.25">
      <c r="A1779" s="1"/>
      <c r="B1779" s="2" t="s">
        <v>911</v>
      </c>
      <c r="C1779" s="2" t="s">
        <v>1117</v>
      </c>
      <c r="D1779" s="2" t="s">
        <v>32</v>
      </c>
      <c r="E1779" s="7" t="s">
        <v>1372</v>
      </c>
      <c r="F1779" s="37">
        <v>42457.645833333336</v>
      </c>
      <c r="G1779" s="37">
        <v>42457.659722222219</v>
      </c>
      <c r="H1779" s="1" t="s">
        <v>6</v>
      </c>
      <c r="I1779" s="1" t="s">
        <v>38</v>
      </c>
      <c r="J1779" s="1">
        <v>42457.739120370374</v>
      </c>
      <c r="K1779" s="1" t="s">
        <v>2865</v>
      </c>
      <c r="L1779" s="14">
        <f>24*(TblTimeSheet[[#This Row],[End Date and Time]]-TblTimeSheet[[#This Row],[Start Date and Time]])</f>
        <v>0.33333333319751546</v>
      </c>
      <c r="M17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79" s="14">
        <f>--(0&gt;(TblTimeSheet[[#This Row],[End Date and Time]]-TblTimeSheet[[#This Row],[Start Date and Time]]))</f>
        <v>0</v>
      </c>
    </row>
    <row r="1780" spans="1:14" x14ac:dyDescent="0.25">
      <c r="A1780" s="1"/>
      <c r="B1780" s="2" t="s">
        <v>697</v>
      </c>
      <c r="C1780" s="2" t="s">
        <v>116</v>
      </c>
      <c r="D1780" s="2" t="s">
        <v>35</v>
      </c>
      <c r="E1780" s="7" t="s">
        <v>2953</v>
      </c>
      <c r="F1780" s="37">
        <v>42457.729166666664</v>
      </c>
      <c r="G1780" s="37">
        <v>42457.743055555555</v>
      </c>
      <c r="H1780" s="1" t="s">
        <v>6</v>
      </c>
      <c r="I1780" s="1" t="s">
        <v>38</v>
      </c>
      <c r="J1780" s="1">
        <v>42457.752060185187</v>
      </c>
      <c r="K1780" s="1" t="s">
        <v>39</v>
      </c>
      <c r="L1780" s="14">
        <f>24*(TblTimeSheet[[#This Row],[End Date and Time]]-TblTimeSheet[[#This Row],[Start Date and Time]])</f>
        <v>0.33333333337213844</v>
      </c>
      <c r="M17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80" s="14">
        <f>--(0&gt;(TblTimeSheet[[#This Row],[End Date and Time]]-TblTimeSheet[[#This Row],[Start Date and Time]]))</f>
        <v>0</v>
      </c>
    </row>
    <row r="1781" spans="1:14" ht="30" x14ac:dyDescent="0.25">
      <c r="A1781" s="1"/>
      <c r="B1781" s="2" t="s">
        <v>911</v>
      </c>
      <c r="C1781" s="2" t="s">
        <v>116</v>
      </c>
      <c r="D1781" s="2" t="s">
        <v>34</v>
      </c>
      <c r="E1781" s="7" t="s">
        <v>3652</v>
      </c>
      <c r="F1781" s="37">
        <v>42457.729166666664</v>
      </c>
      <c r="G1781" s="37">
        <v>42457.753472222219</v>
      </c>
      <c r="H1781" s="1" t="s">
        <v>6</v>
      </c>
      <c r="I1781" s="1" t="s">
        <v>38</v>
      </c>
      <c r="J1781" s="1">
        <v>42457.757395833331</v>
      </c>
      <c r="K1781" s="1" t="s">
        <v>81</v>
      </c>
      <c r="L1781" s="14">
        <f>24*(TblTimeSheet[[#This Row],[End Date and Time]]-TblTimeSheet[[#This Row],[Start Date and Time]])</f>
        <v>0.58333333331393078</v>
      </c>
      <c r="M17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781" s="14">
        <f>--(0&gt;(TblTimeSheet[[#This Row],[End Date and Time]]-TblTimeSheet[[#This Row],[Start Date and Time]]))</f>
        <v>0</v>
      </c>
    </row>
    <row r="1782" spans="1:14" x14ac:dyDescent="0.25">
      <c r="A1782" s="1"/>
      <c r="B1782" s="2" t="s">
        <v>911</v>
      </c>
      <c r="C1782" s="2" t="s">
        <v>41</v>
      </c>
      <c r="D1782" s="2" t="s">
        <v>34</v>
      </c>
      <c r="E1782" s="7" t="s">
        <v>2954</v>
      </c>
      <c r="F1782" s="37">
        <v>42457.729166666664</v>
      </c>
      <c r="G1782" s="37">
        <v>42457.753472222219</v>
      </c>
      <c r="H1782" s="1" t="s">
        <v>6</v>
      </c>
      <c r="I1782" s="1" t="s">
        <v>38</v>
      </c>
      <c r="J1782" s="1">
        <v>42457.756736111114</v>
      </c>
      <c r="K1782" s="1" t="s">
        <v>41</v>
      </c>
      <c r="L1782" s="14">
        <f>24*(TblTimeSheet[[#This Row],[End Date and Time]]-TblTimeSheet[[#This Row],[Start Date and Time]])</f>
        <v>0.58333333331393078</v>
      </c>
      <c r="M17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2" s="14">
        <f>--(0&gt;(TblTimeSheet[[#This Row],[End Date and Time]]-TblTimeSheet[[#This Row],[Start Date and Time]]))</f>
        <v>0</v>
      </c>
    </row>
    <row r="1783" spans="1:14" x14ac:dyDescent="0.25">
      <c r="A1783" s="1"/>
      <c r="B1783" s="2" t="s">
        <v>911</v>
      </c>
      <c r="C1783" s="2" t="s">
        <v>41</v>
      </c>
      <c r="D1783" s="2" t="s">
        <v>35</v>
      </c>
      <c r="E1783" s="7" t="s">
        <v>1629</v>
      </c>
      <c r="F1783" s="37">
        <v>42457.756944444445</v>
      </c>
      <c r="G1783" s="37">
        <v>42457.763888888891</v>
      </c>
      <c r="H1783" s="1" t="s">
        <v>6</v>
      </c>
      <c r="I1783" s="1" t="s">
        <v>38</v>
      </c>
      <c r="J1783" s="1">
        <v>42458.418206018519</v>
      </c>
      <c r="K1783" s="1" t="s">
        <v>41</v>
      </c>
      <c r="L1783" s="14">
        <f>24*(TblTimeSheet[[#This Row],[End Date and Time]]-TblTimeSheet[[#This Row],[Start Date and Time]])</f>
        <v>0.16666666668606922</v>
      </c>
      <c r="M17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3" s="14">
        <f>--(0&gt;(TblTimeSheet[[#This Row],[End Date and Time]]-TblTimeSheet[[#This Row],[Start Date and Time]]))</f>
        <v>0</v>
      </c>
    </row>
    <row r="1784" spans="1:14" ht="30" x14ac:dyDescent="0.25">
      <c r="A1784" s="1"/>
      <c r="B1784" s="2" t="s">
        <v>917</v>
      </c>
      <c r="C1784" s="2" t="s">
        <v>116</v>
      </c>
      <c r="D1784" s="2" t="s">
        <v>20</v>
      </c>
      <c r="E1784" s="7" t="s">
        <v>3653</v>
      </c>
      <c r="F1784" s="37">
        <v>42458.416666666664</v>
      </c>
      <c r="G1784" s="37">
        <v>42458.420138888891</v>
      </c>
      <c r="H1784" s="1" t="s">
        <v>6</v>
      </c>
      <c r="I1784" s="1" t="s">
        <v>38</v>
      </c>
      <c r="J1784" s="1">
        <v>42458.424942129626</v>
      </c>
      <c r="K1784" s="1" t="s">
        <v>81</v>
      </c>
      <c r="L1784" s="14">
        <f>24*(TblTimeSheet[[#This Row],[End Date and Time]]-TblTimeSheet[[#This Row],[Start Date and Time]])</f>
        <v>8.3333333430346102E-2</v>
      </c>
      <c r="M17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4" s="14">
        <f>--(0&gt;(TblTimeSheet[[#This Row],[End Date and Time]]-TblTimeSheet[[#This Row],[Start Date and Time]]))</f>
        <v>0</v>
      </c>
    </row>
    <row r="1785" spans="1:14" x14ac:dyDescent="0.25">
      <c r="A1785" s="1"/>
      <c r="B1785" s="2" t="s">
        <v>917</v>
      </c>
      <c r="C1785" s="2" t="s">
        <v>118</v>
      </c>
      <c r="D1785" s="2" t="s">
        <v>20</v>
      </c>
      <c r="E1785" s="7" t="s">
        <v>2955</v>
      </c>
      <c r="F1785" s="37">
        <v>42458.416666666664</v>
      </c>
      <c r="G1785" s="37">
        <v>42458.430555555555</v>
      </c>
      <c r="H1785" s="1" t="s">
        <v>6</v>
      </c>
      <c r="I1785" s="1" t="s">
        <v>38</v>
      </c>
      <c r="J1785" s="1">
        <v>42458.431203703702</v>
      </c>
      <c r="K1785" s="1" t="s">
        <v>118</v>
      </c>
      <c r="L1785" s="14">
        <f>24*(TblTimeSheet[[#This Row],[End Date and Time]]-TblTimeSheet[[#This Row],[Start Date and Time]])</f>
        <v>0.33333333337213844</v>
      </c>
      <c r="M17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5" s="14">
        <f>--(0&gt;(TblTimeSheet[[#This Row],[End Date and Time]]-TblTimeSheet[[#This Row],[Start Date and Time]]))</f>
        <v>0</v>
      </c>
    </row>
    <row r="1786" spans="1:14" x14ac:dyDescent="0.25">
      <c r="A1786" s="1"/>
      <c r="B1786" s="2" t="s">
        <v>917</v>
      </c>
      <c r="C1786" s="2" t="s">
        <v>171</v>
      </c>
      <c r="D1786" s="2" t="s">
        <v>20</v>
      </c>
      <c r="E1786" s="7" t="s">
        <v>1372</v>
      </c>
      <c r="F1786" s="37">
        <v>42458.416666666664</v>
      </c>
      <c r="G1786" s="37">
        <v>42458.430555555555</v>
      </c>
      <c r="H1786" s="1" t="s">
        <v>6</v>
      </c>
      <c r="I1786" s="1" t="s">
        <v>38</v>
      </c>
      <c r="J1786" s="1">
        <v>42458.432384259257</v>
      </c>
      <c r="K1786" s="1" t="s">
        <v>171</v>
      </c>
      <c r="L1786" s="14">
        <f>24*(TblTimeSheet[[#This Row],[End Date and Time]]-TblTimeSheet[[#This Row],[Start Date and Time]])</f>
        <v>0.33333333337213844</v>
      </c>
      <c r="M17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6" s="14">
        <f>--(0&gt;(TblTimeSheet[[#This Row],[End Date and Time]]-TblTimeSheet[[#This Row],[Start Date and Time]]))</f>
        <v>0</v>
      </c>
    </row>
    <row r="1787" spans="1:14" ht="30" x14ac:dyDescent="0.25">
      <c r="A1787" s="1"/>
      <c r="B1787" s="2" t="s">
        <v>917</v>
      </c>
      <c r="C1787" s="2" t="s">
        <v>36</v>
      </c>
      <c r="D1787" s="2" t="s">
        <v>20</v>
      </c>
      <c r="E1787" s="7" t="s">
        <v>3654</v>
      </c>
      <c r="F1787" s="37">
        <v>42458.416666666664</v>
      </c>
      <c r="G1787" s="37">
        <v>42458.430555555555</v>
      </c>
      <c r="H1787" s="1" t="s">
        <v>6</v>
      </c>
      <c r="I1787" s="1" t="s">
        <v>38</v>
      </c>
      <c r="J1787" s="1">
        <v>42458.43445601852</v>
      </c>
      <c r="K1787" s="1" t="s">
        <v>36</v>
      </c>
      <c r="L1787" s="14">
        <f>24*(TblTimeSheet[[#This Row],[End Date and Time]]-TblTimeSheet[[#This Row],[Start Date and Time]])</f>
        <v>0.33333333337213844</v>
      </c>
      <c r="M17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7" s="14">
        <f>--(0&gt;(TblTimeSheet[[#This Row],[End Date and Time]]-TblTimeSheet[[#This Row],[Start Date and Time]]))</f>
        <v>0</v>
      </c>
    </row>
    <row r="1788" spans="1:14" x14ac:dyDescent="0.25">
      <c r="A1788" s="1"/>
      <c r="B1788" s="2" t="s">
        <v>917</v>
      </c>
      <c r="C1788" s="2" t="s">
        <v>1503</v>
      </c>
      <c r="D1788" s="2" t="s">
        <v>20</v>
      </c>
      <c r="E1788" s="7" t="s">
        <v>2956</v>
      </c>
      <c r="F1788" s="37">
        <v>42458.416666666664</v>
      </c>
      <c r="G1788" s="37">
        <v>42458.423611111109</v>
      </c>
      <c r="H1788" s="1" t="s">
        <v>6</v>
      </c>
      <c r="I1788" s="1" t="s">
        <v>38</v>
      </c>
      <c r="J1788" s="1">
        <v>42458.457187499997</v>
      </c>
      <c r="K1788" s="1" t="s">
        <v>2866</v>
      </c>
      <c r="L1788" s="14">
        <f>24*(TblTimeSheet[[#This Row],[End Date and Time]]-TblTimeSheet[[#This Row],[Start Date and Time]])</f>
        <v>0.16666666668606922</v>
      </c>
      <c r="M17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8" s="14">
        <f>--(0&gt;(TblTimeSheet[[#This Row],[End Date and Time]]-TblTimeSheet[[#This Row],[Start Date and Time]]))</f>
        <v>0</v>
      </c>
    </row>
    <row r="1789" spans="1:14" x14ac:dyDescent="0.25">
      <c r="A1789" s="1"/>
      <c r="B1789" s="2" t="s">
        <v>917</v>
      </c>
      <c r="C1789" s="2" t="s">
        <v>144</v>
      </c>
      <c r="D1789" s="2" t="s">
        <v>20</v>
      </c>
      <c r="E1789" s="7" t="s">
        <v>2957</v>
      </c>
      <c r="F1789" s="37">
        <v>42458.416666666664</v>
      </c>
      <c r="G1789" s="37">
        <v>42458.423611111109</v>
      </c>
      <c r="H1789" s="1" t="s">
        <v>6</v>
      </c>
      <c r="I1789" s="1" t="s">
        <v>38</v>
      </c>
      <c r="J1789" s="1">
        <v>42458.502916666665</v>
      </c>
      <c r="K1789" s="1" t="s">
        <v>144</v>
      </c>
      <c r="L1789" s="14">
        <f>24*(TblTimeSheet[[#This Row],[End Date and Time]]-TblTimeSheet[[#This Row],[Start Date and Time]])</f>
        <v>0.16666666668606922</v>
      </c>
      <c r="M17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89" s="14">
        <f>--(0&gt;(TblTimeSheet[[#This Row],[End Date and Time]]-TblTimeSheet[[#This Row],[Start Date and Time]]))</f>
        <v>0</v>
      </c>
    </row>
    <row r="1790" spans="1:14" x14ac:dyDescent="0.25">
      <c r="A1790" s="1"/>
      <c r="B1790" s="2" t="s">
        <v>915</v>
      </c>
      <c r="C1790" s="2" t="s">
        <v>924</v>
      </c>
      <c r="D1790" s="2" t="s">
        <v>32</v>
      </c>
      <c r="E1790" s="7" t="s">
        <v>2958</v>
      </c>
      <c r="F1790" s="37">
        <v>42458.479166666664</v>
      </c>
      <c r="G1790" s="37">
        <v>42458.53125</v>
      </c>
      <c r="H1790" s="1" t="s">
        <v>6</v>
      </c>
      <c r="I1790" s="1" t="s">
        <v>38</v>
      </c>
      <c r="J1790" s="1">
        <v>42458.532500000001</v>
      </c>
      <c r="K1790" s="1" t="s">
        <v>924</v>
      </c>
      <c r="L1790" s="14">
        <f>24*(TblTimeSheet[[#This Row],[End Date and Time]]-TblTimeSheet[[#This Row],[Start Date and Time]])</f>
        <v>1.2500000000582077</v>
      </c>
      <c r="M17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0" s="14">
        <f>--(0&gt;(TblTimeSheet[[#This Row],[End Date and Time]]-TblTimeSheet[[#This Row],[Start Date and Time]]))</f>
        <v>0</v>
      </c>
    </row>
    <row r="1791" spans="1:14" x14ac:dyDescent="0.25">
      <c r="A1791" s="1"/>
      <c r="B1791" s="2" t="s">
        <v>915</v>
      </c>
      <c r="C1791" s="2" t="s">
        <v>116</v>
      </c>
      <c r="D1791" s="2" t="s">
        <v>32</v>
      </c>
      <c r="E1791" s="7" t="s">
        <v>2959</v>
      </c>
      <c r="F1791" s="37">
        <v>42458.479166666664</v>
      </c>
      <c r="G1791" s="37">
        <v>42458.53125</v>
      </c>
      <c r="H1791" s="1" t="s">
        <v>6</v>
      </c>
      <c r="I1791" s="1" t="s">
        <v>38</v>
      </c>
      <c r="J1791" s="1">
        <v>42458.533622685187</v>
      </c>
      <c r="K1791" s="1" t="s">
        <v>39</v>
      </c>
      <c r="L1791" s="14">
        <f>24*(TblTimeSheet[[#This Row],[End Date and Time]]-TblTimeSheet[[#This Row],[Start Date and Time]])</f>
        <v>1.2500000000582077</v>
      </c>
      <c r="M17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1" s="14">
        <f>--(0&gt;(TblTimeSheet[[#This Row],[End Date and Time]]-TblTimeSheet[[#This Row],[Start Date and Time]]))</f>
        <v>0</v>
      </c>
    </row>
    <row r="1792" spans="1:14" x14ac:dyDescent="0.25">
      <c r="A1792" s="1"/>
      <c r="B1792" s="2" t="s">
        <v>917</v>
      </c>
      <c r="C1792" s="2" t="s">
        <v>36</v>
      </c>
      <c r="D1792" s="2" t="s">
        <v>20</v>
      </c>
      <c r="E1792" s="7" t="s">
        <v>3655</v>
      </c>
      <c r="F1792" s="37">
        <v>42458.510416666664</v>
      </c>
      <c r="G1792" s="37">
        <v>42458.53125</v>
      </c>
      <c r="H1792" s="1" t="s">
        <v>6</v>
      </c>
      <c r="I1792" s="1" t="s">
        <v>38</v>
      </c>
      <c r="J1792" s="1">
        <v>42458.536840277775</v>
      </c>
      <c r="K1792" s="1" t="s">
        <v>36</v>
      </c>
      <c r="L1792" s="14">
        <f>24*(TblTimeSheet[[#This Row],[End Date and Time]]-TblTimeSheet[[#This Row],[Start Date and Time]])</f>
        <v>0.50000000005820766</v>
      </c>
      <c r="M17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2" s="14">
        <f>--(0&gt;(TblTimeSheet[[#This Row],[End Date and Time]]-TblTimeSheet[[#This Row],[Start Date and Time]]))</f>
        <v>0</v>
      </c>
    </row>
    <row r="1793" spans="1:14" x14ac:dyDescent="0.25">
      <c r="A1793" s="1"/>
      <c r="B1793" s="2" t="s">
        <v>911</v>
      </c>
      <c r="C1793" s="2" t="s">
        <v>41</v>
      </c>
      <c r="D1793" s="2" t="s">
        <v>35</v>
      </c>
      <c r="E1793" s="7" t="s">
        <v>2960</v>
      </c>
      <c r="F1793" s="37">
        <v>42458.5</v>
      </c>
      <c r="G1793" s="37">
        <v>42458.527777777781</v>
      </c>
      <c r="H1793" s="1" t="s">
        <v>6</v>
      </c>
      <c r="I1793" s="1" t="s">
        <v>38</v>
      </c>
      <c r="J1793" s="1">
        <v>42458.605138888888</v>
      </c>
      <c r="K1793" s="1" t="s">
        <v>41</v>
      </c>
      <c r="L1793" s="14">
        <f>24*(TblTimeSheet[[#This Row],[End Date and Time]]-TblTimeSheet[[#This Row],[Start Date and Time]])</f>
        <v>0.66666666674427688</v>
      </c>
      <c r="M17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3" s="14">
        <f>--(0&gt;(TblTimeSheet[[#This Row],[End Date and Time]]-TblTimeSheet[[#This Row],[Start Date and Time]]))</f>
        <v>0</v>
      </c>
    </row>
    <row r="1794" spans="1:14" x14ac:dyDescent="0.25">
      <c r="A1794" s="1"/>
      <c r="B1794" s="2" t="s">
        <v>2870</v>
      </c>
      <c r="C1794" s="2" t="s">
        <v>961</v>
      </c>
      <c r="D1794" s="2" t="s">
        <v>19</v>
      </c>
      <c r="E1794" s="7" t="s">
        <v>3656</v>
      </c>
      <c r="F1794" s="37">
        <v>42458.611111111109</v>
      </c>
      <c r="G1794" s="37">
        <v>42458.625</v>
      </c>
      <c r="H1794" s="1" t="s">
        <v>6</v>
      </c>
      <c r="I1794" s="1" t="s">
        <v>38</v>
      </c>
      <c r="J1794" s="1">
        <v>42458.637175925927</v>
      </c>
      <c r="K1794" s="1" t="s">
        <v>961</v>
      </c>
      <c r="L1794" s="14">
        <f>24*(TblTimeSheet[[#This Row],[End Date and Time]]-TblTimeSheet[[#This Row],[Start Date and Time]])</f>
        <v>0.33333333337213844</v>
      </c>
      <c r="M17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4" s="14">
        <f>--(0&gt;(TblTimeSheet[[#This Row],[End Date and Time]]-TblTimeSheet[[#This Row],[Start Date and Time]]))</f>
        <v>0</v>
      </c>
    </row>
    <row r="1795" spans="1:14" x14ac:dyDescent="0.25">
      <c r="A1795" s="1"/>
      <c r="B1795" s="2" t="s">
        <v>2870</v>
      </c>
      <c r="C1795" s="2" t="s">
        <v>41</v>
      </c>
      <c r="D1795" s="2" t="s">
        <v>19</v>
      </c>
      <c r="E1795" s="7" t="s">
        <v>2961</v>
      </c>
      <c r="F1795" s="37">
        <v>42458.631944444445</v>
      </c>
      <c r="G1795" s="37">
        <v>42458.642361111109</v>
      </c>
      <c r="H1795" s="1" t="s">
        <v>6</v>
      </c>
      <c r="I1795" s="1" t="s">
        <v>38</v>
      </c>
      <c r="J1795" s="1">
        <v>42458.655115740738</v>
      </c>
      <c r="K1795" s="1" t="s">
        <v>41</v>
      </c>
      <c r="L1795" s="14">
        <f>24*(TblTimeSheet[[#This Row],[End Date and Time]]-TblTimeSheet[[#This Row],[Start Date and Time]])</f>
        <v>0.24999999994179234</v>
      </c>
      <c r="M17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5" s="14">
        <f>--(0&gt;(TblTimeSheet[[#This Row],[End Date and Time]]-TblTimeSheet[[#This Row],[Start Date and Time]]))</f>
        <v>0</v>
      </c>
    </row>
    <row r="1796" spans="1:14" x14ac:dyDescent="0.25">
      <c r="A1796" s="1"/>
      <c r="B1796" s="2" t="s">
        <v>911</v>
      </c>
      <c r="C1796" s="2" t="s">
        <v>116</v>
      </c>
      <c r="D1796" s="2" t="s">
        <v>35</v>
      </c>
      <c r="E1796" s="7" t="s">
        <v>2962</v>
      </c>
      <c r="F1796" s="37">
        <v>42458.645833333336</v>
      </c>
      <c r="G1796" s="37">
        <v>42458.666666666664</v>
      </c>
      <c r="H1796" s="1" t="s">
        <v>6</v>
      </c>
      <c r="I1796" s="1" t="s">
        <v>38</v>
      </c>
      <c r="J1796" s="1">
        <v>42458.671238425923</v>
      </c>
      <c r="K1796" s="1" t="s">
        <v>39</v>
      </c>
      <c r="L1796" s="14">
        <f>24*(TblTimeSheet[[#This Row],[End Date and Time]]-TblTimeSheet[[#This Row],[Start Date and Time]])</f>
        <v>0.49999999988358468</v>
      </c>
      <c r="M17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6" s="14">
        <f>--(0&gt;(TblTimeSheet[[#This Row],[End Date and Time]]-TblTimeSheet[[#This Row],[Start Date and Time]]))</f>
        <v>0</v>
      </c>
    </row>
    <row r="1797" spans="1:14" x14ac:dyDescent="0.25">
      <c r="A1797" s="1"/>
      <c r="B1797" s="2" t="s">
        <v>911</v>
      </c>
      <c r="C1797" s="2" t="s">
        <v>41</v>
      </c>
      <c r="D1797" s="2" t="s">
        <v>35</v>
      </c>
      <c r="E1797" s="7" t="s">
        <v>3657</v>
      </c>
      <c r="F1797" s="37">
        <v>42458.645833333336</v>
      </c>
      <c r="G1797" s="37">
        <v>42458.666666666664</v>
      </c>
      <c r="H1797" s="1" t="s">
        <v>6</v>
      </c>
      <c r="I1797" s="1" t="s">
        <v>38</v>
      </c>
      <c r="J1797" s="1">
        <v>42458.672569444447</v>
      </c>
      <c r="K1797" s="1" t="s">
        <v>41</v>
      </c>
      <c r="L1797" s="14">
        <f>24*(TblTimeSheet[[#This Row],[End Date and Time]]-TblTimeSheet[[#This Row],[Start Date and Time]])</f>
        <v>0.49999999988358468</v>
      </c>
      <c r="M17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7" s="14">
        <f>--(0&gt;(TblTimeSheet[[#This Row],[End Date and Time]]-TblTimeSheet[[#This Row],[Start Date and Time]]))</f>
        <v>0</v>
      </c>
    </row>
    <row r="1798" spans="1:14" x14ac:dyDescent="0.25">
      <c r="A1798" s="1"/>
      <c r="B1798" s="2" t="s">
        <v>2870</v>
      </c>
      <c r="C1798" s="2" t="s">
        <v>1105</v>
      </c>
      <c r="D1798" s="2" t="s">
        <v>19</v>
      </c>
      <c r="E1798" s="7" t="s">
        <v>2889</v>
      </c>
      <c r="F1798" s="37">
        <v>42458.677083333336</v>
      </c>
      <c r="G1798" s="37">
        <v>42458.694444444445</v>
      </c>
      <c r="H1798" s="1" t="s">
        <v>6</v>
      </c>
      <c r="I1798" s="1" t="s">
        <v>38</v>
      </c>
      <c r="J1798" s="1">
        <v>42458.694293981483</v>
      </c>
      <c r="K1798" s="1" t="s">
        <v>2864</v>
      </c>
      <c r="L1798" s="14">
        <f>24*(TblTimeSheet[[#This Row],[End Date and Time]]-TblTimeSheet[[#This Row],[Start Date and Time]])</f>
        <v>0.41666666662786156</v>
      </c>
      <c r="M17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8" s="14">
        <f>--(0&gt;(TblTimeSheet[[#This Row],[End Date and Time]]-TblTimeSheet[[#This Row],[Start Date and Time]]))</f>
        <v>0</v>
      </c>
    </row>
    <row r="1799" spans="1:14" x14ac:dyDescent="0.25">
      <c r="A1799" s="1"/>
      <c r="B1799" s="2" t="s">
        <v>2870</v>
      </c>
      <c r="C1799" s="2" t="s">
        <v>41</v>
      </c>
      <c r="D1799" s="2" t="s">
        <v>19</v>
      </c>
      <c r="E1799" s="7" t="s">
        <v>3658</v>
      </c>
      <c r="F1799" s="37">
        <v>42458.677083333336</v>
      </c>
      <c r="G1799" s="37">
        <v>42458.694444444445</v>
      </c>
      <c r="H1799" s="1" t="s">
        <v>6</v>
      </c>
      <c r="I1799" s="1" t="s">
        <v>38</v>
      </c>
      <c r="J1799" s="1">
        <v>42458.695208333331</v>
      </c>
      <c r="K1799" s="1" t="s">
        <v>41</v>
      </c>
      <c r="L1799" s="14">
        <f>24*(TblTimeSheet[[#This Row],[End Date and Time]]-TblTimeSheet[[#This Row],[Start Date and Time]])</f>
        <v>0.41666666662786156</v>
      </c>
      <c r="M17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799" s="14">
        <f>--(0&gt;(TblTimeSheet[[#This Row],[End Date and Time]]-TblTimeSheet[[#This Row],[Start Date and Time]]))</f>
        <v>0</v>
      </c>
    </row>
    <row r="1800" spans="1:14" ht="30" x14ac:dyDescent="0.25">
      <c r="A1800" s="1"/>
      <c r="B1800" s="2" t="s">
        <v>911</v>
      </c>
      <c r="C1800" s="2" t="s">
        <v>116</v>
      </c>
      <c r="D1800" s="2" t="s">
        <v>35</v>
      </c>
      <c r="E1800" s="7" t="s">
        <v>3659</v>
      </c>
      <c r="F1800" s="37">
        <v>42458.739583333336</v>
      </c>
      <c r="G1800" s="37">
        <v>42458.770833333336</v>
      </c>
      <c r="H1800" s="1" t="s">
        <v>6</v>
      </c>
      <c r="I1800" s="1" t="s">
        <v>38</v>
      </c>
      <c r="J1800" s="1">
        <v>42458.772986111115</v>
      </c>
      <c r="K1800" s="1" t="s">
        <v>81</v>
      </c>
      <c r="L1800" s="14">
        <f>24*(TblTimeSheet[[#This Row],[End Date and Time]]-TblTimeSheet[[#This Row],[Start Date and Time]])</f>
        <v>0.75</v>
      </c>
      <c r="M18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0" s="14">
        <f>--(0&gt;(TblTimeSheet[[#This Row],[End Date and Time]]-TblTimeSheet[[#This Row],[Start Date and Time]]))</f>
        <v>0</v>
      </c>
    </row>
    <row r="1801" spans="1:14" x14ac:dyDescent="0.25">
      <c r="A1801" s="1"/>
      <c r="B1801" s="2" t="s">
        <v>911</v>
      </c>
      <c r="C1801" s="2" t="s">
        <v>41</v>
      </c>
      <c r="D1801" s="2" t="s">
        <v>35</v>
      </c>
      <c r="E1801" s="7" t="s">
        <v>2963</v>
      </c>
      <c r="F1801" s="37">
        <v>42458.739583333336</v>
      </c>
      <c r="G1801" s="37">
        <v>42458.770833333336</v>
      </c>
      <c r="H1801" s="1" t="s">
        <v>6</v>
      </c>
      <c r="I1801" s="1" t="s">
        <v>38</v>
      </c>
      <c r="J1801" s="1">
        <v>42458.773935185185</v>
      </c>
      <c r="K1801" s="1" t="s">
        <v>41</v>
      </c>
      <c r="L1801" s="14">
        <f>24*(TblTimeSheet[[#This Row],[End Date and Time]]-TblTimeSheet[[#This Row],[Start Date and Time]])</f>
        <v>0.75</v>
      </c>
      <c r="M18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1" s="14">
        <f>--(0&gt;(TblTimeSheet[[#This Row],[End Date and Time]]-TblTimeSheet[[#This Row],[Start Date and Time]]))</f>
        <v>0</v>
      </c>
    </row>
    <row r="1802" spans="1:14" x14ac:dyDescent="0.25">
      <c r="A1802" s="1"/>
      <c r="B1802" s="2" t="s">
        <v>697</v>
      </c>
      <c r="C1802" s="2" t="s">
        <v>124</v>
      </c>
      <c r="D1802" s="2" t="s">
        <v>35</v>
      </c>
      <c r="E1802" s="7" t="s">
        <v>1625</v>
      </c>
      <c r="F1802" s="37">
        <v>42457.729166666664</v>
      </c>
      <c r="G1802" s="37">
        <v>42457.743055555555</v>
      </c>
      <c r="H1802" s="1" t="s">
        <v>6</v>
      </c>
      <c r="I1802" s="1" t="s">
        <v>38</v>
      </c>
      <c r="J1802" s="1">
        <v>42459.409085648149</v>
      </c>
      <c r="K1802" s="1" t="s">
        <v>2863</v>
      </c>
      <c r="L1802" s="14">
        <f>24*(TblTimeSheet[[#This Row],[End Date and Time]]-TblTimeSheet[[#This Row],[Start Date and Time]])</f>
        <v>0.33333333337213844</v>
      </c>
      <c r="M18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2" s="14">
        <f>--(0&gt;(TblTimeSheet[[#This Row],[End Date and Time]]-TblTimeSheet[[#This Row],[Start Date and Time]]))</f>
        <v>0</v>
      </c>
    </row>
    <row r="1803" spans="1:14" x14ac:dyDescent="0.25">
      <c r="A1803" s="1"/>
      <c r="B1803" s="2" t="s">
        <v>697</v>
      </c>
      <c r="C1803" s="2" t="s">
        <v>124</v>
      </c>
      <c r="D1803" s="2" t="s">
        <v>35</v>
      </c>
      <c r="E1803" s="7" t="s">
        <v>2964</v>
      </c>
      <c r="F1803" s="37">
        <v>42459.395833333336</v>
      </c>
      <c r="G1803" s="37">
        <v>42459.40625</v>
      </c>
      <c r="H1803" s="1" t="s">
        <v>6</v>
      </c>
      <c r="I1803" s="1" t="s">
        <v>38</v>
      </c>
      <c r="J1803" s="1">
        <v>42459.414895833332</v>
      </c>
      <c r="K1803" s="1" t="s">
        <v>2863</v>
      </c>
      <c r="L1803" s="14">
        <f>24*(TblTimeSheet[[#This Row],[End Date and Time]]-TblTimeSheet[[#This Row],[Start Date and Time]])</f>
        <v>0.24999999994179234</v>
      </c>
      <c r="M18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3" s="14">
        <f>--(0&gt;(TblTimeSheet[[#This Row],[End Date and Time]]-TblTimeSheet[[#This Row],[Start Date and Time]]))</f>
        <v>0</v>
      </c>
    </row>
    <row r="1804" spans="1:14" x14ac:dyDescent="0.25">
      <c r="A1804" s="1"/>
      <c r="B1804" s="2" t="s">
        <v>697</v>
      </c>
      <c r="C1804" s="2" t="s">
        <v>124</v>
      </c>
      <c r="D1804" s="2" t="s">
        <v>35</v>
      </c>
      <c r="E1804" s="7" t="s">
        <v>2965</v>
      </c>
      <c r="F1804" s="37">
        <v>42457.666666666664</v>
      </c>
      <c r="G1804" s="37">
        <v>42457.6875</v>
      </c>
      <c r="H1804" s="1" t="s">
        <v>6</v>
      </c>
      <c r="I1804" s="1" t="s">
        <v>38</v>
      </c>
      <c r="J1804" s="1">
        <v>42459.446064814816</v>
      </c>
      <c r="K1804" s="1" t="s">
        <v>2863</v>
      </c>
      <c r="L1804" s="14">
        <f>24*(TblTimeSheet[[#This Row],[End Date and Time]]-TblTimeSheet[[#This Row],[Start Date and Time]])</f>
        <v>0.50000000005820766</v>
      </c>
      <c r="M18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4" s="14">
        <f>--(0&gt;(TblTimeSheet[[#This Row],[End Date and Time]]-TblTimeSheet[[#This Row],[Start Date and Time]]))</f>
        <v>0</v>
      </c>
    </row>
    <row r="1805" spans="1:14" x14ac:dyDescent="0.25">
      <c r="A1805" s="1"/>
      <c r="B1805" s="2" t="s">
        <v>697</v>
      </c>
      <c r="C1805" s="2" t="s">
        <v>124</v>
      </c>
      <c r="D1805" s="2" t="s">
        <v>35</v>
      </c>
      <c r="E1805" s="7" t="s">
        <v>2966</v>
      </c>
      <c r="F1805" s="37">
        <v>42459.625</v>
      </c>
      <c r="G1805" s="37">
        <v>42459.65625</v>
      </c>
      <c r="H1805" s="1" t="s">
        <v>6</v>
      </c>
      <c r="I1805" s="1" t="s">
        <v>38</v>
      </c>
      <c r="J1805" s="1">
        <v>42459.69672453704</v>
      </c>
      <c r="K1805" s="1" t="s">
        <v>2863</v>
      </c>
      <c r="L1805" s="14">
        <f>24*(TblTimeSheet[[#This Row],[End Date and Time]]-TblTimeSheet[[#This Row],[Start Date and Time]])</f>
        <v>0.75</v>
      </c>
      <c r="M18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5" s="14">
        <f>--(0&gt;(TblTimeSheet[[#This Row],[End Date and Time]]-TblTimeSheet[[#This Row],[Start Date and Time]]))</f>
        <v>0</v>
      </c>
    </row>
    <row r="1806" spans="1:14" x14ac:dyDescent="0.25">
      <c r="A1806" s="1"/>
      <c r="B1806" s="2" t="s">
        <v>697</v>
      </c>
      <c r="C1806" s="2" t="s">
        <v>116</v>
      </c>
      <c r="D1806" s="2" t="s">
        <v>35</v>
      </c>
      <c r="E1806" s="7" t="s">
        <v>3660</v>
      </c>
      <c r="F1806" s="37">
        <v>42459.625</v>
      </c>
      <c r="G1806" s="37">
        <v>42459.65625</v>
      </c>
      <c r="H1806" s="1" t="s">
        <v>6</v>
      </c>
      <c r="I1806" s="1" t="s">
        <v>38</v>
      </c>
      <c r="J1806" s="1">
        <v>42459.698101851849</v>
      </c>
      <c r="K1806" s="1" t="s">
        <v>81</v>
      </c>
      <c r="L1806" s="14">
        <f>24*(TblTimeSheet[[#This Row],[End Date and Time]]-TblTimeSheet[[#This Row],[Start Date and Time]])</f>
        <v>0.75</v>
      </c>
      <c r="M18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06" s="14">
        <f>--(0&gt;(TblTimeSheet[[#This Row],[End Date and Time]]-TblTimeSheet[[#This Row],[Start Date and Time]]))</f>
        <v>0</v>
      </c>
    </row>
    <row r="1807" spans="1:14" x14ac:dyDescent="0.25">
      <c r="A1807" s="1"/>
      <c r="B1807" s="2" t="s">
        <v>917</v>
      </c>
      <c r="C1807" s="2" t="s">
        <v>171</v>
      </c>
      <c r="D1807" s="2" t="s">
        <v>32</v>
      </c>
      <c r="E1807" s="7" t="s">
        <v>3661</v>
      </c>
      <c r="F1807" s="37">
        <v>42459.6875</v>
      </c>
      <c r="G1807" s="37">
        <v>42459.729166666664</v>
      </c>
      <c r="H1807" s="1" t="s">
        <v>6</v>
      </c>
      <c r="I1807" s="1" t="s">
        <v>38</v>
      </c>
      <c r="J1807" s="1">
        <v>42459.73033564815</v>
      </c>
      <c r="K1807" s="1" t="s">
        <v>171</v>
      </c>
      <c r="L1807" s="14">
        <f>24*(TblTimeSheet[[#This Row],[End Date and Time]]-TblTimeSheet[[#This Row],[Start Date and Time]])</f>
        <v>0.99999999994179234</v>
      </c>
      <c r="M18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7" s="14">
        <f>--(0&gt;(TblTimeSheet[[#This Row],[End Date and Time]]-TblTimeSheet[[#This Row],[Start Date and Time]]))</f>
        <v>0</v>
      </c>
    </row>
    <row r="1808" spans="1:14" x14ac:dyDescent="0.25">
      <c r="A1808" s="1"/>
      <c r="B1808" s="2" t="s">
        <v>915</v>
      </c>
      <c r="C1808" s="2" t="s">
        <v>116</v>
      </c>
      <c r="D1808" s="2" t="s">
        <v>32</v>
      </c>
      <c r="E1808" s="7" t="s">
        <v>2967</v>
      </c>
      <c r="F1808" s="37">
        <v>42459.645833333336</v>
      </c>
      <c r="G1808" s="37">
        <v>42459.708333333336</v>
      </c>
      <c r="H1808" s="1" t="s">
        <v>6</v>
      </c>
      <c r="I1808" s="1" t="s">
        <v>38</v>
      </c>
      <c r="J1808" s="1">
        <v>42459.788912037038</v>
      </c>
      <c r="K1808" s="1" t="s">
        <v>39</v>
      </c>
      <c r="L1808" s="14">
        <f>24*(TblTimeSheet[[#This Row],[End Date and Time]]-TblTimeSheet[[#This Row],[Start Date and Time]])</f>
        <v>1.5</v>
      </c>
      <c r="M18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08" s="14">
        <f>--(0&gt;(TblTimeSheet[[#This Row],[End Date and Time]]-TblTimeSheet[[#This Row],[Start Date and Time]]))</f>
        <v>0</v>
      </c>
    </row>
    <row r="1809" spans="1:14" x14ac:dyDescent="0.25">
      <c r="A1809" s="1"/>
      <c r="B1809" s="2" t="s">
        <v>915</v>
      </c>
      <c r="C1809" s="2" t="s">
        <v>116</v>
      </c>
      <c r="D1809" s="2" t="s">
        <v>32</v>
      </c>
      <c r="E1809" s="7" t="s">
        <v>2968</v>
      </c>
      <c r="F1809" s="37">
        <v>42460.385416666664</v>
      </c>
      <c r="G1809" s="37">
        <v>42460.46875</v>
      </c>
      <c r="H1809" s="1" t="s">
        <v>6</v>
      </c>
      <c r="I1809" s="1" t="s">
        <v>38</v>
      </c>
      <c r="J1809" s="1">
        <v>42460.472037037034</v>
      </c>
      <c r="K1809" s="1" t="s">
        <v>39</v>
      </c>
      <c r="L1809" s="14">
        <f>24*(TblTimeSheet[[#This Row],[End Date and Time]]-TblTimeSheet[[#This Row],[Start Date and Time]])</f>
        <v>2.0000000000582077</v>
      </c>
      <c r="M18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09" s="14">
        <f>--(0&gt;(TblTimeSheet[[#This Row],[End Date and Time]]-TblTimeSheet[[#This Row],[Start Date and Time]]))</f>
        <v>0</v>
      </c>
    </row>
    <row r="1810" spans="1:14" x14ac:dyDescent="0.25">
      <c r="A1810" s="1"/>
      <c r="B1810" s="2" t="s">
        <v>917</v>
      </c>
      <c r="C1810" s="2" t="s">
        <v>36</v>
      </c>
      <c r="D1810" s="2" t="s">
        <v>20</v>
      </c>
      <c r="E1810" s="7" t="s">
        <v>2969</v>
      </c>
      <c r="F1810" s="37">
        <v>42460.486111111109</v>
      </c>
      <c r="G1810" s="37">
        <v>42460.506944444445</v>
      </c>
      <c r="H1810" s="1" t="s">
        <v>6</v>
      </c>
      <c r="I1810" s="1" t="s">
        <v>38</v>
      </c>
      <c r="J1810" s="1">
        <v>42460.529988425929</v>
      </c>
      <c r="K1810" s="1" t="s">
        <v>36</v>
      </c>
      <c r="L1810" s="14">
        <f>24*(TblTimeSheet[[#This Row],[End Date and Time]]-TblTimeSheet[[#This Row],[Start Date and Time]])</f>
        <v>0.50000000005820766</v>
      </c>
      <c r="M18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0" s="14">
        <f>--(0&gt;(TblTimeSheet[[#This Row],[End Date and Time]]-TblTimeSheet[[#This Row],[Start Date and Time]]))</f>
        <v>0</v>
      </c>
    </row>
    <row r="1811" spans="1:14" x14ac:dyDescent="0.25">
      <c r="A1811" s="1"/>
      <c r="B1811" s="2" t="s">
        <v>917</v>
      </c>
      <c r="C1811" s="2" t="s">
        <v>124</v>
      </c>
      <c r="D1811" s="2" t="s">
        <v>20</v>
      </c>
      <c r="E1811" s="7" t="s">
        <v>2970</v>
      </c>
      <c r="F1811" s="37">
        <v>42460.486111111109</v>
      </c>
      <c r="G1811" s="37">
        <v>42460.506944444445</v>
      </c>
      <c r="H1811" s="1" t="s">
        <v>6</v>
      </c>
      <c r="I1811" s="1" t="s">
        <v>38</v>
      </c>
      <c r="J1811" s="1">
        <v>42460.553310185183</v>
      </c>
      <c r="K1811" s="1" t="s">
        <v>2863</v>
      </c>
      <c r="L1811" s="14">
        <f>24*(TblTimeSheet[[#This Row],[End Date and Time]]-TblTimeSheet[[#This Row],[Start Date and Time]])</f>
        <v>0.50000000005820766</v>
      </c>
      <c r="M18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1" s="14">
        <f>--(0&gt;(TblTimeSheet[[#This Row],[End Date and Time]]-TblTimeSheet[[#This Row],[Start Date and Time]]))</f>
        <v>0</v>
      </c>
    </row>
    <row r="1812" spans="1:14" x14ac:dyDescent="0.25">
      <c r="A1812" s="1"/>
      <c r="B1812" s="2" t="s">
        <v>917</v>
      </c>
      <c r="C1812" s="2" t="s">
        <v>36</v>
      </c>
      <c r="D1812" s="2" t="s">
        <v>20</v>
      </c>
      <c r="E1812" s="7" t="s">
        <v>2971</v>
      </c>
      <c r="F1812" s="37">
        <v>42460.559027777781</v>
      </c>
      <c r="G1812" s="37">
        <v>42460.565972222219</v>
      </c>
      <c r="H1812" s="1" t="s">
        <v>6</v>
      </c>
      <c r="I1812" s="1" t="s">
        <v>38</v>
      </c>
      <c r="J1812" s="1">
        <v>42460.670254629629</v>
      </c>
      <c r="K1812" s="1" t="s">
        <v>36</v>
      </c>
      <c r="L1812" s="14">
        <f>24*(TblTimeSheet[[#This Row],[End Date and Time]]-TblTimeSheet[[#This Row],[Start Date and Time]])</f>
        <v>0.16666666651144624</v>
      </c>
      <c r="M18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2" s="14">
        <f>--(0&gt;(TblTimeSheet[[#This Row],[End Date and Time]]-TblTimeSheet[[#This Row],[Start Date and Time]]))</f>
        <v>0</v>
      </c>
    </row>
    <row r="1813" spans="1:14" x14ac:dyDescent="0.25">
      <c r="A1813" s="1"/>
      <c r="B1813" s="2" t="s">
        <v>2870</v>
      </c>
      <c r="C1813" s="2" t="s">
        <v>41</v>
      </c>
      <c r="D1813" s="2" t="s">
        <v>20</v>
      </c>
      <c r="E1813" s="7" t="s">
        <v>1221</v>
      </c>
      <c r="F1813" s="37">
        <v>42460.541666666664</v>
      </c>
      <c r="G1813" s="37">
        <v>42460.559027777781</v>
      </c>
      <c r="H1813" s="1" t="s">
        <v>6</v>
      </c>
      <c r="I1813" s="1" t="s">
        <v>38</v>
      </c>
      <c r="J1813" s="1">
        <v>42460.606840277775</v>
      </c>
      <c r="K1813" s="1" t="s">
        <v>41</v>
      </c>
      <c r="L1813" s="14">
        <f>24*(TblTimeSheet[[#This Row],[End Date and Time]]-TblTimeSheet[[#This Row],[Start Date and Time]])</f>
        <v>0.41666666680248454</v>
      </c>
      <c r="M18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3" s="14">
        <f>--(0&gt;(TblTimeSheet[[#This Row],[End Date and Time]]-TblTimeSheet[[#This Row],[Start Date and Time]]))</f>
        <v>0</v>
      </c>
    </row>
    <row r="1814" spans="1:14" x14ac:dyDescent="0.25">
      <c r="A1814" s="1"/>
      <c r="B1814" s="2" t="s">
        <v>917</v>
      </c>
      <c r="C1814" s="2" t="s">
        <v>36</v>
      </c>
      <c r="D1814" s="2" t="s">
        <v>20</v>
      </c>
      <c r="E1814" s="7" t="s">
        <v>2972</v>
      </c>
      <c r="F1814" s="37">
        <v>42460.590277777781</v>
      </c>
      <c r="G1814" s="37">
        <v>42460.59375</v>
      </c>
      <c r="H1814" s="1" t="s">
        <v>6</v>
      </c>
      <c r="I1814" s="1" t="s">
        <v>38</v>
      </c>
      <c r="J1814" s="1">
        <v>42460.621018518519</v>
      </c>
      <c r="K1814" s="1" t="s">
        <v>36</v>
      </c>
      <c r="L1814" s="14">
        <f>24*(TblTimeSheet[[#This Row],[End Date and Time]]-TblTimeSheet[[#This Row],[Start Date and Time]])</f>
        <v>8.3333333255723119E-2</v>
      </c>
      <c r="M18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4" s="14">
        <f>--(0&gt;(TblTimeSheet[[#This Row],[End Date and Time]]-TblTimeSheet[[#This Row],[Start Date and Time]]))</f>
        <v>0</v>
      </c>
    </row>
    <row r="1815" spans="1:14" x14ac:dyDescent="0.25">
      <c r="A1815" s="1"/>
      <c r="B1815" s="2" t="s">
        <v>2870</v>
      </c>
      <c r="C1815" s="2" t="s">
        <v>118</v>
      </c>
      <c r="D1815" s="2" t="s">
        <v>20</v>
      </c>
      <c r="E1815" s="7" t="s">
        <v>2973</v>
      </c>
      <c r="F1815" s="37">
        <v>42460.618055555555</v>
      </c>
      <c r="G1815" s="37">
        <v>42460.625</v>
      </c>
      <c r="H1815" s="1" t="s">
        <v>6</v>
      </c>
      <c r="I1815" s="1" t="s">
        <v>38</v>
      </c>
      <c r="J1815" s="1">
        <v>42460.623495370368</v>
      </c>
      <c r="K1815" s="1" t="s">
        <v>118</v>
      </c>
      <c r="L1815" s="14">
        <f>24*(TblTimeSheet[[#This Row],[End Date and Time]]-TblTimeSheet[[#This Row],[Start Date and Time]])</f>
        <v>0.16666666668606922</v>
      </c>
      <c r="M18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5" s="14">
        <f>--(0&gt;(TblTimeSheet[[#This Row],[End Date and Time]]-TblTimeSheet[[#This Row],[Start Date and Time]]))</f>
        <v>0</v>
      </c>
    </row>
    <row r="1816" spans="1:14" x14ac:dyDescent="0.25">
      <c r="A1816" s="1"/>
      <c r="B1816" s="2" t="s">
        <v>2870</v>
      </c>
      <c r="C1816" s="2" t="s">
        <v>41</v>
      </c>
      <c r="D1816" s="2" t="s">
        <v>20</v>
      </c>
      <c r="E1816" s="7" t="s">
        <v>3662</v>
      </c>
      <c r="F1816" s="37">
        <v>42460.618055555555</v>
      </c>
      <c r="G1816" s="37">
        <v>42460.625</v>
      </c>
      <c r="H1816" s="1" t="s">
        <v>6</v>
      </c>
      <c r="I1816" s="1" t="s">
        <v>38</v>
      </c>
      <c r="J1816" s="1">
        <v>42460.624351851853</v>
      </c>
      <c r="K1816" s="1" t="s">
        <v>41</v>
      </c>
      <c r="L1816" s="14">
        <f>24*(TblTimeSheet[[#This Row],[End Date and Time]]-TblTimeSheet[[#This Row],[Start Date and Time]])</f>
        <v>0.16666666668606922</v>
      </c>
      <c r="M18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6" s="14">
        <f>--(0&gt;(TblTimeSheet[[#This Row],[End Date and Time]]-TblTimeSheet[[#This Row],[Start Date and Time]]))</f>
        <v>0</v>
      </c>
    </row>
    <row r="1817" spans="1:14" ht="30" x14ac:dyDescent="0.25">
      <c r="A1817" s="1"/>
      <c r="B1817" s="2" t="s">
        <v>2870</v>
      </c>
      <c r="C1817" s="2" t="s">
        <v>1105</v>
      </c>
      <c r="D1817" s="2" t="s">
        <v>20</v>
      </c>
      <c r="E1817" s="7" t="s">
        <v>3663</v>
      </c>
      <c r="F1817" s="37">
        <v>42460.618055555555</v>
      </c>
      <c r="G1817" s="37">
        <v>42460.625</v>
      </c>
      <c r="H1817" s="1" t="s">
        <v>6</v>
      </c>
      <c r="I1817" s="1" t="s">
        <v>38</v>
      </c>
      <c r="J1817" s="1">
        <v>42460.628622685188</v>
      </c>
      <c r="K1817" s="1" t="s">
        <v>2864</v>
      </c>
      <c r="L1817" s="14">
        <f>24*(TblTimeSheet[[#This Row],[End Date and Time]]-TblTimeSheet[[#This Row],[Start Date and Time]])</f>
        <v>0.16666666668606922</v>
      </c>
      <c r="M18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7" s="14">
        <f>--(0&gt;(TblTimeSheet[[#This Row],[End Date and Time]]-TblTimeSheet[[#This Row],[Start Date and Time]]))</f>
        <v>0</v>
      </c>
    </row>
    <row r="1818" spans="1:14" x14ac:dyDescent="0.25">
      <c r="A1818" s="1"/>
      <c r="B1818" s="2" t="s">
        <v>915</v>
      </c>
      <c r="C1818" s="2" t="s">
        <v>118</v>
      </c>
      <c r="D1818" s="2" t="s">
        <v>32</v>
      </c>
      <c r="E1818" s="7" t="s">
        <v>2974</v>
      </c>
      <c r="F1818" s="37">
        <v>42460.628472222219</v>
      </c>
      <c r="G1818" s="37">
        <v>42460.638888888891</v>
      </c>
      <c r="H1818" s="1" t="s">
        <v>6</v>
      </c>
      <c r="I1818" s="1" t="s">
        <v>38</v>
      </c>
      <c r="J1818" s="1">
        <v>42462.389513888891</v>
      </c>
      <c r="K1818" s="1" t="s">
        <v>118</v>
      </c>
      <c r="L1818" s="14">
        <f>24*(TblTimeSheet[[#This Row],[End Date and Time]]-TblTimeSheet[[#This Row],[Start Date and Time]])</f>
        <v>0.25000000011641532</v>
      </c>
      <c r="M18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8" s="14">
        <f>--(0&gt;(TblTimeSheet[[#This Row],[End Date and Time]]-TblTimeSheet[[#This Row],[Start Date and Time]]))</f>
        <v>0</v>
      </c>
    </row>
    <row r="1819" spans="1:14" x14ac:dyDescent="0.25">
      <c r="A1819" s="1"/>
      <c r="B1819" s="2" t="s">
        <v>915</v>
      </c>
      <c r="C1819" s="2" t="s">
        <v>118</v>
      </c>
      <c r="D1819" s="2" t="s">
        <v>32</v>
      </c>
      <c r="E1819" s="7" t="s">
        <v>1225</v>
      </c>
      <c r="F1819" s="37">
        <v>42457.416666666664</v>
      </c>
      <c r="G1819" s="37">
        <v>42457.458333333336</v>
      </c>
      <c r="H1819" s="1" t="s">
        <v>6</v>
      </c>
      <c r="I1819" s="1" t="s">
        <v>38</v>
      </c>
      <c r="J1819" s="1">
        <v>42460.63863425926</v>
      </c>
      <c r="K1819" s="1" t="s">
        <v>118</v>
      </c>
      <c r="L1819" s="14">
        <f>24*(TblTimeSheet[[#This Row],[End Date and Time]]-TblTimeSheet[[#This Row],[Start Date and Time]])</f>
        <v>1.0000000001164153</v>
      </c>
      <c r="M18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19" s="14">
        <f>--(0&gt;(TblTimeSheet[[#This Row],[End Date and Time]]-TblTimeSheet[[#This Row],[Start Date and Time]]))</f>
        <v>0</v>
      </c>
    </row>
    <row r="1820" spans="1:14" x14ac:dyDescent="0.25">
      <c r="A1820" s="1"/>
      <c r="B1820" s="2" t="s">
        <v>915</v>
      </c>
      <c r="C1820" s="2" t="s">
        <v>1117</v>
      </c>
      <c r="D1820" s="2" t="s">
        <v>32</v>
      </c>
      <c r="E1820" s="7" t="s">
        <v>2975</v>
      </c>
      <c r="F1820" s="37">
        <v>42460.625</v>
      </c>
      <c r="G1820" s="37">
        <v>42460.635416666664</v>
      </c>
      <c r="H1820" s="1" t="s">
        <v>6</v>
      </c>
      <c r="I1820" s="1" t="s">
        <v>38</v>
      </c>
      <c r="J1820" s="1">
        <v>42460.63863425926</v>
      </c>
      <c r="K1820" s="1" t="s">
        <v>2865</v>
      </c>
      <c r="L1820" s="14">
        <f>24*(TblTimeSheet[[#This Row],[End Date and Time]]-TblTimeSheet[[#This Row],[Start Date and Time]])</f>
        <v>0.24999999994179234</v>
      </c>
      <c r="M18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0" s="14">
        <f>--(0&gt;(TblTimeSheet[[#This Row],[End Date and Time]]-TblTimeSheet[[#This Row],[Start Date and Time]]))</f>
        <v>0</v>
      </c>
    </row>
    <row r="1821" spans="1:14" ht="30" x14ac:dyDescent="0.25">
      <c r="A1821" s="1"/>
      <c r="B1821" s="2" t="s">
        <v>915</v>
      </c>
      <c r="C1821" s="2" t="s">
        <v>116</v>
      </c>
      <c r="D1821" s="2" t="s">
        <v>32</v>
      </c>
      <c r="E1821" s="7" t="s">
        <v>2976</v>
      </c>
      <c r="F1821" s="37">
        <v>42460.628472222219</v>
      </c>
      <c r="G1821" s="37">
        <v>42460.638888888891</v>
      </c>
      <c r="H1821" s="1" t="s">
        <v>6</v>
      </c>
      <c r="I1821" s="1" t="s">
        <v>38</v>
      </c>
      <c r="J1821" s="1">
        <v>42462.388321759259</v>
      </c>
      <c r="K1821" s="1" t="s">
        <v>39</v>
      </c>
      <c r="L1821" s="14">
        <f>24*(TblTimeSheet[[#This Row],[End Date and Time]]-TblTimeSheet[[#This Row],[Start Date and Time]])</f>
        <v>0.25000000011641532</v>
      </c>
      <c r="M18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21" s="14">
        <f>--(0&gt;(TblTimeSheet[[#This Row],[End Date and Time]]-TblTimeSheet[[#This Row],[Start Date and Time]]))</f>
        <v>0</v>
      </c>
    </row>
    <row r="1822" spans="1:14" x14ac:dyDescent="0.25">
      <c r="A1822" s="1"/>
      <c r="B1822" s="2" t="s">
        <v>917</v>
      </c>
      <c r="C1822" s="2" t="s">
        <v>171</v>
      </c>
      <c r="D1822" s="2" t="s">
        <v>20</v>
      </c>
      <c r="E1822" s="7" t="s">
        <v>2977</v>
      </c>
      <c r="F1822" s="37">
        <v>42460.625</v>
      </c>
      <c r="G1822" s="37">
        <v>42460.628472222219</v>
      </c>
      <c r="H1822" s="1" t="s">
        <v>6</v>
      </c>
      <c r="I1822" s="1" t="s">
        <v>38</v>
      </c>
      <c r="J1822" s="1">
        <v>42460.645520833335</v>
      </c>
      <c r="K1822" s="1" t="s">
        <v>171</v>
      </c>
      <c r="L1822" s="14">
        <f>24*(TblTimeSheet[[#This Row],[End Date and Time]]-TblTimeSheet[[#This Row],[Start Date and Time]])</f>
        <v>8.3333333255723119E-2</v>
      </c>
      <c r="M18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2" s="14">
        <f>--(0&gt;(TblTimeSheet[[#This Row],[End Date and Time]]-TblTimeSheet[[#This Row],[Start Date and Time]]))</f>
        <v>0</v>
      </c>
    </row>
    <row r="1823" spans="1:14" x14ac:dyDescent="0.25">
      <c r="A1823" s="1"/>
      <c r="B1823" s="2" t="s">
        <v>917</v>
      </c>
      <c r="C1823" s="2" t="s">
        <v>171</v>
      </c>
      <c r="D1823" s="2" t="s">
        <v>20</v>
      </c>
      <c r="E1823" s="7" t="s">
        <v>3664</v>
      </c>
      <c r="F1823" s="37">
        <v>42460.645833333336</v>
      </c>
      <c r="G1823" s="37">
        <v>42460.652777777781</v>
      </c>
      <c r="H1823" s="1" t="s">
        <v>6</v>
      </c>
      <c r="I1823" s="1" t="s">
        <v>38</v>
      </c>
      <c r="J1823" s="1">
        <v>42460.657453703701</v>
      </c>
      <c r="K1823" s="1" t="s">
        <v>171</v>
      </c>
      <c r="L1823" s="14">
        <f>24*(TblTimeSheet[[#This Row],[End Date and Time]]-TblTimeSheet[[#This Row],[Start Date and Time]])</f>
        <v>0.16666666668606922</v>
      </c>
      <c r="M18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3" s="14">
        <f>--(0&gt;(TblTimeSheet[[#This Row],[End Date and Time]]-TblTimeSheet[[#This Row],[Start Date and Time]]))</f>
        <v>0</v>
      </c>
    </row>
    <row r="1824" spans="1:14" x14ac:dyDescent="0.25">
      <c r="A1824" s="1"/>
      <c r="B1824" s="2" t="s">
        <v>917</v>
      </c>
      <c r="C1824" s="2" t="s">
        <v>118</v>
      </c>
      <c r="D1824" s="2" t="s">
        <v>20</v>
      </c>
      <c r="E1824" s="7" t="s">
        <v>2978</v>
      </c>
      <c r="F1824" s="37">
        <v>42460.645833333336</v>
      </c>
      <c r="G1824" s="37">
        <v>42460.652777777781</v>
      </c>
      <c r="H1824" s="1" t="s">
        <v>6</v>
      </c>
      <c r="I1824" s="1" t="s">
        <v>38</v>
      </c>
      <c r="J1824" s="1">
        <v>42460.658449074072</v>
      </c>
      <c r="K1824" s="1" t="s">
        <v>118</v>
      </c>
      <c r="L1824" s="14">
        <f>24*(TblTimeSheet[[#This Row],[End Date and Time]]-TblTimeSheet[[#This Row],[Start Date and Time]])</f>
        <v>0.16666666668606922</v>
      </c>
      <c r="M18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4" s="14">
        <f>--(0&gt;(TblTimeSheet[[#This Row],[End Date and Time]]-TblTimeSheet[[#This Row],[Start Date and Time]]))</f>
        <v>0</v>
      </c>
    </row>
    <row r="1825" spans="1:14" x14ac:dyDescent="0.25">
      <c r="A1825" s="1"/>
      <c r="B1825" s="2" t="s">
        <v>917</v>
      </c>
      <c r="C1825" s="2" t="s">
        <v>36</v>
      </c>
      <c r="D1825" s="2" t="s">
        <v>20</v>
      </c>
      <c r="E1825" s="7" t="s">
        <v>2979</v>
      </c>
      <c r="F1825" s="37">
        <v>42460.659722222219</v>
      </c>
      <c r="G1825" s="37">
        <v>42460.663194444445</v>
      </c>
      <c r="H1825" s="1" t="s">
        <v>6</v>
      </c>
      <c r="I1825" s="1" t="s">
        <v>38</v>
      </c>
      <c r="J1825" s="1">
        <v>42460.670810185184</v>
      </c>
      <c r="K1825" s="1" t="s">
        <v>36</v>
      </c>
      <c r="L1825" s="14">
        <f>24*(TblTimeSheet[[#This Row],[End Date and Time]]-TblTimeSheet[[#This Row],[Start Date and Time]])</f>
        <v>8.3333333430346102E-2</v>
      </c>
      <c r="M18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5" s="14">
        <f>--(0&gt;(TblTimeSheet[[#This Row],[End Date and Time]]-TblTimeSheet[[#This Row],[Start Date and Time]]))</f>
        <v>0</v>
      </c>
    </row>
    <row r="1826" spans="1:14" x14ac:dyDescent="0.25">
      <c r="A1826" s="1"/>
      <c r="B1826" s="2" t="s">
        <v>917</v>
      </c>
      <c r="C1826" s="2" t="s">
        <v>43</v>
      </c>
      <c r="D1826" s="2" t="s">
        <v>20</v>
      </c>
      <c r="E1826" s="7" t="s">
        <v>449</v>
      </c>
      <c r="F1826" s="37">
        <v>42460.625</v>
      </c>
      <c r="G1826" s="37">
        <v>42460.628472222219</v>
      </c>
      <c r="H1826" s="1" t="s">
        <v>6</v>
      </c>
      <c r="I1826" s="1" t="s">
        <v>38</v>
      </c>
      <c r="J1826" s="1">
        <v>42460.663668981484</v>
      </c>
      <c r="K1826" s="1" t="s">
        <v>43</v>
      </c>
      <c r="L1826" s="14">
        <f>24*(TblTimeSheet[[#This Row],[End Date and Time]]-TblTimeSheet[[#This Row],[Start Date and Time]])</f>
        <v>8.3333333255723119E-2</v>
      </c>
      <c r="M18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6" s="14">
        <f>--(0&gt;(TblTimeSheet[[#This Row],[End Date and Time]]-TblTimeSheet[[#This Row],[Start Date and Time]]))</f>
        <v>0</v>
      </c>
    </row>
    <row r="1827" spans="1:14" x14ac:dyDescent="0.25">
      <c r="A1827" s="1"/>
      <c r="B1827" s="2" t="s">
        <v>917</v>
      </c>
      <c r="C1827" s="2" t="s">
        <v>36</v>
      </c>
      <c r="D1827" s="2" t="s">
        <v>20</v>
      </c>
      <c r="E1827" s="7" t="s">
        <v>2980</v>
      </c>
      <c r="F1827" s="37">
        <v>42460.625</v>
      </c>
      <c r="G1827" s="37">
        <v>42460.628472222219</v>
      </c>
      <c r="H1827" s="1" t="s">
        <v>6</v>
      </c>
      <c r="I1827" s="1" t="s">
        <v>38</v>
      </c>
      <c r="J1827" s="1">
        <v>42460.671446759261</v>
      </c>
      <c r="K1827" s="1" t="s">
        <v>36</v>
      </c>
      <c r="L1827" s="14">
        <f>24*(TblTimeSheet[[#This Row],[End Date and Time]]-TblTimeSheet[[#This Row],[Start Date and Time]])</f>
        <v>8.3333333255723119E-2</v>
      </c>
      <c r="M18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7" s="14">
        <f>--(0&gt;(TblTimeSheet[[#This Row],[End Date and Time]]-TblTimeSheet[[#This Row],[Start Date and Time]]))</f>
        <v>0</v>
      </c>
    </row>
    <row r="1828" spans="1:14" x14ac:dyDescent="0.25">
      <c r="A1828" s="1"/>
      <c r="B1828" s="2" t="s">
        <v>915</v>
      </c>
      <c r="C1828" s="2" t="s">
        <v>1117</v>
      </c>
      <c r="D1828" s="2" t="s">
        <v>32</v>
      </c>
      <c r="E1828" s="7" t="s">
        <v>2981</v>
      </c>
      <c r="F1828" s="37">
        <v>42460.638888888891</v>
      </c>
      <c r="G1828" s="37">
        <v>42460.680555555555</v>
      </c>
      <c r="H1828" s="1" t="s">
        <v>6</v>
      </c>
      <c r="I1828" s="1" t="s">
        <v>38</v>
      </c>
      <c r="J1828" s="1">
        <v>42461.443865740737</v>
      </c>
      <c r="K1828" s="1" t="s">
        <v>2865</v>
      </c>
      <c r="L1828" s="14">
        <f>24*(TblTimeSheet[[#This Row],[End Date and Time]]-TblTimeSheet[[#This Row],[Start Date and Time]])</f>
        <v>0.99999999994179234</v>
      </c>
      <c r="M18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8" s="14">
        <f>--(0&gt;(TblTimeSheet[[#This Row],[End Date and Time]]-TblTimeSheet[[#This Row],[Start Date and Time]]))</f>
        <v>0</v>
      </c>
    </row>
    <row r="1829" spans="1:14" x14ac:dyDescent="0.25">
      <c r="A1829" s="1"/>
      <c r="B1829" s="2" t="s">
        <v>915</v>
      </c>
      <c r="C1829" s="2" t="s">
        <v>1117</v>
      </c>
      <c r="D1829" s="2" t="s">
        <v>32</v>
      </c>
      <c r="E1829" s="7" t="s">
        <v>2982</v>
      </c>
      <c r="F1829" s="37">
        <v>42458.375</v>
      </c>
      <c r="G1829" s="37">
        <v>42458.541666666664</v>
      </c>
      <c r="H1829" s="1" t="s">
        <v>6</v>
      </c>
      <c r="I1829" s="1" t="s">
        <v>38</v>
      </c>
      <c r="J1829" s="1">
        <v>42460.682905092595</v>
      </c>
      <c r="K1829" s="1" t="s">
        <v>2865</v>
      </c>
      <c r="L1829" s="14">
        <f>24*(TblTimeSheet[[#This Row],[End Date and Time]]-TblTimeSheet[[#This Row],[Start Date and Time]])</f>
        <v>3.9999999999417923</v>
      </c>
      <c r="M18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29" s="14">
        <f>--(0&gt;(TblTimeSheet[[#This Row],[End Date and Time]]-TblTimeSheet[[#This Row],[Start Date and Time]]))</f>
        <v>0</v>
      </c>
    </row>
    <row r="1830" spans="1:14" x14ac:dyDescent="0.25">
      <c r="A1830" s="1"/>
      <c r="B1830" s="2" t="s">
        <v>915</v>
      </c>
      <c r="C1830" s="2" t="s">
        <v>1117</v>
      </c>
      <c r="D1830" s="2" t="s">
        <v>32</v>
      </c>
      <c r="E1830" s="7" t="s">
        <v>2783</v>
      </c>
      <c r="F1830" s="37">
        <v>42458.583333333336</v>
      </c>
      <c r="G1830" s="37">
        <v>42458.732638888891</v>
      </c>
      <c r="H1830" s="1" t="s">
        <v>6</v>
      </c>
      <c r="I1830" s="1" t="s">
        <v>38</v>
      </c>
      <c r="J1830" s="1">
        <v>42460.683425925927</v>
      </c>
      <c r="K1830" s="1" t="s">
        <v>2865</v>
      </c>
      <c r="L1830" s="14">
        <f>24*(TblTimeSheet[[#This Row],[End Date and Time]]-TblTimeSheet[[#This Row],[Start Date and Time]])</f>
        <v>3.5833333333139308</v>
      </c>
      <c r="M18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0" s="14">
        <f>--(0&gt;(TblTimeSheet[[#This Row],[End Date and Time]]-TblTimeSheet[[#This Row],[Start Date and Time]]))</f>
        <v>0</v>
      </c>
    </row>
    <row r="1831" spans="1:14" x14ac:dyDescent="0.25">
      <c r="A1831" s="1"/>
      <c r="B1831" s="2" t="s">
        <v>917</v>
      </c>
      <c r="C1831" s="2" t="s">
        <v>116</v>
      </c>
      <c r="D1831" s="2" t="s">
        <v>20</v>
      </c>
      <c r="E1831" s="7" t="s">
        <v>449</v>
      </c>
      <c r="F1831" s="37">
        <v>42460.625</v>
      </c>
      <c r="G1831" s="37">
        <v>42460.628472222219</v>
      </c>
      <c r="H1831" s="1" t="s">
        <v>6</v>
      </c>
      <c r="I1831" s="1" t="s">
        <v>38</v>
      </c>
      <c r="J1831" s="1">
        <v>42460.6953587963</v>
      </c>
      <c r="K1831" s="1" t="s">
        <v>701</v>
      </c>
      <c r="L1831" s="14">
        <f>24*(TblTimeSheet[[#This Row],[End Date and Time]]-TblTimeSheet[[#This Row],[Start Date and Time]])</f>
        <v>8.3333333255723119E-2</v>
      </c>
      <c r="M18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1" s="14">
        <f>--(0&gt;(TblTimeSheet[[#This Row],[End Date and Time]]-TblTimeSheet[[#This Row],[Start Date and Time]]))</f>
        <v>0</v>
      </c>
    </row>
    <row r="1832" spans="1:14" x14ac:dyDescent="0.25">
      <c r="A1832" s="1"/>
      <c r="B1832" s="2" t="s">
        <v>2870</v>
      </c>
      <c r="C1832" s="2" t="s">
        <v>116</v>
      </c>
      <c r="D1832" s="2" t="s">
        <v>20</v>
      </c>
      <c r="E1832" s="7" t="s">
        <v>449</v>
      </c>
      <c r="F1832" s="37">
        <v>42460.618055555555</v>
      </c>
      <c r="G1832" s="37">
        <v>42460.625</v>
      </c>
      <c r="H1832" s="1" t="s">
        <v>6</v>
      </c>
      <c r="I1832" s="1" t="s">
        <v>38</v>
      </c>
      <c r="J1832" s="1">
        <v>42460.696261574078</v>
      </c>
      <c r="K1832" s="1" t="s">
        <v>701</v>
      </c>
      <c r="L1832" s="14">
        <f>24*(TblTimeSheet[[#This Row],[End Date and Time]]-TblTimeSheet[[#This Row],[Start Date and Time]])</f>
        <v>0.16666666668606922</v>
      </c>
      <c r="M18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2" s="14">
        <f>--(0&gt;(TblTimeSheet[[#This Row],[End Date and Time]]-TblTimeSheet[[#This Row],[Start Date and Time]]))</f>
        <v>0</v>
      </c>
    </row>
    <row r="1833" spans="1:14" x14ac:dyDescent="0.25">
      <c r="A1833" s="1"/>
      <c r="B1833" s="2" t="s">
        <v>2870</v>
      </c>
      <c r="C1833" s="2" t="s">
        <v>116</v>
      </c>
      <c r="D1833" s="2" t="s">
        <v>20</v>
      </c>
      <c r="E1833" s="7" t="s">
        <v>2983</v>
      </c>
      <c r="F1833" s="37">
        <v>42460.684027777781</v>
      </c>
      <c r="G1833" s="37">
        <v>42460.711805555555</v>
      </c>
      <c r="H1833" s="1" t="s">
        <v>6</v>
      </c>
      <c r="I1833" s="1" t="s">
        <v>38</v>
      </c>
      <c r="J1833" s="1">
        <v>42460.715682870374</v>
      </c>
      <c r="K1833" s="1" t="s">
        <v>701</v>
      </c>
      <c r="L1833" s="14">
        <f>24*(TblTimeSheet[[#This Row],[End Date and Time]]-TblTimeSheet[[#This Row],[Start Date and Time]])</f>
        <v>0.6666666665696539</v>
      </c>
      <c r="M18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33" s="14">
        <f>--(0&gt;(TblTimeSheet[[#This Row],[End Date and Time]]-TblTimeSheet[[#This Row],[Start Date and Time]]))</f>
        <v>0</v>
      </c>
    </row>
    <row r="1834" spans="1:14" x14ac:dyDescent="0.25">
      <c r="A1834" s="1"/>
      <c r="B1834" s="2" t="s">
        <v>915</v>
      </c>
      <c r="C1834" s="2" t="s">
        <v>116</v>
      </c>
      <c r="D1834" s="2" t="s">
        <v>32</v>
      </c>
      <c r="E1834" s="7" t="s">
        <v>2984</v>
      </c>
      <c r="F1834" s="37">
        <v>42460.708333333336</v>
      </c>
      <c r="G1834" s="37">
        <v>42460.722222222219</v>
      </c>
      <c r="H1834" s="1" t="s">
        <v>6</v>
      </c>
      <c r="I1834" s="1" t="s">
        <v>38</v>
      </c>
      <c r="J1834" s="1">
        <v>42460.724965277775</v>
      </c>
      <c r="K1834" s="1" t="s">
        <v>39</v>
      </c>
      <c r="L1834" s="14">
        <f>24*(TblTimeSheet[[#This Row],[End Date and Time]]-TblTimeSheet[[#This Row],[Start Date and Time]])</f>
        <v>0.33333333319751546</v>
      </c>
      <c r="M18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34" s="14">
        <f>--(0&gt;(TblTimeSheet[[#This Row],[End Date and Time]]-TblTimeSheet[[#This Row],[Start Date and Time]]))</f>
        <v>0</v>
      </c>
    </row>
    <row r="1835" spans="1:14" x14ac:dyDescent="0.25">
      <c r="A1835" s="1"/>
      <c r="B1835" s="2" t="s">
        <v>2870</v>
      </c>
      <c r="C1835" s="2" t="s">
        <v>41</v>
      </c>
      <c r="D1835" s="2" t="s">
        <v>20</v>
      </c>
      <c r="E1835" s="7" t="s">
        <v>2985</v>
      </c>
      <c r="F1835" s="37">
        <v>42460.625</v>
      </c>
      <c r="G1835" s="37">
        <v>42460.666666666664</v>
      </c>
      <c r="H1835" s="1" t="s">
        <v>6</v>
      </c>
      <c r="I1835" s="1" t="s">
        <v>38</v>
      </c>
      <c r="J1835" s="1">
        <v>42460.764606481483</v>
      </c>
      <c r="K1835" s="1" t="s">
        <v>41</v>
      </c>
      <c r="L1835" s="14">
        <f>24*(TblTimeSheet[[#This Row],[End Date and Time]]-TblTimeSheet[[#This Row],[Start Date and Time]])</f>
        <v>0.99999999994179234</v>
      </c>
      <c r="M18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5" s="14">
        <f>--(0&gt;(TblTimeSheet[[#This Row],[End Date and Time]]-TblTimeSheet[[#This Row],[Start Date and Time]]))</f>
        <v>0</v>
      </c>
    </row>
    <row r="1836" spans="1:14" x14ac:dyDescent="0.25">
      <c r="A1836" s="1"/>
      <c r="B1836" s="2" t="s">
        <v>917</v>
      </c>
      <c r="C1836" s="2" t="s">
        <v>171</v>
      </c>
      <c r="D1836" s="2" t="s">
        <v>20</v>
      </c>
      <c r="E1836" s="7" t="s">
        <v>3665</v>
      </c>
      <c r="F1836" s="37">
        <v>42460.659722222219</v>
      </c>
      <c r="G1836" s="37">
        <v>42460.663194444445</v>
      </c>
      <c r="H1836" s="1" t="s">
        <v>6</v>
      </c>
      <c r="I1836" s="1" t="s">
        <v>38</v>
      </c>
      <c r="J1836" s="1">
        <v>42461.399085648147</v>
      </c>
      <c r="K1836" s="1" t="s">
        <v>171</v>
      </c>
      <c r="L1836" s="14">
        <f>24*(TblTimeSheet[[#This Row],[End Date and Time]]-TblTimeSheet[[#This Row],[Start Date and Time]])</f>
        <v>8.3333333430346102E-2</v>
      </c>
      <c r="M18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6" s="14">
        <f>--(0&gt;(TblTimeSheet[[#This Row],[End Date and Time]]-TblTimeSheet[[#This Row],[Start Date and Time]]))</f>
        <v>0</v>
      </c>
    </row>
    <row r="1837" spans="1:14" x14ac:dyDescent="0.25">
      <c r="A1837" s="1"/>
      <c r="B1837" s="2" t="s">
        <v>917</v>
      </c>
      <c r="C1837" s="2" t="s">
        <v>171</v>
      </c>
      <c r="D1837" s="2" t="s">
        <v>20</v>
      </c>
      <c r="E1837" s="7" t="s">
        <v>3666</v>
      </c>
      <c r="F1837" s="37">
        <v>42461.395833333336</v>
      </c>
      <c r="G1837" s="37">
        <v>42461.399305555555</v>
      </c>
      <c r="H1837" s="1" t="s">
        <v>6</v>
      </c>
      <c r="I1837" s="1" t="s">
        <v>38</v>
      </c>
      <c r="J1837" s="1">
        <v>42461.407314814816</v>
      </c>
      <c r="K1837" s="1" t="s">
        <v>171</v>
      </c>
      <c r="L1837" s="14">
        <f>24*(TblTimeSheet[[#This Row],[End Date and Time]]-TblTimeSheet[[#This Row],[Start Date and Time]])</f>
        <v>8.3333333255723119E-2</v>
      </c>
      <c r="M18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7" s="14">
        <f>--(0&gt;(TblTimeSheet[[#This Row],[End Date and Time]]-TblTimeSheet[[#This Row],[Start Date and Time]]))</f>
        <v>0</v>
      </c>
    </row>
    <row r="1838" spans="1:14" x14ac:dyDescent="0.25">
      <c r="A1838" s="1"/>
      <c r="B1838" s="2" t="s">
        <v>917</v>
      </c>
      <c r="C1838" s="2" t="s">
        <v>116</v>
      </c>
      <c r="D1838" s="2" t="s">
        <v>20</v>
      </c>
      <c r="E1838" s="7" t="s">
        <v>2986</v>
      </c>
      <c r="F1838" s="37">
        <v>42461.399305555555</v>
      </c>
      <c r="G1838" s="37">
        <v>42461.402777777781</v>
      </c>
      <c r="H1838" s="1" t="s">
        <v>6</v>
      </c>
      <c r="I1838" s="1" t="s">
        <v>38</v>
      </c>
      <c r="J1838" s="1">
        <v>42461.408171296294</v>
      </c>
      <c r="K1838" s="1" t="s">
        <v>701</v>
      </c>
      <c r="L1838" s="14">
        <f>24*(TblTimeSheet[[#This Row],[End Date and Time]]-TblTimeSheet[[#This Row],[Start Date and Time]])</f>
        <v>8.3333333430346102E-2</v>
      </c>
      <c r="M18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8" s="14">
        <f>--(0&gt;(TblTimeSheet[[#This Row],[End Date and Time]]-TblTimeSheet[[#This Row],[Start Date and Time]]))</f>
        <v>0</v>
      </c>
    </row>
    <row r="1839" spans="1:14" x14ac:dyDescent="0.25">
      <c r="A1839" s="1"/>
      <c r="B1839" s="2" t="s">
        <v>917</v>
      </c>
      <c r="C1839" s="2" t="s">
        <v>118</v>
      </c>
      <c r="D1839" s="2" t="s">
        <v>20</v>
      </c>
      <c r="E1839" s="7" t="s">
        <v>2987</v>
      </c>
      <c r="F1839" s="37">
        <v>42461.395833333336</v>
      </c>
      <c r="G1839" s="37">
        <v>42461.399305555555</v>
      </c>
      <c r="H1839" s="1" t="s">
        <v>6</v>
      </c>
      <c r="I1839" s="1" t="s">
        <v>38</v>
      </c>
      <c r="J1839" s="1">
        <v>42461.413680555554</v>
      </c>
      <c r="K1839" s="1" t="s">
        <v>118</v>
      </c>
      <c r="L1839" s="14">
        <f>24*(TblTimeSheet[[#This Row],[End Date and Time]]-TblTimeSheet[[#This Row],[Start Date and Time]])</f>
        <v>8.3333333255723119E-2</v>
      </c>
      <c r="M18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39" s="14">
        <f>--(0&gt;(TblTimeSheet[[#This Row],[End Date and Time]]-TblTimeSheet[[#This Row],[Start Date and Time]]))</f>
        <v>0</v>
      </c>
    </row>
    <row r="1840" spans="1:14" x14ac:dyDescent="0.25">
      <c r="A1840" s="1"/>
      <c r="B1840" s="2" t="s">
        <v>915</v>
      </c>
      <c r="C1840" s="2" t="s">
        <v>1117</v>
      </c>
      <c r="D1840" s="2" t="s">
        <v>32</v>
      </c>
      <c r="E1840" s="7" t="s">
        <v>2988</v>
      </c>
      <c r="F1840" s="37">
        <v>42460.6875</v>
      </c>
      <c r="G1840" s="37">
        <v>42460.729166666664</v>
      </c>
      <c r="H1840" s="1" t="s">
        <v>6</v>
      </c>
      <c r="I1840" s="1" t="s">
        <v>38</v>
      </c>
      <c r="J1840" s="1">
        <v>42461.444803240738</v>
      </c>
      <c r="K1840" s="1" t="s">
        <v>2865</v>
      </c>
      <c r="L1840" s="14">
        <f>24*(TblTimeSheet[[#This Row],[End Date and Time]]-TblTimeSheet[[#This Row],[Start Date and Time]])</f>
        <v>0.99999999994179234</v>
      </c>
      <c r="M18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0" s="14">
        <f>--(0&gt;(TblTimeSheet[[#This Row],[End Date and Time]]-TblTimeSheet[[#This Row],[Start Date and Time]]))</f>
        <v>0</v>
      </c>
    </row>
    <row r="1841" spans="1:14" x14ac:dyDescent="0.25">
      <c r="A1841" s="1"/>
      <c r="B1841" s="2" t="s">
        <v>915</v>
      </c>
      <c r="C1841" s="2" t="s">
        <v>116</v>
      </c>
      <c r="D1841" s="2" t="s">
        <v>32</v>
      </c>
      <c r="E1841" s="7" t="s">
        <v>449</v>
      </c>
      <c r="F1841" s="37">
        <v>42460.628472222219</v>
      </c>
      <c r="G1841" s="37">
        <v>42460.638888888891</v>
      </c>
      <c r="H1841" s="1" t="s">
        <v>6</v>
      </c>
      <c r="I1841" s="1" t="s">
        <v>38</v>
      </c>
      <c r="J1841" s="1">
        <v>42461.446493055555</v>
      </c>
      <c r="K1841" s="1" t="s">
        <v>701</v>
      </c>
      <c r="L1841" s="14">
        <f>24*(TblTimeSheet[[#This Row],[End Date and Time]]-TblTimeSheet[[#This Row],[Start Date and Time]])</f>
        <v>0.25000000011641532</v>
      </c>
      <c r="M18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41" s="14">
        <f>--(0&gt;(TblTimeSheet[[#This Row],[End Date and Time]]-TblTimeSheet[[#This Row],[Start Date and Time]]))</f>
        <v>0</v>
      </c>
    </row>
    <row r="1842" spans="1:14" x14ac:dyDescent="0.25">
      <c r="A1842" s="1"/>
      <c r="B1842" s="2" t="s">
        <v>915</v>
      </c>
      <c r="C1842" s="2" t="s">
        <v>118</v>
      </c>
      <c r="D1842" s="2" t="s">
        <v>32</v>
      </c>
      <c r="E1842" s="7" t="s">
        <v>2989</v>
      </c>
      <c r="F1842" s="37">
        <v>42460.715277777781</v>
      </c>
      <c r="G1842" s="37">
        <v>42460.725694444445</v>
      </c>
      <c r="H1842" s="1" t="s">
        <v>6</v>
      </c>
      <c r="I1842" s="1" t="s">
        <v>38</v>
      </c>
      <c r="J1842" s="1">
        <v>42461.449490740742</v>
      </c>
      <c r="K1842" s="1" t="s">
        <v>118</v>
      </c>
      <c r="L1842" s="14">
        <f>24*(TblTimeSheet[[#This Row],[End Date and Time]]-TblTimeSheet[[#This Row],[Start Date and Time]])</f>
        <v>0.24999999994179234</v>
      </c>
      <c r="M18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2" s="14">
        <f>--(0&gt;(TblTimeSheet[[#This Row],[End Date and Time]]-TblTimeSheet[[#This Row],[Start Date and Time]]))</f>
        <v>0</v>
      </c>
    </row>
    <row r="1843" spans="1:14" x14ac:dyDescent="0.25">
      <c r="A1843" s="1"/>
      <c r="B1843" s="2" t="s">
        <v>915</v>
      </c>
      <c r="C1843" s="2" t="s">
        <v>43</v>
      </c>
      <c r="D1843" s="2" t="s">
        <v>32</v>
      </c>
      <c r="E1843" s="7" t="s">
        <v>2990</v>
      </c>
      <c r="F1843" s="37">
        <v>42460.715277777781</v>
      </c>
      <c r="G1843" s="37">
        <v>42460.725694444445</v>
      </c>
      <c r="H1843" s="1" t="s">
        <v>6</v>
      </c>
      <c r="I1843" s="1" t="s">
        <v>38</v>
      </c>
      <c r="J1843" s="1">
        <v>42461.45144675926</v>
      </c>
      <c r="K1843" s="1" t="s">
        <v>43</v>
      </c>
      <c r="L1843" s="14">
        <f>24*(TblTimeSheet[[#This Row],[End Date and Time]]-TblTimeSheet[[#This Row],[Start Date and Time]])</f>
        <v>0.24999999994179234</v>
      </c>
      <c r="M18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3" s="14">
        <f>--(0&gt;(TblTimeSheet[[#This Row],[End Date and Time]]-TblTimeSheet[[#This Row],[Start Date and Time]]))</f>
        <v>0</v>
      </c>
    </row>
    <row r="1844" spans="1:14" x14ac:dyDescent="0.25">
      <c r="A1844" s="1"/>
      <c r="B1844" s="2" t="s">
        <v>917</v>
      </c>
      <c r="C1844" s="2" t="s">
        <v>36</v>
      </c>
      <c r="D1844" s="2" t="s">
        <v>20</v>
      </c>
      <c r="E1844" s="7" t="s">
        <v>3667</v>
      </c>
      <c r="F1844" s="37">
        <v>42461.447916666664</v>
      </c>
      <c r="G1844" s="37">
        <v>42461.454861111109</v>
      </c>
      <c r="H1844" s="1" t="s">
        <v>6</v>
      </c>
      <c r="I1844" s="1" t="s">
        <v>38</v>
      </c>
      <c r="J1844" s="1">
        <v>42461.455127314817</v>
      </c>
      <c r="K1844" s="1" t="s">
        <v>36</v>
      </c>
      <c r="L1844" s="14">
        <f>24*(TblTimeSheet[[#This Row],[End Date and Time]]-TblTimeSheet[[#This Row],[Start Date and Time]])</f>
        <v>0.16666666668606922</v>
      </c>
      <c r="M18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4" s="14">
        <f>--(0&gt;(TblTimeSheet[[#This Row],[End Date and Time]]-TblTimeSheet[[#This Row],[Start Date and Time]]))</f>
        <v>0</v>
      </c>
    </row>
    <row r="1845" spans="1:14" x14ac:dyDescent="0.25">
      <c r="A1845" s="1"/>
      <c r="B1845" s="2" t="s">
        <v>917</v>
      </c>
      <c r="C1845" s="2" t="s">
        <v>124</v>
      </c>
      <c r="D1845" s="2" t="s">
        <v>20</v>
      </c>
      <c r="E1845" s="7" t="s">
        <v>2991</v>
      </c>
      <c r="F1845" s="37">
        <v>42461.458333333336</v>
      </c>
      <c r="G1845" s="37">
        <v>42461.461805555555</v>
      </c>
      <c r="H1845" s="1" t="s">
        <v>6</v>
      </c>
      <c r="I1845" s="1" t="s">
        <v>38</v>
      </c>
      <c r="J1845" s="1">
        <v>42461.461134259262</v>
      </c>
      <c r="K1845" s="1" t="s">
        <v>2863</v>
      </c>
      <c r="L1845" s="14">
        <f>24*(TblTimeSheet[[#This Row],[End Date and Time]]-TblTimeSheet[[#This Row],[Start Date and Time]])</f>
        <v>8.3333333255723119E-2</v>
      </c>
      <c r="M18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5" s="14">
        <f>--(0&gt;(TblTimeSheet[[#This Row],[End Date and Time]]-TblTimeSheet[[#This Row],[Start Date and Time]]))</f>
        <v>0</v>
      </c>
    </row>
    <row r="1846" spans="1:14" x14ac:dyDescent="0.25">
      <c r="A1846" s="1"/>
      <c r="B1846" s="2" t="s">
        <v>917</v>
      </c>
      <c r="C1846" s="2" t="s">
        <v>36</v>
      </c>
      <c r="D1846" s="2" t="s">
        <v>20</v>
      </c>
      <c r="E1846" s="7" t="s">
        <v>2992</v>
      </c>
      <c r="F1846" s="37">
        <v>42461.458333333336</v>
      </c>
      <c r="G1846" s="37">
        <v>42461.461805555555</v>
      </c>
      <c r="H1846" s="1" t="s">
        <v>6</v>
      </c>
      <c r="I1846" s="1" t="s">
        <v>38</v>
      </c>
      <c r="J1846" s="1">
        <v>42461.462187500001</v>
      </c>
      <c r="K1846" s="1" t="s">
        <v>36</v>
      </c>
      <c r="L1846" s="14">
        <f>24*(TblTimeSheet[[#This Row],[End Date and Time]]-TblTimeSheet[[#This Row],[Start Date and Time]])</f>
        <v>8.3333333255723119E-2</v>
      </c>
      <c r="M18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6" s="14">
        <f>--(0&gt;(TblTimeSheet[[#This Row],[End Date and Time]]-TblTimeSheet[[#This Row],[Start Date and Time]]))</f>
        <v>0</v>
      </c>
    </row>
    <row r="1847" spans="1:14" x14ac:dyDescent="0.25">
      <c r="A1847" s="1"/>
      <c r="B1847" s="2" t="s">
        <v>2870</v>
      </c>
      <c r="C1847" s="2" t="s">
        <v>41</v>
      </c>
      <c r="D1847" s="2" t="s">
        <v>20</v>
      </c>
      <c r="E1847" s="7" t="s">
        <v>2993</v>
      </c>
      <c r="F1847" s="37">
        <v>42461.583333333336</v>
      </c>
      <c r="G1847" s="37">
        <v>42461.607638888891</v>
      </c>
      <c r="H1847" s="1" t="s">
        <v>6</v>
      </c>
      <c r="I1847" s="1" t="s">
        <v>38</v>
      </c>
      <c r="J1847" s="1">
        <v>42461.609155092592</v>
      </c>
      <c r="K1847" s="1" t="s">
        <v>41</v>
      </c>
      <c r="L1847" s="14">
        <f>24*(TblTimeSheet[[#This Row],[End Date and Time]]-TblTimeSheet[[#This Row],[Start Date and Time]])</f>
        <v>0.58333333331393078</v>
      </c>
      <c r="M18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7" s="14">
        <f>--(0&gt;(TblTimeSheet[[#This Row],[End Date and Time]]-TblTimeSheet[[#This Row],[Start Date and Time]]))</f>
        <v>0</v>
      </c>
    </row>
    <row r="1848" spans="1:14" x14ac:dyDescent="0.25">
      <c r="A1848" s="1"/>
      <c r="B1848" s="2" t="s">
        <v>2870</v>
      </c>
      <c r="C1848" s="2" t="s">
        <v>41</v>
      </c>
      <c r="D1848" s="2" t="s">
        <v>20</v>
      </c>
      <c r="E1848" s="7" t="s">
        <v>2994</v>
      </c>
      <c r="F1848" s="37">
        <v>42461.614583333336</v>
      </c>
      <c r="G1848" s="37">
        <v>42461.631944444445</v>
      </c>
      <c r="H1848" s="1" t="s">
        <v>6</v>
      </c>
      <c r="I1848" s="1" t="s">
        <v>38</v>
      </c>
      <c r="J1848" s="1">
        <v>42461.652789351851</v>
      </c>
      <c r="K1848" s="1" t="s">
        <v>41</v>
      </c>
      <c r="L1848" s="14">
        <f>24*(TblTimeSheet[[#This Row],[End Date and Time]]-TblTimeSheet[[#This Row],[Start Date and Time]])</f>
        <v>0.41666666662786156</v>
      </c>
      <c r="M18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8" s="14">
        <f>--(0&gt;(TblTimeSheet[[#This Row],[End Date and Time]]-TblTimeSheet[[#This Row],[Start Date and Time]]))</f>
        <v>0</v>
      </c>
    </row>
    <row r="1849" spans="1:14" x14ac:dyDescent="0.25">
      <c r="A1849" s="1"/>
      <c r="B1849" s="2" t="s">
        <v>2870</v>
      </c>
      <c r="C1849" s="2" t="s">
        <v>1117</v>
      </c>
      <c r="D1849" s="2" t="s">
        <v>20</v>
      </c>
      <c r="E1849" s="7" t="s">
        <v>2995</v>
      </c>
      <c r="F1849" s="37">
        <v>42461.614583333336</v>
      </c>
      <c r="G1849" s="37">
        <v>42461.631944444445</v>
      </c>
      <c r="H1849" s="1" t="s">
        <v>6</v>
      </c>
      <c r="I1849" s="1" t="s">
        <v>38</v>
      </c>
      <c r="J1849" s="1">
        <v>42461.653020833335</v>
      </c>
      <c r="K1849" s="1" t="s">
        <v>2865</v>
      </c>
      <c r="L1849" s="14">
        <f>24*(TblTimeSheet[[#This Row],[End Date and Time]]-TblTimeSheet[[#This Row],[Start Date and Time]])</f>
        <v>0.41666666662786156</v>
      </c>
      <c r="M18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49" s="14">
        <f>--(0&gt;(TblTimeSheet[[#This Row],[End Date and Time]]-TblTimeSheet[[#This Row],[Start Date and Time]]))</f>
        <v>0</v>
      </c>
    </row>
    <row r="1850" spans="1:14" x14ac:dyDescent="0.25">
      <c r="A1850" s="1"/>
      <c r="B1850" s="2" t="s">
        <v>2870</v>
      </c>
      <c r="C1850" s="2" t="s">
        <v>171</v>
      </c>
      <c r="D1850" s="2" t="s">
        <v>20</v>
      </c>
      <c r="E1850" s="7" t="s">
        <v>3668</v>
      </c>
      <c r="F1850" s="37">
        <v>42461.614583333336</v>
      </c>
      <c r="G1850" s="37">
        <v>42461.631944444445</v>
      </c>
      <c r="H1850" s="1" t="s">
        <v>6</v>
      </c>
      <c r="I1850" s="1" t="s">
        <v>38</v>
      </c>
      <c r="J1850" s="1">
        <v>42461.654942129629</v>
      </c>
      <c r="K1850" s="1" t="s">
        <v>171</v>
      </c>
      <c r="L1850" s="14">
        <f>24*(TblTimeSheet[[#This Row],[End Date and Time]]-TblTimeSheet[[#This Row],[Start Date and Time]])</f>
        <v>0.41666666662786156</v>
      </c>
      <c r="M18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0" s="14">
        <f>--(0&gt;(TblTimeSheet[[#This Row],[End Date and Time]]-TblTimeSheet[[#This Row],[Start Date and Time]]))</f>
        <v>0</v>
      </c>
    </row>
    <row r="1851" spans="1:14" x14ac:dyDescent="0.25">
      <c r="A1851" s="1"/>
      <c r="B1851" s="2" t="s">
        <v>915</v>
      </c>
      <c r="C1851" s="2" t="s">
        <v>116</v>
      </c>
      <c r="D1851" s="2" t="s">
        <v>32</v>
      </c>
      <c r="E1851" s="7" t="s">
        <v>2996</v>
      </c>
      <c r="F1851" s="37">
        <v>42461.625</v>
      </c>
      <c r="G1851" s="37">
        <v>42461.659722222219</v>
      </c>
      <c r="H1851" s="1" t="s">
        <v>6</v>
      </c>
      <c r="I1851" s="1" t="s">
        <v>38</v>
      </c>
      <c r="J1851" s="1">
        <v>42461.662523148145</v>
      </c>
      <c r="K1851" s="1" t="s">
        <v>701</v>
      </c>
      <c r="L1851" s="14">
        <f>24*(TblTimeSheet[[#This Row],[End Date and Time]]-TblTimeSheet[[#This Row],[Start Date and Time]])</f>
        <v>0.83333333325572312</v>
      </c>
      <c r="M18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1" s="14">
        <f>--(0&gt;(TblTimeSheet[[#This Row],[End Date and Time]]-TblTimeSheet[[#This Row],[Start Date and Time]]))</f>
        <v>0</v>
      </c>
    </row>
    <row r="1852" spans="1:14" x14ac:dyDescent="0.25">
      <c r="A1852" s="1"/>
      <c r="B1852" s="2" t="s">
        <v>917</v>
      </c>
      <c r="C1852" s="2" t="s">
        <v>116</v>
      </c>
      <c r="D1852" s="2" t="s">
        <v>20</v>
      </c>
      <c r="E1852" s="7" t="s">
        <v>2997</v>
      </c>
      <c r="F1852" s="37">
        <v>42461.645833333336</v>
      </c>
      <c r="G1852" s="37">
        <v>42461.652777777781</v>
      </c>
      <c r="H1852" s="1" t="s">
        <v>6</v>
      </c>
      <c r="I1852" s="1" t="s">
        <v>38</v>
      </c>
      <c r="J1852" s="1">
        <v>42461.715509259258</v>
      </c>
      <c r="K1852" s="1" t="s">
        <v>81</v>
      </c>
      <c r="L1852" s="14">
        <f>24*(TblTimeSheet[[#This Row],[End Date and Time]]-TblTimeSheet[[#This Row],[Start Date and Time]])</f>
        <v>0.16666666668606922</v>
      </c>
      <c r="M18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52" s="14">
        <f>--(0&gt;(TblTimeSheet[[#This Row],[End Date and Time]]-TblTimeSheet[[#This Row],[Start Date and Time]]))</f>
        <v>0</v>
      </c>
    </row>
    <row r="1853" spans="1:14" x14ac:dyDescent="0.25">
      <c r="A1853" s="1"/>
      <c r="B1853" s="2" t="s">
        <v>917</v>
      </c>
      <c r="C1853" s="2" t="s">
        <v>116</v>
      </c>
      <c r="D1853" s="2" t="s">
        <v>20</v>
      </c>
      <c r="E1853" s="7" t="s">
        <v>3669</v>
      </c>
      <c r="F1853" s="37">
        <v>42461.677083333336</v>
      </c>
      <c r="G1853" s="37">
        <v>42461.711805555555</v>
      </c>
      <c r="H1853" s="1" t="s">
        <v>6</v>
      </c>
      <c r="I1853" s="1" t="s">
        <v>38</v>
      </c>
      <c r="J1853" s="1">
        <v>42461.716273148151</v>
      </c>
      <c r="K1853" s="1" t="s">
        <v>81</v>
      </c>
      <c r="L1853" s="14">
        <f>24*(TblTimeSheet[[#This Row],[End Date and Time]]-TblTimeSheet[[#This Row],[Start Date and Time]])</f>
        <v>0.83333333325572312</v>
      </c>
      <c r="M18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53" s="14">
        <f>--(0&gt;(TblTimeSheet[[#This Row],[End Date and Time]]-TblTimeSheet[[#This Row],[Start Date and Time]]))</f>
        <v>0</v>
      </c>
    </row>
    <row r="1854" spans="1:14" x14ac:dyDescent="0.25">
      <c r="A1854" s="1"/>
      <c r="B1854" s="2" t="s">
        <v>2870</v>
      </c>
      <c r="C1854" s="2" t="s">
        <v>116</v>
      </c>
      <c r="D1854" s="2" t="s">
        <v>20</v>
      </c>
      <c r="E1854" s="7" t="s">
        <v>2998</v>
      </c>
      <c r="F1854" s="37">
        <v>42461.666666666664</v>
      </c>
      <c r="G1854" s="37">
        <v>42461.680555555555</v>
      </c>
      <c r="H1854" s="1" t="s">
        <v>6</v>
      </c>
      <c r="I1854" s="1" t="s">
        <v>38</v>
      </c>
      <c r="J1854" s="1">
        <v>42461.722754629627</v>
      </c>
      <c r="K1854" s="1" t="s">
        <v>39</v>
      </c>
      <c r="L1854" s="14">
        <f>24*(TblTimeSheet[[#This Row],[End Date and Time]]-TblTimeSheet[[#This Row],[Start Date and Time]])</f>
        <v>0.33333333337213844</v>
      </c>
      <c r="M18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54" s="14">
        <f>--(0&gt;(TblTimeSheet[[#This Row],[End Date and Time]]-TblTimeSheet[[#This Row],[Start Date and Time]]))</f>
        <v>0</v>
      </c>
    </row>
    <row r="1855" spans="1:14" x14ac:dyDescent="0.25">
      <c r="A1855" s="1"/>
      <c r="B1855" s="2" t="s">
        <v>917</v>
      </c>
      <c r="C1855" s="2" t="s">
        <v>36</v>
      </c>
      <c r="D1855" s="2" t="s">
        <v>20</v>
      </c>
      <c r="E1855" s="7" t="s">
        <v>2999</v>
      </c>
      <c r="F1855" s="37">
        <v>42461.645833333336</v>
      </c>
      <c r="G1855" s="37">
        <v>42461.652777777781</v>
      </c>
      <c r="H1855" s="1" t="s">
        <v>6</v>
      </c>
      <c r="I1855" s="1" t="s">
        <v>38</v>
      </c>
      <c r="J1855" s="1">
        <v>42461.729166666664</v>
      </c>
      <c r="K1855" s="1" t="s">
        <v>36</v>
      </c>
      <c r="L1855" s="14">
        <f>24*(TblTimeSheet[[#This Row],[End Date and Time]]-TblTimeSheet[[#This Row],[Start Date and Time]])</f>
        <v>0.16666666668606922</v>
      </c>
      <c r="M18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5" s="14">
        <f>--(0&gt;(TblTimeSheet[[#This Row],[End Date and Time]]-TblTimeSheet[[#This Row],[Start Date and Time]]))</f>
        <v>0</v>
      </c>
    </row>
    <row r="1856" spans="1:14" x14ac:dyDescent="0.25">
      <c r="A1856" s="1"/>
      <c r="B1856" s="2" t="s">
        <v>917</v>
      </c>
      <c r="C1856" s="2" t="s">
        <v>36</v>
      </c>
      <c r="D1856" s="2" t="s">
        <v>20</v>
      </c>
      <c r="E1856" s="7" t="s">
        <v>2999</v>
      </c>
      <c r="F1856" s="37">
        <v>42461.677083333336</v>
      </c>
      <c r="G1856" s="37">
        <v>42461.711805555555</v>
      </c>
      <c r="H1856" s="1" t="s">
        <v>6</v>
      </c>
      <c r="I1856" s="1" t="s">
        <v>38</v>
      </c>
      <c r="J1856" s="1">
        <v>42461.73128472222</v>
      </c>
      <c r="K1856" s="1" t="s">
        <v>36</v>
      </c>
      <c r="L1856" s="14">
        <f>24*(TblTimeSheet[[#This Row],[End Date and Time]]-TblTimeSheet[[#This Row],[Start Date and Time]])</f>
        <v>0.83333333325572312</v>
      </c>
      <c r="M18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6" s="14">
        <f>--(0&gt;(TblTimeSheet[[#This Row],[End Date and Time]]-TblTimeSheet[[#This Row],[Start Date and Time]]))</f>
        <v>0</v>
      </c>
    </row>
    <row r="1857" spans="1:14" x14ac:dyDescent="0.25">
      <c r="A1857" s="1"/>
      <c r="B1857" s="2" t="s">
        <v>917</v>
      </c>
      <c r="C1857" s="2" t="s">
        <v>36</v>
      </c>
      <c r="D1857" s="2" t="s">
        <v>20</v>
      </c>
      <c r="E1857" s="7" t="s">
        <v>3000</v>
      </c>
      <c r="F1857" s="37">
        <v>42461.722222222219</v>
      </c>
      <c r="G1857" s="37">
        <v>42461.725694444445</v>
      </c>
      <c r="H1857" s="1" t="s">
        <v>6</v>
      </c>
      <c r="I1857" s="1" t="s">
        <v>38</v>
      </c>
      <c r="J1857" s="1">
        <v>42461.731828703705</v>
      </c>
      <c r="K1857" s="1" t="s">
        <v>36</v>
      </c>
      <c r="L1857" s="14">
        <f>24*(TblTimeSheet[[#This Row],[End Date and Time]]-TblTimeSheet[[#This Row],[Start Date and Time]])</f>
        <v>8.3333333430346102E-2</v>
      </c>
      <c r="M18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7" s="14">
        <f>--(0&gt;(TblTimeSheet[[#This Row],[End Date and Time]]-TblTimeSheet[[#This Row],[Start Date and Time]]))</f>
        <v>0</v>
      </c>
    </row>
    <row r="1858" spans="1:14" x14ac:dyDescent="0.25">
      <c r="A1858" s="1"/>
      <c r="B1858" s="2" t="s">
        <v>2870</v>
      </c>
      <c r="C1858" s="2" t="s">
        <v>118</v>
      </c>
      <c r="D1858" s="2" t="s">
        <v>20</v>
      </c>
      <c r="E1858" s="7" t="s">
        <v>3670</v>
      </c>
      <c r="F1858" s="37">
        <v>42461.708333333336</v>
      </c>
      <c r="G1858" s="37">
        <v>42461.729166666664</v>
      </c>
      <c r="H1858" s="1" t="s">
        <v>6</v>
      </c>
      <c r="I1858" s="1" t="s">
        <v>38</v>
      </c>
      <c r="J1858" s="1">
        <v>42461.735185185185</v>
      </c>
      <c r="K1858" s="1" t="s">
        <v>118</v>
      </c>
      <c r="L1858" s="14">
        <f>24*(TblTimeSheet[[#This Row],[End Date and Time]]-TblTimeSheet[[#This Row],[Start Date and Time]])</f>
        <v>0.49999999988358468</v>
      </c>
      <c r="M18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8" s="14">
        <f>--(0&gt;(TblTimeSheet[[#This Row],[End Date and Time]]-TblTimeSheet[[#This Row],[Start Date and Time]]))</f>
        <v>0</v>
      </c>
    </row>
    <row r="1859" spans="1:14" x14ac:dyDescent="0.25">
      <c r="A1859" s="1"/>
      <c r="B1859" s="2" t="s">
        <v>915</v>
      </c>
      <c r="C1859" s="2" t="s">
        <v>118</v>
      </c>
      <c r="D1859" s="2" t="s">
        <v>32</v>
      </c>
      <c r="E1859" s="7" t="s">
        <v>3671</v>
      </c>
      <c r="F1859" s="37">
        <v>42461.541666666664</v>
      </c>
      <c r="G1859" s="37">
        <v>42461.625</v>
      </c>
      <c r="H1859" s="1" t="s">
        <v>6</v>
      </c>
      <c r="I1859" s="1" t="s">
        <v>38</v>
      </c>
      <c r="J1859" s="1">
        <v>42461.73673611111</v>
      </c>
      <c r="K1859" s="1" t="s">
        <v>118</v>
      </c>
      <c r="L1859" s="14">
        <f>24*(TblTimeSheet[[#This Row],[End Date and Time]]-TblTimeSheet[[#This Row],[Start Date and Time]])</f>
        <v>2.0000000000582077</v>
      </c>
      <c r="M18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59" s="14">
        <f>--(0&gt;(TblTimeSheet[[#This Row],[End Date and Time]]-TblTimeSheet[[#This Row],[Start Date and Time]]))</f>
        <v>0</v>
      </c>
    </row>
    <row r="1860" spans="1:14" x14ac:dyDescent="0.25">
      <c r="A1860" s="1"/>
      <c r="B1860" s="2" t="s">
        <v>2870</v>
      </c>
      <c r="C1860" s="2" t="s">
        <v>43</v>
      </c>
      <c r="D1860" s="2" t="s">
        <v>20</v>
      </c>
      <c r="E1860" s="7" t="s">
        <v>3001</v>
      </c>
      <c r="F1860" s="37">
        <v>42461.708333333336</v>
      </c>
      <c r="G1860" s="37">
        <v>42461.729166666664</v>
      </c>
      <c r="H1860" s="1" t="s">
        <v>6</v>
      </c>
      <c r="I1860" s="1" t="s">
        <v>38</v>
      </c>
      <c r="J1860" s="1">
        <v>42461.739016203705</v>
      </c>
      <c r="K1860" s="1" t="s">
        <v>43</v>
      </c>
      <c r="L1860" s="14">
        <f>24*(TblTimeSheet[[#This Row],[End Date and Time]]-TblTimeSheet[[#This Row],[Start Date and Time]])</f>
        <v>0.49999999988358468</v>
      </c>
      <c r="M18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0" s="14">
        <f>--(0&gt;(TblTimeSheet[[#This Row],[End Date and Time]]-TblTimeSheet[[#This Row],[Start Date and Time]]))</f>
        <v>0</v>
      </c>
    </row>
    <row r="1861" spans="1:14" x14ac:dyDescent="0.25">
      <c r="A1861" s="1"/>
      <c r="B1861" s="2" t="s">
        <v>917</v>
      </c>
      <c r="C1861" s="2" t="s">
        <v>36</v>
      </c>
      <c r="D1861" s="2" t="s">
        <v>32</v>
      </c>
      <c r="E1861" s="7" t="s">
        <v>3002</v>
      </c>
      <c r="F1861" s="37">
        <v>42461.732638888891</v>
      </c>
      <c r="G1861" s="37">
        <v>42461.753472222219</v>
      </c>
      <c r="H1861" s="1" t="s">
        <v>6</v>
      </c>
      <c r="I1861" s="1" t="s">
        <v>38</v>
      </c>
      <c r="J1861" s="1">
        <v>42461.752627314818</v>
      </c>
      <c r="K1861" s="1" t="s">
        <v>36</v>
      </c>
      <c r="L1861" s="14">
        <f>24*(TblTimeSheet[[#This Row],[End Date and Time]]-TblTimeSheet[[#This Row],[Start Date and Time]])</f>
        <v>0.49999999988358468</v>
      </c>
      <c r="M18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1" s="14">
        <f>--(0&gt;(TblTimeSheet[[#This Row],[End Date and Time]]-TblTimeSheet[[#This Row],[Start Date and Time]]))</f>
        <v>0</v>
      </c>
    </row>
    <row r="1862" spans="1:14" x14ac:dyDescent="0.25">
      <c r="A1862" s="1"/>
      <c r="B1862" s="2" t="s">
        <v>2870</v>
      </c>
      <c r="C1862" s="2" t="s">
        <v>41</v>
      </c>
      <c r="D1862" s="2" t="s">
        <v>20</v>
      </c>
      <c r="E1862" s="7" t="s">
        <v>3672</v>
      </c>
      <c r="F1862" s="37">
        <v>42461.645833333336</v>
      </c>
      <c r="G1862" s="37">
        <v>42461.6875</v>
      </c>
      <c r="H1862" s="1" t="s">
        <v>6</v>
      </c>
      <c r="I1862" s="1" t="s">
        <v>38</v>
      </c>
      <c r="J1862" s="1">
        <v>42461.759884259256</v>
      </c>
      <c r="K1862" s="1" t="s">
        <v>41</v>
      </c>
      <c r="L1862" s="14">
        <f>24*(TblTimeSheet[[#This Row],[End Date and Time]]-TblTimeSheet[[#This Row],[Start Date and Time]])</f>
        <v>0.99999999994179234</v>
      </c>
      <c r="M18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2" s="14">
        <f>--(0&gt;(TblTimeSheet[[#This Row],[End Date and Time]]-TblTimeSheet[[#This Row],[Start Date and Time]]))</f>
        <v>0</v>
      </c>
    </row>
    <row r="1863" spans="1:14" x14ac:dyDescent="0.25">
      <c r="A1863" s="1"/>
      <c r="B1863" s="2" t="s">
        <v>2870</v>
      </c>
      <c r="C1863" s="2" t="s">
        <v>116</v>
      </c>
      <c r="D1863" s="2" t="s">
        <v>20</v>
      </c>
      <c r="E1863" s="7" t="s">
        <v>442</v>
      </c>
      <c r="F1863" s="37">
        <v>42461.666666666664</v>
      </c>
      <c r="G1863" s="37">
        <v>42461.680555555555</v>
      </c>
      <c r="H1863" s="1" t="s">
        <v>6</v>
      </c>
      <c r="I1863" s="1" t="s">
        <v>38</v>
      </c>
      <c r="J1863" s="1">
        <v>42462.382638888892</v>
      </c>
      <c r="K1863" s="1" t="s">
        <v>701</v>
      </c>
      <c r="L1863" s="14">
        <f>24*(TblTimeSheet[[#This Row],[End Date and Time]]-TblTimeSheet[[#This Row],[Start Date and Time]])</f>
        <v>0.33333333337213844</v>
      </c>
      <c r="M18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63" s="14">
        <f>--(0&gt;(TblTimeSheet[[#This Row],[End Date and Time]]-TblTimeSheet[[#This Row],[Start Date and Time]]))</f>
        <v>0</v>
      </c>
    </row>
    <row r="1864" spans="1:14" x14ac:dyDescent="0.25">
      <c r="A1864" s="1"/>
      <c r="B1864" s="2" t="s">
        <v>915</v>
      </c>
      <c r="C1864" s="2" t="s">
        <v>118</v>
      </c>
      <c r="D1864" s="2" t="s">
        <v>32</v>
      </c>
      <c r="E1864" s="7" t="s">
        <v>3003</v>
      </c>
      <c r="F1864" s="37">
        <v>42457.583333333336</v>
      </c>
      <c r="G1864" s="37">
        <v>42457.597222222219</v>
      </c>
      <c r="H1864" s="1" t="s">
        <v>6</v>
      </c>
      <c r="I1864" s="1" t="s">
        <v>38</v>
      </c>
      <c r="J1864" s="1">
        <v>42462.388194444444</v>
      </c>
      <c r="K1864" s="1" t="s">
        <v>118</v>
      </c>
      <c r="L1864" s="14">
        <f>24*(TblTimeSheet[[#This Row],[End Date and Time]]-TblTimeSheet[[#This Row],[Start Date and Time]])</f>
        <v>0.33333333319751546</v>
      </c>
      <c r="M18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4" s="14">
        <f>--(0&gt;(TblTimeSheet[[#This Row],[End Date and Time]]-TblTimeSheet[[#This Row],[Start Date and Time]]))</f>
        <v>0</v>
      </c>
    </row>
    <row r="1865" spans="1:14" x14ac:dyDescent="0.25">
      <c r="A1865" s="1"/>
      <c r="B1865" s="2" t="s">
        <v>915</v>
      </c>
      <c r="C1865" s="2" t="s">
        <v>176</v>
      </c>
      <c r="D1865" s="2" t="s">
        <v>32</v>
      </c>
      <c r="E1865" s="7" t="s">
        <v>3004</v>
      </c>
      <c r="F1865" s="37">
        <v>42452.375</v>
      </c>
      <c r="G1865" s="37">
        <v>42452.458333333336</v>
      </c>
      <c r="H1865" s="1" t="s">
        <v>6</v>
      </c>
      <c r="I1865" s="1" t="s">
        <v>38</v>
      </c>
      <c r="J1865" s="1">
        <v>42462.388692129629</v>
      </c>
      <c r="K1865" s="1" t="s">
        <v>176</v>
      </c>
      <c r="L1865" s="14">
        <f>24*(TblTimeSheet[[#This Row],[End Date and Time]]-TblTimeSheet[[#This Row],[Start Date and Time]])</f>
        <v>2.0000000000582077</v>
      </c>
      <c r="M18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5" s="14">
        <f>--(0&gt;(TblTimeSheet[[#This Row],[End Date and Time]]-TblTimeSheet[[#This Row],[Start Date and Time]]))</f>
        <v>0</v>
      </c>
    </row>
    <row r="1866" spans="1:14" ht="30" x14ac:dyDescent="0.25">
      <c r="A1866" s="1"/>
      <c r="B1866" s="2" t="s">
        <v>915</v>
      </c>
      <c r="C1866" s="2" t="s">
        <v>116</v>
      </c>
      <c r="D1866" s="2" t="s">
        <v>32</v>
      </c>
      <c r="E1866" s="7" t="s">
        <v>3673</v>
      </c>
      <c r="F1866" s="37">
        <v>42460.628472222219</v>
      </c>
      <c r="G1866" s="37">
        <v>42460.638888888891</v>
      </c>
      <c r="H1866" s="1" t="s">
        <v>6</v>
      </c>
      <c r="I1866" s="1" t="s">
        <v>38</v>
      </c>
      <c r="J1866" s="1">
        <v>42462.38958333333</v>
      </c>
      <c r="K1866" s="1" t="s">
        <v>81</v>
      </c>
      <c r="L1866" s="14">
        <f>24*(TblTimeSheet[[#This Row],[End Date and Time]]-TblTimeSheet[[#This Row],[Start Date and Time]])</f>
        <v>0.25000000011641532</v>
      </c>
      <c r="M18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66" s="14">
        <f>--(0&gt;(TblTimeSheet[[#This Row],[End Date and Time]]-TblTimeSheet[[#This Row],[Start Date and Time]]))</f>
        <v>0</v>
      </c>
    </row>
    <row r="1867" spans="1:14" x14ac:dyDescent="0.25">
      <c r="A1867" s="1"/>
      <c r="B1867" s="2" t="s">
        <v>915</v>
      </c>
      <c r="C1867" s="2" t="s">
        <v>78</v>
      </c>
      <c r="D1867" s="2" t="s">
        <v>32</v>
      </c>
      <c r="E1867" s="7" t="s">
        <v>3005</v>
      </c>
      <c r="F1867" s="37">
        <v>42462.375</v>
      </c>
      <c r="G1867" s="37">
        <v>42462.402777777781</v>
      </c>
      <c r="H1867" s="1" t="s">
        <v>6</v>
      </c>
      <c r="I1867" s="1" t="s">
        <v>38</v>
      </c>
      <c r="J1867" s="1">
        <v>42462.40320601852</v>
      </c>
      <c r="K1867" s="1" t="s">
        <v>78</v>
      </c>
      <c r="L1867" s="14">
        <f>24*(TblTimeSheet[[#This Row],[End Date and Time]]-TblTimeSheet[[#This Row],[Start Date and Time]])</f>
        <v>0.66666666674427688</v>
      </c>
      <c r="M18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7" s="14">
        <f>--(0&gt;(TblTimeSheet[[#This Row],[End Date and Time]]-TblTimeSheet[[#This Row],[Start Date and Time]]))</f>
        <v>0</v>
      </c>
    </row>
    <row r="1868" spans="1:14" x14ac:dyDescent="0.25">
      <c r="A1868" s="1"/>
      <c r="B1868" s="2" t="s">
        <v>915</v>
      </c>
      <c r="C1868" s="2" t="s">
        <v>1117</v>
      </c>
      <c r="D1868" s="2" t="s">
        <v>32</v>
      </c>
      <c r="E1868" s="7" t="s">
        <v>3006</v>
      </c>
      <c r="F1868" s="37">
        <v>42462.375</v>
      </c>
      <c r="G1868" s="37">
        <v>42462.402777777781</v>
      </c>
      <c r="H1868" s="1" t="s">
        <v>6</v>
      </c>
      <c r="I1868" s="1" t="s">
        <v>38</v>
      </c>
      <c r="J1868" s="1">
        <v>42462.404548611114</v>
      </c>
      <c r="K1868" s="1" t="s">
        <v>2865</v>
      </c>
      <c r="L1868" s="14">
        <f>24*(TblTimeSheet[[#This Row],[End Date and Time]]-TblTimeSheet[[#This Row],[Start Date and Time]])</f>
        <v>0.66666666674427688</v>
      </c>
      <c r="M18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8" s="14">
        <f>--(0&gt;(TblTimeSheet[[#This Row],[End Date and Time]]-TblTimeSheet[[#This Row],[Start Date and Time]]))</f>
        <v>0</v>
      </c>
    </row>
    <row r="1869" spans="1:14" x14ac:dyDescent="0.25">
      <c r="A1869" s="1"/>
      <c r="B1869" s="2" t="s">
        <v>915</v>
      </c>
      <c r="C1869" s="2" t="s">
        <v>1117</v>
      </c>
      <c r="D1869" s="2" t="s">
        <v>32</v>
      </c>
      <c r="E1869" s="7" t="s">
        <v>3007</v>
      </c>
      <c r="F1869" s="37">
        <v>42462.40625</v>
      </c>
      <c r="G1869" s="37">
        <v>42462.413194444445</v>
      </c>
      <c r="H1869" s="1" t="s">
        <v>6</v>
      </c>
      <c r="I1869" s="1" t="s">
        <v>38</v>
      </c>
      <c r="J1869" s="1">
        <v>42462.411192129628</v>
      </c>
      <c r="K1869" s="1" t="s">
        <v>2865</v>
      </c>
      <c r="L1869" s="14">
        <f>24*(TblTimeSheet[[#This Row],[End Date and Time]]-TblTimeSheet[[#This Row],[Start Date and Time]])</f>
        <v>0.16666666668606922</v>
      </c>
      <c r="M18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69" s="14">
        <f>--(0&gt;(TblTimeSheet[[#This Row],[End Date and Time]]-TblTimeSheet[[#This Row],[Start Date and Time]]))</f>
        <v>0</v>
      </c>
    </row>
    <row r="1870" spans="1:14" x14ac:dyDescent="0.25">
      <c r="A1870" s="1"/>
      <c r="B1870" s="2" t="s">
        <v>915</v>
      </c>
      <c r="C1870" s="2" t="s">
        <v>176</v>
      </c>
      <c r="D1870" s="2" t="s">
        <v>32</v>
      </c>
      <c r="E1870" s="7" t="s">
        <v>3674</v>
      </c>
      <c r="F1870" s="37">
        <v>42449.375</v>
      </c>
      <c r="G1870" s="37">
        <v>42449.458333333336</v>
      </c>
      <c r="H1870" s="1" t="s">
        <v>6</v>
      </c>
      <c r="I1870" s="1" t="s">
        <v>38</v>
      </c>
      <c r="J1870" s="1">
        <v>42462.467893518522</v>
      </c>
      <c r="K1870" s="1" t="s">
        <v>176</v>
      </c>
      <c r="L1870" s="14">
        <f>24*(TblTimeSheet[[#This Row],[End Date and Time]]-TblTimeSheet[[#This Row],[Start Date and Time]])</f>
        <v>2.0000000000582077</v>
      </c>
      <c r="M18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0" s="14">
        <f>--(0&gt;(TblTimeSheet[[#This Row],[End Date and Time]]-TblTimeSheet[[#This Row],[Start Date and Time]]))</f>
        <v>0</v>
      </c>
    </row>
    <row r="1871" spans="1:14" x14ac:dyDescent="0.25">
      <c r="A1871" s="1"/>
      <c r="B1871" s="2" t="s">
        <v>2870</v>
      </c>
      <c r="C1871" s="2" t="s">
        <v>41</v>
      </c>
      <c r="D1871" s="2" t="s">
        <v>20</v>
      </c>
      <c r="E1871" s="7" t="s">
        <v>3008</v>
      </c>
      <c r="F1871" s="37">
        <v>42462.458333333336</v>
      </c>
      <c r="G1871" s="37">
        <v>42462.472222222219</v>
      </c>
      <c r="H1871" s="1" t="s">
        <v>6</v>
      </c>
      <c r="I1871" s="1" t="s">
        <v>38</v>
      </c>
      <c r="J1871" s="1">
        <v>42462.484143518515</v>
      </c>
      <c r="K1871" s="1" t="s">
        <v>41</v>
      </c>
      <c r="L1871" s="14">
        <f>24*(TblTimeSheet[[#This Row],[End Date and Time]]-TblTimeSheet[[#This Row],[Start Date and Time]])</f>
        <v>0.33333333319751546</v>
      </c>
      <c r="M18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1" s="14">
        <f>--(0&gt;(TblTimeSheet[[#This Row],[End Date and Time]]-TblTimeSheet[[#This Row],[Start Date and Time]]))</f>
        <v>0</v>
      </c>
    </row>
    <row r="1872" spans="1:14" x14ac:dyDescent="0.25">
      <c r="A1872" s="1"/>
      <c r="B1872" s="2" t="s">
        <v>2870</v>
      </c>
      <c r="C1872" s="2" t="s">
        <v>118</v>
      </c>
      <c r="D1872" s="2" t="s">
        <v>20</v>
      </c>
      <c r="E1872" s="7" t="s">
        <v>3009</v>
      </c>
      <c r="F1872" s="37">
        <v>42462.458333333336</v>
      </c>
      <c r="G1872" s="37">
        <v>42462.472222222219</v>
      </c>
      <c r="H1872" s="1" t="s">
        <v>6</v>
      </c>
      <c r="I1872" s="1" t="s">
        <v>38</v>
      </c>
      <c r="J1872" s="1">
        <v>42462.48978009259</v>
      </c>
      <c r="K1872" s="1" t="s">
        <v>118</v>
      </c>
      <c r="L1872" s="14">
        <f>24*(TblTimeSheet[[#This Row],[End Date and Time]]-TblTimeSheet[[#This Row],[Start Date and Time]])</f>
        <v>0.33333333319751546</v>
      </c>
      <c r="M18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2" s="14">
        <f>--(0&gt;(TblTimeSheet[[#This Row],[End Date and Time]]-TblTimeSheet[[#This Row],[Start Date and Time]]))</f>
        <v>0</v>
      </c>
    </row>
    <row r="1873" spans="1:14" ht="30" x14ac:dyDescent="0.25">
      <c r="A1873" s="1"/>
      <c r="B1873" s="2" t="s">
        <v>915</v>
      </c>
      <c r="C1873" s="2" t="s">
        <v>116</v>
      </c>
      <c r="D1873" s="2" t="s">
        <v>32</v>
      </c>
      <c r="E1873" s="7" t="s">
        <v>3010</v>
      </c>
      <c r="F1873" s="37">
        <v>42462.472222222219</v>
      </c>
      <c r="G1873" s="37">
        <v>42462.482638888891</v>
      </c>
      <c r="H1873" s="1" t="s">
        <v>6</v>
      </c>
      <c r="I1873" s="1" t="s">
        <v>38</v>
      </c>
      <c r="J1873" s="1">
        <v>42462.49015046296</v>
      </c>
      <c r="K1873" s="1" t="s">
        <v>39</v>
      </c>
      <c r="L1873" s="14">
        <f>24*(TblTimeSheet[[#This Row],[End Date and Time]]-TblTimeSheet[[#This Row],[Start Date and Time]])</f>
        <v>0.25000000011641532</v>
      </c>
      <c r="M18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73" s="14">
        <f>--(0&gt;(TblTimeSheet[[#This Row],[End Date and Time]]-TblTimeSheet[[#This Row],[Start Date and Time]]))</f>
        <v>0</v>
      </c>
    </row>
    <row r="1874" spans="1:14" x14ac:dyDescent="0.25">
      <c r="A1874" s="1"/>
      <c r="B1874" s="2" t="s">
        <v>915</v>
      </c>
      <c r="C1874" s="2" t="s">
        <v>118</v>
      </c>
      <c r="D1874" s="2" t="s">
        <v>32</v>
      </c>
      <c r="E1874" s="7" t="s">
        <v>3011</v>
      </c>
      <c r="F1874" s="37">
        <v>42462.472222222219</v>
      </c>
      <c r="G1874" s="37">
        <v>42462.482638888891</v>
      </c>
      <c r="H1874" s="1" t="s">
        <v>6</v>
      </c>
      <c r="I1874" s="1" t="s">
        <v>38</v>
      </c>
      <c r="J1874" s="1">
        <v>42462.490324074075</v>
      </c>
      <c r="K1874" s="1" t="s">
        <v>118</v>
      </c>
      <c r="L1874" s="14">
        <f>24*(TblTimeSheet[[#This Row],[End Date and Time]]-TblTimeSheet[[#This Row],[Start Date and Time]])</f>
        <v>0.25000000011641532</v>
      </c>
      <c r="M18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4" s="14">
        <f>--(0&gt;(TblTimeSheet[[#This Row],[End Date and Time]]-TblTimeSheet[[#This Row],[Start Date and Time]]))</f>
        <v>0</v>
      </c>
    </row>
    <row r="1875" spans="1:14" x14ac:dyDescent="0.25">
      <c r="A1875" s="1"/>
      <c r="B1875" s="2" t="s">
        <v>915</v>
      </c>
      <c r="C1875" s="2" t="s">
        <v>454</v>
      </c>
      <c r="D1875" s="2" t="s">
        <v>32</v>
      </c>
      <c r="E1875" s="7" t="s">
        <v>1647</v>
      </c>
      <c r="F1875" s="37">
        <v>42462.472222222219</v>
      </c>
      <c r="G1875" s="37">
        <v>42462.482638888891</v>
      </c>
      <c r="H1875" s="1" t="s">
        <v>6</v>
      </c>
      <c r="I1875" s="1" t="s">
        <v>38</v>
      </c>
      <c r="J1875" s="1">
        <v>42462.491053240738</v>
      </c>
      <c r="K1875" s="1" t="s">
        <v>454</v>
      </c>
      <c r="L1875" s="14">
        <f>24*(TblTimeSheet[[#This Row],[End Date and Time]]-TblTimeSheet[[#This Row],[Start Date and Time]])</f>
        <v>0.25000000011641532</v>
      </c>
      <c r="M18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5" s="14">
        <f>--(0&gt;(TblTimeSheet[[#This Row],[End Date and Time]]-TblTimeSheet[[#This Row],[Start Date and Time]]))</f>
        <v>0</v>
      </c>
    </row>
    <row r="1876" spans="1:14" ht="30" x14ac:dyDescent="0.25">
      <c r="A1876" s="1"/>
      <c r="B1876" s="2" t="s">
        <v>915</v>
      </c>
      <c r="C1876" s="2" t="s">
        <v>116</v>
      </c>
      <c r="D1876" s="2" t="s">
        <v>32</v>
      </c>
      <c r="E1876" s="7" t="s">
        <v>3675</v>
      </c>
      <c r="F1876" s="37">
        <v>42462.472222222219</v>
      </c>
      <c r="G1876" s="37">
        <v>42462.482638888891</v>
      </c>
      <c r="H1876" s="1" t="s">
        <v>6</v>
      </c>
      <c r="I1876" s="1" t="s">
        <v>38</v>
      </c>
      <c r="J1876" s="1">
        <v>42462.493425925924</v>
      </c>
      <c r="K1876" s="1" t="s">
        <v>81</v>
      </c>
      <c r="L1876" s="14">
        <f>24*(TblTimeSheet[[#This Row],[End Date and Time]]-TblTimeSheet[[#This Row],[Start Date and Time]])</f>
        <v>0.25000000011641532</v>
      </c>
      <c r="M18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76" s="14">
        <f>--(0&gt;(TblTimeSheet[[#This Row],[End Date and Time]]-TblTimeSheet[[#This Row],[Start Date and Time]]))</f>
        <v>0</v>
      </c>
    </row>
    <row r="1877" spans="1:14" x14ac:dyDescent="0.25">
      <c r="A1877" s="1"/>
      <c r="B1877" s="2" t="s">
        <v>915</v>
      </c>
      <c r="C1877" s="2" t="s">
        <v>1117</v>
      </c>
      <c r="D1877" s="2" t="s">
        <v>32</v>
      </c>
      <c r="E1877" s="7" t="s">
        <v>1441</v>
      </c>
      <c r="F1877" s="37">
        <v>42462.472222222219</v>
      </c>
      <c r="G1877" s="37">
        <v>42462.482638888891</v>
      </c>
      <c r="H1877" s="1" t="s">
        <v>6</v>
      </c>
      <c r="I1877" s="1" t="s">
        <v>38</v>
      </c>
      <c r="J1877" s="1">
        <v>42462.494097222225</v>
      </c>
      <c r="K1877" s="1" t="s">
        <v>2865</v>
      </c>
      <c r="L1877" s="14">
        <f>24*(TblTimeSheet[[#This Row],[End Date and Time]]-TblTimeSheet[[#This Row],[Start Date and Time]])</f>
        <v>0.25000000011641532</v>
      </c>
      <c r="M18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7" s="14">
        <f>--(0&gt;(TblTimeSheet[[#This Row],[End Date and Time]]-TblTimeSheet[[#This Row],[Start Date and Time]]))</f>
        <v>0</v>
      </c>
    </row>
    <row r="1878" spans="1:14" x14ac:dyDescent="0.25">
      <c r="A1878" s="1"/>
      <c r="B1878" s="2" t="s">
        <v>2870</v>
      </c>
      <c r="C1878" s="2" t="s">
        <v>41</v>
      </c>
      <c r="D1878" s="2" t="s">
        <v>20</v>
      </c>
      <c r="E1878" s="7" t="s">
        <v>3012</v>
      </c>
      <c r="F1878" s="37">
        <v>42462.486111111109</v>
      </c>
      <c r="G1878" s="37">
        <v>42462.493055555555</v>
      </c>
      <c r="H1878" s="1" t="s">
        <v>6</v>
      </c>
      <c r="I1878" s="1" t="s">
        <v>38</v>
      </c>
      <c r="J1878" s="1">
        <v>42462.500451388885</v>
      </c>
      <c r="K1878" s="1" t="s">
        <v>41</v>
      </c>
      <c r="L1878" s="14">
        <f>24*(TblTimeSheet[[#This Row],[End Date and Time]]-TblTimeSheet[[#This Row],[Start Date and Time]])</f>
        <v>0.16666666668606922</v>
      </c>
      <c r="M18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8" s="14">
        <f>--(0&gt;(TblTimeSheet[[#This Row],[End Date and Time]]-TblTimeSheet[[#This Row],[Start Date and Time]]))</f>
        <v>0</v>
      </c>
    </row>
    <row r="1879" spans="1:14" x14ac:dyDescent="0.25">
      <c r="A1879" s="1"/>
      <c r="B1879" s="2" t="s">
        <v>2870</v>
      </c>
      <c r="C1879" s="2" t="s">
        <v>171</v>
      </c>
      <c r="D1879" s="2" t="s">
        <v>20</v>
      </c>
      <c r="E1879" s="7" t="s">
        <v>3676</v>
      </c>
      <c r="F1879" s="37">
        <v>42462.486111111109</v>
      </c>
      <c r="G1879" s="37">
        <v>42462.493055555555</v>
      </c>
      <c r="H1879" s="1" t="s">
        <v>6</v>
      </c>
      <c r="I1879" s="1" t="s">
        <v>38</v>
      </c>
      <c r="J1879" s="1">
        <v>42462.501898148148</v>
      </c>
      <c r="K1879" s="1" t="s">
        <v>171</v>
      </c>
      <c r="L1879" s="14">
        <f>24*(TblTimeSheet[[#This Row],[End Date and Time]]-TblTimeSheet[[#This Row],[Start Date and Time]])</f>
        <v>0.16666666668606922</v>
      </c>
      <c r="M18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79" s="14">
        <f>--(0&gt;(TblTimeSheet[[#This Row],[End Date and Time]]-TblTimeSheet[[#This Row],[Start Date and Time]]))</f>
        <v>0</v>
      </c>
    </row>
    <row r="1880" spans="1:14" x14ac:dyDescent="0.25">
      <c r="A1880" s="1"/>
      <c r="B1880" s="2" t="s">
        <v>2870</v>
      </c>
      <c r="C1880" s="2" t="s">
        <v>1117</v>
      </c>
      <c r="D1880" s="2" t="s">
        <v>20</v>
      </c>
      <c r="E1880" s="7" t="s">
        <v>3013</v>
      </c>
      <c r="F1880" s="37">
        <v>42462.486111111109</v>
      </c>
      <c r="G1880" s="37">
        <v>42462.493055555555</v>
      </c>
      <c r="H1880" s="1" t="s">
        <v>6</v>
      </c>
      <c r="I1880" s="1" t="s">
        <v>38</v>
      </c>
      <c r="J1880" s="1">
        <v>42462.6325462963</v>
      </c>
      <c r="K1880" s="1" t="s">
        <v>2865</v>
      </c>
      <c r="L1880" s="14">
        <f>24*(TblTimeSheet[[#This Row],[End Date and Time]]-TblTimeSheet[[#This Row],[Start Date and Time]])</f>
        <v>0.16666666668606922</v>
      </c>
      <c r="M18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0" s="14">
        <f>--(0&gt;(TblTimeSheet[[#This Row],[End Date and Time]]-TblTimeSheet[[#This Row],[Start Date and Time]]))</f>
        <v>0</v>
      </c>
    </row>
    <row r="1881" spans="1:14" x14ac:dyDescent="0.25">
      <c r="A1881" s="1"/>
      <c r="B1881" s="2" t="s">
        <v>2870</v>
      </c>
      <c r="C1881" s="2" t="s">
        <v>116</v>
      </c>
      <c r="D1881" s="2" t="s">
        <v>20</v>
      </c>
      <c r="E1881" s="7" t="s">
        <v>3014</v>
      </c>
      <c r="F1881" s="37">
        <v>42462.458333333336</v>
      </c>
      <c r="G1881" s="37">
        <v>42462.472222222219</v>
      </c>
      <c r="H1881" s="1" t="s">
        <v>6</v>
      </c>
      <c r="I1881" s="1" t="s">
        <v>38</v>
      </c>
      <c r="J1881" s="1">
        <v>42462.508784722224</v>
      </c>
      <c r="K1881" s="1" t="s">
        <v>701</v>
      </c>
      <c r="L1881" s="14">
        <f>24*(TblTimeSheet[[#This Row],[End Date and Time]]-TblTimeSheet[[#This Row],[Start Date and Time]])</f>
        <v>0.33333333319751546</v>
      </c>
      <c r="M18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1" s="14">
        <f>--(0&gt;(TblTimeSheet[[#This Row],[End Date and Time]]-TblTimeSheet[[#This Row],[Start Date and Time]]))</f>
        <v>0</v>
      </c>
    </row>
    <row r="1882" spans="1:14" x14ac:dyDescent="0.25">
      <c r="A1882" s="1"/>
      <c r="B1882" s="2" t="s">
        <v>915</v>
      </c>
      <c r="C1882" s="2" t="s">
        <v>116</v>
      </c>
      <c r="D1882" s="2" t="s">
        <v>32</v>
      </c>
      <c r="E1882" s="7" t="s">
        <v>449</v>
      </c>
      <c r="F1882" s="37">
        <v>42462.472222222219</v>
      </c>
      <c r="G1882" s="37">
        <v>42462.482638888891</v>
      </c>
      <c r="H1882" s="1" t="s">
        <v>6</v>
      </c>
      <c r="I1882" s="1" t="s">
        <v>38</v>
      </c>
      <c r="J1882" s="1">
        <v>42462.509097222224</v>
      </c>
      <c r="K1882" s="1" t="s">
        <v>701</v>
      </c>
      <c r="L1882" s="14">
        <f>24*(TblTimeSheet[[#This Row],[End Date and Time]]-TblTimeSheet[[#This Row],[Start Date and Time]])</f>
        <v>0.25000000011641532</v>
      </c>
      <c r="M18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82" s="14">
        <f>--(0&gt;(TblTimeSheet[[#This Row],[End Date and Time]]-TblTimeSheet[[#This Row],[Start Date and Time]]))</f>
        <v>0</v>
      </c>
    </row>
    <row r="1883" spans="1:14" x14ac:dyDescent="0.25">
      <c r="A1883" s="1"/>
      <c r="B1883" s="2" t="s">
        <v>2870</v>
      </c>
      <c r="C1883" s="2" t="s">
        <v>41</v>
      </c>
      <c r="D1883" s="2" t="s">
        <v>20</v>
      </c>
      <c r="E1883" s="7" t="s">
        <v>3015</v>
      </c>
      <c r="F1883" s="37">
        <v>42462.625</v>
      </c>
      <c r="G1883" s="37">
        <v>42462.638888888891</v>
      </c>
      <c r="H1883" s="1" t="s">
        <v>6</v>
      </c>
      <c r="I1883" s="1" t="s">
        <v>38</v>
      </c>
      <c r="J1883" s="1">
        <v>42462.646435185183</v>
      </c>
      <c r="K1883" s="1" t="s">
        <v>41</v>
      </c>
      <c r="L1883" s="14">
        <f>24*(TblTimeSheet[[#This Row],[End Date and Time]]-TblTimeSheet[[#This Row],[Start Date and Time]])</f>
        <v>0.33333333337213844</v>
      </c>
      <c r="M18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3" s="14">
        <f>--(0&gt;(TblTimeSheet[[#This Row],[End Date and Time]]-TblTimeSheet[[#This Row],[Start Date and Time]]))</f>
        <v>0</v>
      </c>
    </row>
    <row r="1884" spans="1:14" x14ac:dyDescent="0.25">
      <c r="A1884" s="1"/>
      <c r="B1884" s="2" t="s">
        <v>2870</v>
      </c>
      <c r="C1884" s="2" t="s">
        <v>116</v>
      </c>
      <c r="D1884" s="2" t="s">
        <v>20</v>
      </c>
      <c r="E1884" s="7" t="s">
        <v>3677</v>
      </c>
      <c r="F1884" s="37">
        <v>42462.625</v>
      </c>
      <c r="G1884" s="37">
        <v>42462.638888888891</v>
      </c>
      <c r="H1884" s="1" t="s">
        <v>6</v>
      </c>
      <c r="I1884" s="1" t="s">
        <v>38</v>
      </c>
      <c r="J1884" s="1">
        <v>42462.649328703701</v>
      </c>
      <c r="K1884" s="1" t="s">
        <v>701</v>
      </c>
      <c r="L1884" s="14">
        <f>24*(TblTimeSheet[[#This Row],[End Date and Time]]-TblTimeSheet[[#This Row],[Start Date and Time]])</f>
        <v>0.33333333337213844</v>
      </c>
      <c r="M18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4" s="14">
        <f>--(0&gt;(TblTimeSheet[[#This Row],[End Date and Time]]-TblTimeSheet[[#This Row],[Start Date and Time]]))</f>
        <v>0</v>
      </c>
    </row>
    <row r="1885" spans="1:14" x14ac:dyDescent="0.25">
      <c r="A1885" s="1"/>
      <c r="B1885" s="2" t="s">
        <v>2870</v>
      </c>
      <c r="C1885" s="2" t="s">
        <v>41</v>
      </c>
      <c r="D1885" s="2" t="s">
        <v>20</v>
      </c>
      <c r="E1885" s="7" t="s">
        <v>3678</v>
      </c>
      <c r="F1885" s="37">
        <v>42462.583333333336</v>
      </c>
      <c r="G1885" s="37">
        <v>42462.614583333336</v>
      </c>
      <c r="H1885" s="1" t="s">
        <v>6</v>
      </c>
      <c r="I1885" s="1" t="s">
        <v>38</v>
      </c>
      <c r="J1885" s="1">
        <v>42462.654976851853</v>
      </c>
      <c r="K1885" s="1" t="s">
        <v>41</v>
      </c>
      <c r="L1885" s="14">
        <f>24*(TblTimeSheet[[#This Row],[End Date and Time]]-TblTimeSheet[[#This Row],[Start Date and Time]])</f>
        <v>0.75</v>
      </c>
      <c r="M18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5" s="14">
        <f>--(0&gt;(TblTimeSheet[[#This Row],[End Date and Time]]-TblTimeSheet[[#This Row],[Start Date and Time]]))</f>
        <v>0</v>
      </c>
    </row>
    <row r="1886" spans="1:14" x14ac:dyDescent="0.25">
      <c r="A1886" s="1"/>
      <c r="B1886" s="2" t="s">
        <v>2870</v>
      </c>
      <c r="C1886" s="2" t="s">
        <v>116</v>
      </c>
      <c r="D1886" s="2" t="s">
        <v>20</v>
      </c>
      <c r="E1886" s="7" t="s">
        <v>3016</v>
      </c>
      <c r="F1886" s="37">
        <v>42462.673611111109</v>
      </c>
      <c r="G1886" s="37">
        <v>42462.694444444445</v>
      </c>
      <c r="H1886" s="1" t="s">
        <v>6</v>
      </c>
      <c r="I1886" s="1" t="s">
        <v>38</v>
      </c>
      <c r="J1886" s="1">
        <v>42462.696631944447</v>
      </c>
      <c r="K1886" s="1" t="s">
        <v>701</v>
      </c>
      <c r="L1886" s="14">
        <f>24*(TblTimeSheet[[#This Row],[End Date and Time]]-TblTimeSheet[[#This Row],[Start Date and Time]])</f>
        <v>0.50000000005820766</v>
      </c>
      <c r="M18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6" s="14">
        <f>--(0&gt;(TblTimeSheet[[#This Row],[End Date and Time]]-TblTimeSheet[[#This Row],[Start Date and Time]]))</f>
        <v>0</v>
      </c>
    </row>
    <row r="1887" spans="1:14" x14ac:dyDescent="0.25">
      <c r="A1887" s="1"/>
      <c r="B1887" s="2" t="s">
        <v>2870</v>
      </c>
      <c r="C1887" s="2" t="s">
        <v>41</v>
      </c>
      <c r="D1887" s="2" t="s">
        <v>20</v>
      </c>
      <c r="E1887" s="7" t="s">
        <v>3017</v>
      </c>
      <c r="F1887" s="37">
        <v>42462.673611111109</v>
      </c>
      <c r="G1887" s="37">
        <v>42462.694444444445</v>
      </c>
      <c r="H1887" s="1" t="s">
        <v>6</v>
      </c>
      <c r="I1887" s="1" t="s">
        <v>38</v>
      </c>
      <c r="J1887" s="1">
        <v>42462.697314814817</v>
      </c>
      <c r="K1887" s="1" t="s">
        <v>41</v>
      </c>
      <c r="L1887" s="14">
        <f>24*(TblTimeSheet[[#This Row],[End Date and Time]]-TblTimeSheet[[#This Row],[Start Date and Time]])</f>
        <v>0.50000000005820766</v>
      </c>
      <c r="M18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7" s="14">
        <f>--(0&gt;(TblTimeSheet[[#This Row],[End Date and Time]]-TblTimeSheet[[#This Row],[Start Date and Time]]))</f>
        <v>0</v>
      </c>
    </row>
    <row r="1888" spans="1:14" x14ac:dyDescent="0.25">
      <c r="A1888" s="1"/>
      <c r="B1888" s="2" t="s">
        <v>915</v>
      </c>
      <c r="C1888" s="2" t="s">
        <v>116</v>
      </c>
      <c r="D1888" s="2" t="s">
        <v>32</v>
      </c>
      <c r="E1888" s="7" t="s">
        <v>3018</v>
      </c>
      <c r="F1888" s="37">
        <v>42462.715277777781</v>
      </c>
      <c r="G1888" s="37">
        <v>42462.722222222219</v>
      </c>
      <c r="H1888" s="1" t="s">
        <v>6</v>
      </c>
      <c r="I1888" s="1" t="s">
        <v>38</v>
      </c>
      <c r="J1888" s="1">
        <v>42462.724212962959</v>
      </c>
      <c r="K1888" s="1" t="s">
        <v>39</v>
      </c>
      <c r="L1888" s="14">
        <f>24*(TblTimeSheet[[#This Row],[End Date and Time]]-TblTimeSheet[[#This Row],[Start Date and Time]])</f>
        <v>0.16666666651144624</v>
      </c>
      <c r="M18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8" s="14">
        <f>--(0&gt;(TblTimeSheet[[#This Row],[End Date and Time]]-TblTimeSheet[[#This Row],[Start Date and Time]]))</f>
        <v>0</v>
      </c>
    </row>
    <row r="1889" spans="1:14" x14ac:dyDescent="0.25">
      <c r="A1889" s="1"/>
      <c r="B1889" s="2" t="s">
        <v>917</v>
      </c>
      <c r="C1889" s="2" t="s">
        <v>171</v>
      </c>
      <c r="D1889" s="2" t="s">
        <v>32</v>
      </c>
      <c r="E1889" s="7" t="s">
        <v>3679</v>
      </c>
      <c r="F1889" s="37">
        <v>42462.625</v>
      </c>
      <c r="G1889" s="37">
        <v>42462.729166666664</v>
      </c>
      <c r="H1889" s="1" t="s">
        <v>6</v>
      </c>
      <c r="I1889" s="1" t="s">
        <v>38</v>
      </c>
      <c r="J1889" s="1">
        <v>42464.386747685188</v>
      </c>
      <c r="K1889" s="1" t="s">
        <v>171</v>
      </c>
      <c r="L1889" s="14">
        <f>24*(TblTimeSheet[[#This Row],[End Date and Time]]-TblTimeSheet[[#This Row],[Start Date and Time]])</f>
        <v>2.4999999999417923</v>
      </c>
      <c r="M18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89" s="14">
        <f>--(0&gt;(TblTimeSheet[[#This Row],[End Date and Time]]-TblTimeSheet[[#This Row],[Start Date and Time]]))</f>
        <v>0</v>
      </c>
    </row>
    <row r="1890" spans="1:14" x14ac:dyDescent="0.25">
      <c r="A1890" s="1"/>
      <c r="B1890" s="2" t="s">
        <v>917</v>
      </c>
      <c r="C1890" s="2" t="s">
        <v>36</v>
      </c>
      <c r="D1890" s="2" t="s">
        <v>32</v>
      </c>
      <c r="E1890" s="7" t="s">
        <v>3019</v>
      </c>
      <c r="F1890" s="37">
        <v>42464.729166666664</v>
      </c>
      <c r="G1890" s="37">
        <v>42464.739583333336</v>
      </c>
      <c r="H1890" s="1" t="s">
        <v>6</v>
      </c>
      <c r="I1890" s="1" t="s">
        <v>38</v>
      </c>
      <c r="J1890" s="1">
        <v>42464.424305555556</v>
      </c>
      <c r="K1890" s="1" t="s">
        <v>36</v>
      </c>
      <c r="L1890" s="14">
        <f>24*(TblTimeSheet[[#This Row],[End Date and Time]]-TblTimeSheet[[#This Row],[Start Date and Time]])</f>
        <v>0.25000000011641532</v>
      </c>
      <c r="M18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0" s="14">
        <f>--(0&gt;(TblTimeSheet[[#This Row],[End Date and Time]]-TblTimeSheet[[#This Row],[Start Date and Time]]))</f>
        <v>0</v>
      </c>
    </row>
    <row r="1891" spans="1:14" x14ac:dyDescent="0.25">
      <c r="A1891" s="1"/>
      <c r="B1891" s="2" t="s">
        <v>917</v>
      </c>
      <c r="C1891" s="2" t="s">
        <v>36</v>
      </c>
      <c r="D1891" s="2" t="s">
        <v>32</v>
      </c>
      <c r="E1891" s="7" t="s">
        <v>3020</v>
      </c>
      <c r="F1891" s="37">
        <v>42464.440972222219</v>
      </c>
      <c r="G1891" s="37">
        <v>42464.447916666664</v>
      </c>
      <c r="H1891" s="1" t="s">
        <v>6</v>
      </c>
      <c r="I1891" s="1" t="s">
        <v>38</v>
      </c>
      <c r="J1891" s="1">
        <v>42464.687141203707</v>
      </c>
      <c r="K1891" s="1" t="s">
        <v>36</v>
      </c>
      <c r="L1891" s="14">
        <f>24*(TblTimeSheet[[#This Row],[End Date and Time]]-TblTimeSheet[[#This Row],[Start Date and Time]])</f>
        <v>0.16666666668606922</v>
      </c>
      <c r="M18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1" s="14">
        <f>--(0&gt;(TblTimeSheet[[#This Row],[End Date and Time]]-TblTimeSheet[[#This Row],[Start Date and Time]]))</f>
        <v>0</v>
      </c>
    </row>
    <row r="1892" spans="1:14" ht="30" x14ac:dyDescent="0.25">
      <c r="A1892" s="1"/>
      <c r="B1892" s="2" t="s">
        <v>915</v>
      </c>
      <c r="C1892" s="2" t="s">
        <v>116</v>
      </c>
      <c r="D1892" s="2" t="s">
        <v>32</v>
      </c>
      <c r="E1892" s="7" t="s">
        <v>3021</v>
      </c>
      <c r="F1892" s="37">
        <v>42464.395833333336</v>
      </c>
      <c r="G1892" s="37">
        <v>42464.40625</v>
      </c>
      <c r="H1892" s="1" t="s">
        <v>6</v>
      </c>
      <c r="I1892" s="1" t="s">
        <v>38</v>
      </c>
      <c r="J1892" s="1">
        <v>42464.467453703706</v>
      </c>
      <c r="K1892" s="1" t="s">
        <v>39</v>
      </c>
      <c r="L1892" s="14">
        <f>24*(TblTimeSheet[[#This Row],[End Date and Time]]-TblTimeSheet[[#This Row],[Start Date and Time]])</f>
        <v>0.24999999994179234</v>
      </c>
      <c r="M18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92" s="14">
        <f>--(0&gt;(TblTimeSheet[[#This Row],[End Date and Time]]-TblTimeSheet[[#This Row],[Start Date and Time]]))</f>
        <v>0</v>
      </c>
    </row>
    <row r="1893" spans="1:14" x14ac:dyDescent="0.25">
      <c r="A1893" s="1"/>
      <c r="B1893" s="2" t="s">
        <v>2870</v>
      </c>
      <c r="C1893" s="2" t="s">
        <v>1105</v>
      </c>
      <c r="D1893" s="2" t="s">
        <v>20</v>
      </c>
      <c r="E1893" s="7" t="s">
        <v>3174</v>
      </c>
      <c r="F1893" s="37">
        <v>42462.708333333336</v>
      </c>
      <c r="G1893" s="37">
        <v>42462.715277777781</v>
      </c>
      <c r="H1893" s="1" t="s">
        <v>6</v>
      </c>
      <c r="I1893" s="1" t="s">
        <v>38</v>
      </c>
      <c r="J1893" s="1">
        <v>42464.508981481478</v>
      </c>
      <c r="K1893" s="1" t="s">
        <v>2864</v>
      </c>
      <c r="L1893" s="14">
        <f>24*(TblTimeSheet[[#This Row],[End Date and Time]]-TblTimeSheet[[#This Row],[Start Date and Time]])</f>
        <v>0.16666666668606922</v>
      </c>
      <c r="M18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3" s="14">
        <f>--(0&gt;(TblTimeSheet[[#This Row],[End Date and Time]]-TblTimeSheet[[#This Row],[Start Date and Time]]))</f>
        <v>0</v>
      </c>
    </row>
    <row r="1894" spans="1:14" x14ac:dyDescent="0.25">
      <c r="A1894" s="1"/>
      <c r="B1894" s="2" t="s">
        <v>2870</v>
      </c>
      <c r="C1894" s="2" t="s">
        <v>1105</v>
      </c>
      <c r="D1894" s="2" t="s">
        <v>20</v>
      </c>
      <c r="E1894" s="7" t="s">
        <v>3680</v>
      </c>
      <c r="F1894" s="37">
        <v>42464.40625</v>
      </c>
      <c r="G1894" s="37">
        <v>42464.4375</v>
      </c>
      <c r="H1894" s="1" t="s">
        <v>6</v>
      </c>
      <c r="I1894" s="1" t="s">
        <v>38</v>
      </c>
      <c r="J1894" s="1">
        <v>42464.51357638889</v>
      </c>
      <c r="K1894" s="1" t="s">
        <v>2864</v>
      </c>
      <c r="L1894" s="14">
        <f>24*(TblTimeSheet[[#This Row],[End Date and Time]]-TblTimeSheet[[#This Row],[Start Date and Time]])</f>
        <v>0.75</v>
      </c>
      <c r="M18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4" s="14">
        <f>--(0&gt;(TblTimeSheet[[#This Row],[End Date and Time]]-TblTimeSheet[[#This Row],[Start Date and Time]]))</f>
        <v>0</v>
      </c>
    </row>
    <row r="1895" spans="1:14" x14ac:dyDescent="0.25">
      <c r="A1895" s="1"/>
      <c r="B1895" s="2" t="s">
        <v>917</v>
      </c>
      <c r="C1895" s="2" t="s">
        <v>118</v>
      </c>
      <c r="D1895" s="2" t="s">
        <v>32</v>
      </c>
      <c r="E1895" s="7" t="s">
        <v>1632</v>
      </c>
      <c r="F1895" s="37">
        <v>42462.583333333336</v>
      </c>
      <c r="G1895" s="37">
        <v>42462.666666666664</v>
      </c>
      <c r="H1895" s="1" t="s">
        <v>6</v>
      </c>
      <c r="I1895" s="1" t="s">
        <v>38</v>
      </c>
      <c r="J1895" s="1">
        <v>42464.604687500003</v>
      </c>
      <c r="K1895" s="1" t="s">
        <v>118</v>
      </c>
      <c r="L1895" s="14">
        <f>24*(TblTimeSheet[[#This Row],[End Date and Time]]-TblTimeSheet[[#This Row],[Start Date and Time]])</f>
        <v>1.9999999998835847</v>
      </c>
      <c r="M18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5" s="14">
        <f>--(0&gt;(TblTimeSheet[[#This Row],[End Date and Time]]-TblTimeSheet[[#This Row],[Start Date and Time]]))</f>
        <v>0</v>
      </c>
    </row>
    <row r="1896" spans="1:14" x14ac:dyDescent="0.25">
      <c r="A1896" s="1"/>
      <c r="B1896" s="2" t="s">
        <v>2870</v>
      </c>
      <c r="C1896" s="2" t="s">
        <v>41</v>
      </c>
      <c r="D1896" s="2" t="s">
        <v>20</v>
      </c>
      <c r="E1896" s="7" t="s">
        <v>3022</v>
      </c>
      <c r="F1896" s="37">
        <v>42462.708333333336</v>
      </c>
      <c r="G1896" s="37">
        <v>42462.715277777781</v>
      </c>
      <c r="H1896" s="1" t="s">
        <v>6</v>
      </c>
      <c r="I1896" s="1" t="s">
        <v>38</v>
      </c>
      <c r="J1896" s="1">
        <v>42464.650578703702</v>
      </c>
      <c r="K1896" s="1" t="s">
        <v>41</v>
      </c>
      <c r="L1896" s="14">
        <f>24*(TblTimeSheet[[#This Row],[End Date and Time]]-TblTimeSheet[[#This Row],[Start Date and Time]])</f>
        <v>0.16666666668606922</v>
      </c>
      <c r="M18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6" s="14">
        <f>--(0&gt;(TblTimeSheet[[#This Row],[End Date and Time]]-TblTimeSheet[[#This Row],[Start Date and Time]]))</f>
        <v>0</v>
      </c>
    </row>
    <row r="1897" spans="1:14" x14ac:dyDescent="0.25">
      <c r="A1897" s="1"/>
      <c r="B1897" s="2" t="s">
        <v>2870</v>
      </c>
      <c r="C1897" s="2" t="s">
        <v>41</v>
      </c>
      <c r="D1897" s="2" t="s">
        <v>20</v>
      </c>
      <c r="E1897" s="7" t="s">
        <v>3023</v>
      </c>
      <c r="F1897" s="37">
        <v>42464.40625</v>
      </c>
      <c r="G1897" s="37">
        <v>42464.4375</v>
      </c>
      <c r="H1897" s="1" t="s">
        <v>6</v>
      </c>
      <c r="I1897" s="1" t="s">
        <v>38</v>
      </c>
      <c r="J1897" s="1">
        <v>42464.651678240742</v>
      </c>
      <c r="K1897" s="1" t="s">
        <v>41</v>
      </c>
      <c r="L1897" s="14">
        <f>24*(TblTimeSheet[[#This Row],[End Date and Time]]-TblTimeSheet[[#This Row],[Start Date and Time]])</f>
        <v>0.75</v>
      </c>
      <c r="M18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7" s="14">
        <f>--(0&gt;(TblTimeSheet[[#This Row],[End Date and Time]]-TblTimeSheet[[#This Row],[Start Date and Time]]))</f>
        <v>0</v>
      </c>
    </row>
    <row r="1898" spans="1:14" x14ac:dyDescent="0.25">
      <c r="A1898" s="1"/>
      <c r="B1898" s="2" t="s">
        <v>2870</v>
      </c>
      <c r="C1898" s="2" t="s">
        <v>41</v>
      </c>
      <c r="D1898" s="2" t="s">
        <v>20</v>
      </c>
      <c r="E1898" s="7" t="s">
        <v>3024</v>
      </c>
      <c r="F1898" s="37">
        <v>42464.645833333336</v>
      </c>
      <c r="G1898" s="37">
        <v>42464.652777777781</v>
      </c>
      <c r="H1898" s="1" t="s">
        <v>6</v>
      </c>
      <c r="I1898" s="1" t="s">
        <v>38</v>
      </c>
      <c r="J1898" s="1">
        <v>42464.652685185189</v>
      </c>
      <c r="K1898" s="1" t="s">
        <v>41</v>
      </c>
      <c r="L1898" s="14">
        <f>24*(TblTimeSheet[[#This Row],[End Date and Time]]-TblTimeSheet[[#This Row],[Start Date and Time]])</f>
        <v>0.16666666668606922</v>
      </c>
      <c r="M18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898" s="14">
        <f>--(0&gt;(TblTimeSheet[[#This Row],[End Date and Time]]-TblTimeSheet[[#This Row],[Start Date and Time]]))</f>
        <v>0</v>
      </c>
    </row>
    <row r="1899" spans="1:14" x14ac:dyDescent="0.25">
      <c r="A1899" s="1"/>
      <c r="B1899" s="2" t="s">
        <v>915</v>
      </c>
      <c r="C1899" s="2" t="s">
        <v>116</v>
      </c>
      <c r="D1899" s="2" t="s">
        <v>32</v>
      </c>
      <c r="E1899" s="7" t="s">
        <v>3025</v>
      </c>
      <c r="F1899" s="37">
        <v>42464.395833333336</v>
      </c>
      <c r="G1899" s="37">
        <v>42464.40625</v>
      </c>
      <c r="H1899" s="1" t="s">
        <v>6</v>
      </c>
      <c r="I1899" s="1" t="s">
        <v>38</v>
      </c>
      <c r="J1899" s="1">
        <v>42464.678587962961</v>
      </c>
      <c r="K1899" s="1" t="s">
        <v>701</v>
      </c>
      <c r="L1899" s="14">
        <f>24*(TblTimeSheet[[#This Row],[End Date and Time]]-TblTimeSheet[[#This Row],[Start Date and Time]])</f>
        <v>0.24999999994179234</v>
      </c>
      <c r="M18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899" s="14">
        <f>--(0&gt;(TblTimeSheet[[#This Row],[End Date and Time]]-TblTimeSheet[[#This Row],[Start Date and Time]]))</f>
        <v>0</v>
      </c>
    </row>
    <row r="1900" spans="1:14" x14ac:dyDescent="0.25">
      <c r="A1900" s="1"/>
      <c r="B1900" s="2" t="s">
        <v>915</v>
      </c>
      <c r="C1900" s="2" t="s">
        <v>116</v>
      </c>
      <c r="D1900" s="2" t="s">
        <v>32</v>
      </c>
      <c r="E1900" s="7" t="s">
        <v>3026</v>
      </c>
      <c r="F1900" s="37">
        <v>42464.4375</v>
      </c>
      <c r="G1900" s="37">
        <v>42464.458333333336</v>
      </c>
      <c r="H1900" s="1" t="s">
        <v>6</v>
      </c>
      <c r="I1900" s="1" t="s">
        <v>38</v>
      </c>
      <c r="J1900" s="1">
        <v>42464.679236111115</v>
      </c>
      <c r="K1900" s="1" t="s">
        <v>701</v>
      </c>
      <c r="L1900" s="14">
        <f>24*(TblTimeSheet[[#This Row],[End Date and Time]]-TblTimeSheet[[#This Row],[Start Date and Time]])</f>
        <v>0.50000000005820766</v>
      </c>
      <c r="M19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00" s="14">
        <f>--(0&gt;(TblTimeSheet[[#This Row],[End Date and Time]]-TblTimeSheet[[#This Row],[Start Date and Time]]))</f>
        <v>0</v>
      </c>
    </row>
    <row r="1901" spans="1:14" x14ac:dyDescent="0.25">
      <c r="A1901" s="1"/>
      <c r="B1901" s="2" t="s">
        <v>915</v>
      </c>
      <c r="C1901" s="2" t="s">
        <v>116</v>
      </c>
      <c r="D1901" s="2" t="s">
        <v>32</v>
      </c>
      <c r="E1901" s="7" t="s">
        <v>3027</v>
      </c>
      <c r="F1901" s="37">
        <v>42464.4375</v>
      </c>
      <c r="G1901" s="37">
        <v>42464.458333333336</v>
      </c>
      <c r="H1901" s="1" t="s">
        <v>6</v>
      </c>
      <c r="I1901" s="1" t="s">
        <v>38</v>
      </c>
      <c r="J1901" s="1">
        <v>42464.680347222224</v>
      </c>
      <c r="K1901" s="1" t="s">
        <v>39</v>
      </c>
      <c r="L1901" s="14">
        <f>24*(TblTimeSheet[[#This Row],[End Date and Time]]-TblTimeSheet[[#This Row],[Start Date and Time]])</f>
        <v>0.50000000005820766</v>
      </c>
      <c r="M19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01" s="14">
        <f>--(0&gt;(TblTimeSheet[[#This Row],[End Date and Time]]-TblTimeSheet[[#This Row],[Start Date and Time]]))</f>
        <v>0</v>
      </c>
    </row>
    <row r="1902" spans="1:14" x14ac:dyDescent="0.25">
      <c r="A1902" s="1"/>
      <c r="B1902" s="2" t="s">
        <v>917</v>
      </c>
      <c r="C1902" s="2" t="s">
        <v>171</v>
      </c>
      <c r="D1902" s="2" t="s">
        <v>32</v>
      </c>
      <c r="E1902" s="7" t="s">
        <v>3681</v>
      </c>
      <c r="F1902" s="37">
        <v>42464.666666666664</v>
      </c>
      <c r="G1902" s="37">
        <v>42464.697916666664</v>
      </c>
      <c r="H1902" s="1" t="s">
        <v>6</v>
      </c>
      <c r="I1902" s="1" t="s">
        <v>38</v>
      </c>
      <c r="J1902" s="1">
        <v>42464.698680555557</v>
      </c>
      <c r="K1902" s="1" t="s">
        <v>171</v>
      </c>
      <c r="L1902" s="14">
        <f>24*(TblTimeSheet[[#This Row],[End Date and Time]]-TblTimeSheet[[#This Row],[Start Date and Time]])</f>
        <v>0.75</v>
      </c>
      <c r="M19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2" s="14">
        <f>--(0&gt;(TblTimeSheet[[#This Row],[End Date and Time]]-TblTimeSheet[[#This Row],[Start Date and Time]]))</f>
        <v>0</v>
      </c>
    </row>
    <row r="1903" spans="1:14" x14ac:dyDescent="0.25">
      <c r="A1903" s="1"/>
      <c r="B1903" s="2" t="s">
        <v>917</v>
      </c>
      <c r="C1903" s="2" t="s">
        <v>171</v>
      </c>
      <c r="D1903" s="2" t="s">
        <v>32</v>
      </c>
      <c r="E1903" s="7" t="s">
        <v>1402</v>
      </c>
      <c r="F1903" s="37">
        <v>42464.583333333336</v>
      </c>
      <c r="G1903" s="37">
        <v>42464.65625</v>
      </c>
      <c r="H1903" s="1" t="s">
        <v>6</v>
      </c>
      <c r="I1903" s="1" t="s">
        <v>38</v>
      </c>
      <c r="J1903" s="1">
        <v>42464.697442129633</v>
      </c>
      <c r="K1903" s="1" t="s">
        <v>171</v>
      </c>
      <c r="L1903" s="14">
        <f>24*(TblTimeSheet[[#This Row],[End Date and Time]]-TblTimeSheet[[#This Row],[Start Date and Time]])</f>
        <v>1.7499999999417923</v>
      </c>
      <c r="M19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3" s="14">
        <f>--(0&gt;(TblTimeSheet[[#This Row],[End Date and Time]]-TblTimeSheet[[#This Row],[Start Date and Time]]))</f>
        <v>0</v>
      </c>
    </row>
    <row r="1904" spans="1:14" x14ac:dyDescent="0.25">
      <c r="A1904" s="1"/>
      <c r="B1904" s="2" t="s">
        <v>917</v>
      </c>
      <c r="C1904" s="2" t="s">
        <v>41</v>
      </c>
      <c r="D1904" s="2" t="s">
        <v>32</v>
      </c>
      <c r="E1904" s="7" t="s">
        <v>3028</v>
      </c>
      <c r="F1904" s="37">
        <v>42464.666666666664</v>
      </c>
      <c r="G1904" s="37">
        <v>42464.697916666664</v>
      </c>
      <c r="H1904" s="1" t="s">
        <v>6</v>
      </c>
      <c r="I1904" s="1" t="s">
        <v>38</v>
      </c>
      <c r="J1904" s="1">
        <v>42464.723182870373</v>
      </c>
      <c r="K1904" s="1" t="s">
        <v>41</v>
      </c>
      <c r="L1904" s="14">
        <f>24*(TblTimeSheet[[#This Row],[End Date and Time]]-TblTimeSheet[[#This Row],[Start Date and Time]])</f>
        <v>0.75</v>
      </c>
      <c r="M19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4" s="14">
        <f>--(0&gt;(TblTimeSheet[[#This Row],[End Date and Time]]-TblTimeSheet[[#This Row],[Start Date and Time]]))</f>
        <v>0</v>
      </c>
    </row>
    <row r="1905" spans="1:14" x14ac:dyDescent="0.25">
      <c r="A1905" s="1"/>
      <c r="B1905" s="2" t="s">
        <v>2870</v>
      </c>
      <c r="C1905" s="2" t="s">
        <v>1105</v>
      </c>
      <c r="D1905" s="2" t="s">
        <v>32</v>
      </c>
      <c r="E1905" s="7" t="s">
        <v>3029</v>
      </c>
      <c r="F1905" s="37">
        <v>42464.725694444445</v>
      </c>
      <c r="G1905" s="37">
        <v>42464.732638888891</v>
      </c>
      <c r="H1905" s="1" t="s">
        <v>6</v>
      </c>
      <c r="I1905" s="1" t="s">
        <v>38</v>
      </c>
      <c r="J1905" s="1">
        <v>42464.734143518515</v>
      </c>
      <c r="K1905" s="1" t="s">
        <v>2864</v>
      </c>
      <c r="L1905" s="14">
        <f>24*(TblTimeSheet[[#This Row],[End Date and Time]]-TblTimeSheet[[#This Row],[Start Date and Time]])</f>
        <v>0.16666666668606922</v>
      </c>
      <c r="M19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5" s="14">
        <f>--(0&gt;(TblTimeSheet[[#This Row],[End Date and Time]]-TblTimeSheet[[#This Row],[Start Date and Time]]))</f>
        <v>0</v>
      </c>
    </row>
    <row r="1906" spans="1:14" x14ac:dyDescent="0.25">
      <c r="A1906" s="1"/>
      <c r="B1906" s="2" t="s">
        <v>917</v>
      </c>
      <c r="C1906" s="2" t="s">
        <v>171</v>
      </c>
      <c r="D1906" s="2" t="s">
        <v>32</v>
      </c>
      <c r="E1906" s="7" t="s">
        <v>1402</v>
      </c>
      <c r="F1906" s="37">
        <v>42465.375</v>
      </c>
      <c r="G1906" s="37">
        <v>42465.447916666664</v>
      </c>
      <c r="H1906" s="1" t="s">
        <v>6</v>
      </c>
      <c r="I1906" s="1" t="s">
        <v>38</v>
      </c>
      <c r="J1906" s="1">
        <v>42465.599768518521</v>
      </c>
      <c r="K1906" s="1" t="s">
        <v>171</v>
      </c>
      <c r="L1906" s="14">
        <f>24*(TblTimeSheet[[#This Row],[End Date and Time]]-TblTimeSheet[[#This Row],[Start Date and Time]])</f>
        <v>1.7499999999417923</v>
      </c>
      <c r="M19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6" s="14">
        <f>--(0&gt;(TblTimeSheet[[#This Row],[End Date and Time]]-TblTimeSheet[[#This Row],[Start Date and Time]]))</f>
        <v>0</v>
      </c>
    </row>
    <row r="1907" spans="1:14" x14ac:dyDescent="0.25">
      <c r="A1907" s="1"/>
      <c r="B1907" s="2" t="s">
        <v>2872</v>
      </c>
      <c r="C1907" s="2" t="s">
        <v>118</v>
      </c>
      <c r="D1907" s="2" t="s">
        <v>19</v>
      </c>
      <c r="E1907" s="7" t="s">
        <v>3682</v>
      </c>
      <c r="F1907" s="37">
        <v>42465.652777777781</v>
      </c>
      <c r="G1907" s="37">
        <v>42465.659722222219</v>
      </c>
      <c r="H1907" s="1" t="s">
        <v>6</v>
      </c>
      <c r="I1907" s="1" t="s">
        <v>38</v>
      </c>
      <c r="J1907" s="1">
        <v>42465.678703703707</v>
      </c>
      <c r="K1907" s="1" t="s">
        <v>118</v>
      </c>
      <c r="L1907" s="14">
        <f>24*(TblTimeSheet[[#This Row],[End Date and Time]]-TblTimeSheet[[#This Row],[Start Date and Time]])</f>
        <v>0.16666666651144624</v>
      </c>
      <c r="M19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7" s="14">
        <f>--(0&gt;(TblTimeSheet[[#This Row],[End Date and Time]]-TblTimeSheet[[#This Row],[Start Date and Time]]))</f>
        <v>0</v>
      </c>
    </row>
    <row r="1908" spans="1:14" x14ac:dyDescent="0.25">
      <c r="A1908" s="1"/>
      <c r="B1908" s="2" t="s">
        <v>915</v>
      </c>
      <c r="C1908" s="2" t="s">
        <v>171</v>
      </c>
      <c r="D1908" s="2" t="s">
        <v>32</v>
      </c>
      <c r="E1908" s="7" t="s">
        <v>3683</v>
      </c>
      <c r="F1908" s="37">
        <v>42465.479166666664</v>
      </c>
      <c r="G1908" s="37">
        <v>42465.541666666664</v>
      </c>
      <c r="H1908" s="1" t="s">
        <v>6</v>
      </c>
      <c r="I1908" s="1" t="s">
        <v>38</v>
      </c>
      <c r="J1908" s="1">
        <v>42465.698483796295</v>
      </c>
      <c r="K1908" s="1" t="s">
        <v>171</v>
      </c>
      <c r="L1908" s="14">
        <f>24*(TblTimeSheet[[#This Row],[End Date and Time]]-TblTimeSheet[[#This Row],[Start Date and Time]])</f>
        <v>1.5</v>
      </c>
      <c r="M19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8" s="14">
        <f>--(0&gt;(TblTimeSheet[[#This Row],[End Date and Time]]-TblTimeSheet[[#This Row],[Start Date and Time]]))</f>
        <v>0</v>
      </c>
    </row>
    <row r="1909" spans="1:14" x14ac:dyDescent="0.25">
      <c r="A1909" s="1"/>
      <c r="B1909" s="2" t="s">
        <v>915</v>
      </c>
      <c r="C1909" s="2" t="s">
        <v>171</v>
      </c>
      <c r="D1909" s="2" t="s">
        <v>32</v>
      </c>
      <c r="E1909" s="7" t="s">
        <v>3684</v>
      </c>
      <c r="F1909" s="37">
        <v>42465.604166666664</v>
      </c>
      <c r="G1909" s="37">
        <v>42465.625</v>
      </c>
      <c r="H1909" s="1" t="s">
        <v>6</v>
      </c>
      <c r="I1909" s="1" t="s">
        <v>38</v>
      </c>
      <c r="J1909" s="1">
        <v>42465.703750000001</v>
      </c>
      <c r="K1909" s="1" t="s">
        <v>171</v>
      </c>
      <c r="L1909" s="14">
        <f>24*(TblTimeSheet[[#This Row],[End Date and Time]]-TblTimeSheet[[#This Row],[Start Date and Time]])</f>
        <v>0.50000000005820766</v>
      </c>
      <c r="M19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09" s="14">
        <f>--(0&gt;(TblTimeSheet[[#This Row],[End Date and Time]]-TblTimeSheet[[#This Row],[Start Date and Time]]))</f>
        <v>0</v>
      </c>
    </row>
    <row r="1910" spans="1:14" x14ac:dyDescent="0.25">
      <c r="A1910" s="1"/>
      <c r="B1910" s="2" t="s">
        <v>915</v>
      </c>
      <c r="C1910" s="2" t="s">
        <v>171</v>
      </c>
      <c r="D1910" s="2" t="s">
        <v>32</v>
      </c>
      <c r="E1910" s="7" t="s">
        <v>3685</v>
      </c>
      <c r="F1910" s="37">
        <v>42465.625</v>
      </c>
      <c r="G1910" s="37">
        <v>42465.701388888891</v>
      </c>
      <c r="H1910" s="1" t="s">
        <v>6</v>
      </c>
      <c r="I1910" s="1" t="s">
        <v>38</v>
      </c>
      <c r="J1910" s="1">
        <v>42465.704467592594</v>
      </c>
      <c r="K1910" s="1" t="s">
        <v>171</v>
      </c>
      <c r="L1910" s="14">
        <f>24*(TblTimeSheet[[#This Row],[End Date and Time]]-TblTimeSheet[[#This Row],[Start Date and Time]])</f>
        <v>1.8333333333721384</v>
      </c>
      <c r="M19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0" s="14">
        <f>--(0&gt;(TblTimeSheet[[#This Row],[End Date and Time]]-TblTimeSheet[[#This Row],[Start Date and Time]]))</f>
        <v>0</v>
      </c>
    </row>
    <row r="1911" spans="1:14" x14ac:dyDescent="0.25">
      <c r="A1911" s="1"/>
      <c r="B1911" s="2" t="s">
        <v>2872</v>
      </c>
      <c r="C1911" s="2" t="s">
        <v>41</v>
      </c>
      <c r="D1911" s="2" t="s">
        <v>19</v>
      </c>
      <c r="E1911" s="7" t="s">
        <v>1209</v>
      </c>
      <c r="F1911" s="37">
        <v>42465.652777777781</v>
      </c>
      <c r="G1911" s="37">
        <v>42465.659722222219</v>
      </c>
      <c r="H1911" s="1" t="s">
        <v>6</v>
      </c>
      <c r="I1911" s="1" t="s">
        <v>38</v>
      </c>
      <c r="J1911" s="1">
        <v>42465.754247685189</v>
      </c>
      <c r="K1911" s="1" t="s">
        <v>41</v>
      </c>
      <c r="L1911" s="14">
        <f>24*(TblTimeSheet[[#This Row],[End Date and Time]]-TblTimeSheet[[#This Row],[Start Date and Time]])</f>
        <v>0.16666666651144624</v>
      </c>
      <c r="M19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1" s="14">
        <f>--(0&gt;(TblTimeSheet[[#This Row],[End Date and Time]]-TblTimeSheet[[#This Row],[Start Date and Time]]))</f>
        <v>0</v>
      </c>
    </row>
    <row r="1912" spans="1:14" x14ac:dyDescent="0.25">
      <c r="A1912" s="1"/>
      <c r="B1912" s="2" t="s">
        <v>2870</v>
      </c>
      <c r="C1912" s="2" t="s">
        <v>41</v>
      </c>
      <c r="D1912" s="2" t="s">
        <v>32</v>
      </c>
      <c r="E1912" s="7" t="s">
        <v>3030</v>
      </c>
      <c r="F1912" s="37">
        <v>42465.583333333336</v>
      </c>
      <c r="G1912" s="37">
        <v>42465.600694444445</v>
      </c>
      <c r="H1912" s="1" t="s">
        <v>6</v>
      </c>
      <c r="I1912" s="1" t="s">
        <v>38</v>
      </c>
      <c r="J1912" s="1">
        <v>42465.779780092591</v>
      </c>
      <c r="K1912" s="1" t="s">
        <v>41</v>
      </c>
      <c r="L1912" s="14">
        <f>24*(TblTimeSheet[[#This Row],[End Date and Time]]-TblTimeSheet[[#This Row],[Start Date and Time]])</f>
        <v>0.41666666662786156</v>
      </c>
      <c r="M19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2" s="14">
        <f>--(0&gt;(TblTimeSheet[[#This Row],[End Date and Time]]-TblTimeSheet[[#This Row],[Start Date and Time]]))</f>
        <v>0</v>
      </c>
    </row>
    <row r="1913" spans="1:14" x14ac:dyDescent="0.25">
      <c r="A1913" s="1"/>
      <c r="B1913" s="2" t="s">
        <v>2872</v>
      </c>
      <c r="C1913" s="2" t="s">
        <v>116</v>
      </c>
      <c r="D1913" s="2" t="s">
        <v>19</v>
      </c>
      <c r="E1913" s="7" t="s">
        <v>3031</v>
      </c>
      <c r="F1913" s="37">
        <v>42465.645833333336</v>
      </c>
      <c r="G1913" s="37">
        <v>42465.652777777781</v>
      </c>
      <c r="H1913" s="1" t="s">
        <v>6</v>
      </c>
      <c r="I1913" s="1" t="s">
        <v>38</v>
      </c>
      <c r="J1913" s="1">
        <v>42465.764618055553</v>
      </c>
      <c r="K1913" s="1" t="s">
        <v>39</v>
      </c>
      <c r="L1913" s="14">
        <f>24*(TblTimeSheet[[#This Row],[End Date and Time]]-TblTimeSheet[[#This Row],[Start Date and Time]])</f>
        <v>0.16666666668606922</v>
      </c>
      <c r="M19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3" s="14">
        <f>--(0&gt;(TblTimeSheet[[#This Row],[End Date and Time]]-TblTimeSheet[[#This Row],[Start Date and Time]]))</f>
        <v>0</v>
      </c>
    </row>
    <row r="1914" spans="1:14" x14ac:dyDescent="0.25">
      <c r="A1914" s="1"/>
      <c r="B1914" s="2" t="s">
        <v>2870</v>
      </c>
      <c r="C1914" s="2" t="s">
        <v>41</v>
      </c>
      <c r="D1914" s="2" t="s">
        <v>32</v>
      </c>
      <c r="E1914" s="7" t="s">
        <v>3686</v>
      </c>
      <c r="F1914" s="37">
        <v>42464.725694444445</v>
      </c>
      <c r="G1914" s="37">
        <v>42464.732638888891</v>
      </c>
      <c r="H1914" s="1" t="s">
        <v>6</v>
      </c>
      <c r="I1914" s="1" t="s">
        <v>38</v>
      </c>
      <c r="J1914" s="1">
        <v>42465.780173611114</v>
      </c>
      <c r="K1914" s="1" t="s">
        <v>41</v>
      </c>
      <c r="L1914" s="14">
        <f>24*(TblTimeSheet[[#This Row],[End Date and Time]]-TblTimeSheet[[#This Row],[Start Date and Time]])</f>
        <v>0.16666666668606922</v>
      </c>
      <c r="M19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4" s="14">
        <f>--(0&gt;(TblTimeSheet[[#This Row],[End Date and Time]]-TblTimeSheet[[#This Row],[Start Date and Time]]))</f>
        <v>0</v>
      </c>
    </row>
    <row r="1915" spans="1:14" x14ac:dyDescent="0.25">
      <c r="A1915" s="1"/>
      <c r="B1915" s="2" t="s">
        <v>915</v>
      </c>
      <c r="C1915" s="2" t="s">
        <v>116</v>
      </c>
      <c r="D1915" s="2" t="s">
        <v>32</v>
      </c>
      <c r="E1915" s="7" t="s">
        <v>3032</v>
      </c>
      <c r="F1915" s="37">
        <v>42465.604166666664</v>
      </c>
      <c r="G1915" s="37">
        <v>42465.625</v>
      </c>
      <c r="H1915" s="1" t="s">
        <v>6</v>
      </c>
      <c r="I1915" s="1" t="s">
        <v>38</v>
      </c>
      <c r="J1915" s="1">
        <v>42466.383379629631</v>
      </c>
      <c r="K1915" s="1" t="s">
        <v>39</v>
      </c>
      <c r="L1915" s="14">
        <f>24*(TblTimeSheet[[#This Row],[End Date and Time]]-TblTimeSheet[[#This Row],[Start Date and Time]])</f>
        <v>0.50000000005820766</v>
      </c>
      <c r="M19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5" s="14">
        <f>--(0&gt;(TblTimeSheet[[#This Row],[End Date and Time]]-TblTimeSheet[[#This Row],[Start Date and Time]]))</f>
        <v>0</v>
      </c>
    </row>
    <row r="1916" spans="1:14" x14ac:dyDescent="0.25">
      <c r="A1916" s="1"/>
      <c r="B1916" s="2" t="s">
        <v>915</v>
      </c>
      <c r="C1916" s="2" t="s">
        <v>78</v>
      </c>
      <c r="D1916" s="2" t="s">
        <v>32</v>
      </c>
      <c r="E1916" s="7" t="s">
        <v>3033</v>
      </c>
      <c r="F1916" s="37">
        <v>42466.402777777781</v>
      </c>
      <c r="G1916" s="37">
        <v>42466.409722222219</v>
      </c>
      <c r="H1916" s="1" t="s">
        <v>6</v>
      </c>
      <c r="I1916" s="1" t="s">
        <v>38</v>
      </c>
      <c r="J1916" s="1">
        <v>42466.410243055558</v>
      </c>
      <c r="K1916" s="1" t="s">
        <v>78</v>
      </c>
      <c r="L1916" s="14">
        <f>24*(TblTimeSheet[[#This Row],[End Date and Time]]-TblTimeSheet[[#This Row],[Start Date and Time]])</f>
        <v>0.16666666651144624</v>
      </c>
      <c r="M19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6" s="14">
        <f>--(0&gt;(TblTimeSheet[[#This Row],[End Date and Time]]-TblTimeSheet[[#This Row],[Start Date and Time]]))</f>
        <v>0</v>
      </c>
    </row>
    <row r="1917" spans="1:14" x14ac:dyDescent="0.25">
      <c r="A1917" s="1"/>
      <c r="B1917" s="2" t="s">
        <v>915</v>
      </c>
      <c r="C1917" s="2" t="s">
        <v>116</v>
      </c>
      <c r="D1917" s="2" t="s">
        <v>32</v>
      </c>
      <c r="E1917" s="7" t="s">
        <v>3034</v>
      </c>
      <c r="F1917" s="37">
        <v>42466.395833333336</v>
      </c>
      <c r="G1917" s="37">
        <v>42466.409722222219</v>
      </c>
      <c r="H1917" s="1" t="s">
        <v>6</v>
      </c>
      <c r="I1917" s="1" t="s">
        <v>38</v>
      </c>
      <c r="J1917" s="1">
        <v>42466.410613425927</v>
      </c>
      <c r="K1917" s="1" t="s">
        <v>701</v>
      </c>
      <c r="L1917" s="14">
        <f>24*(TblTimeSheet[[#This Row],[End Date and Time]]-TblTimeSheet[[#This Row],[Start Date and Time]])</f>
        <v>0.33333333319751546</v>
      </c>
      <c r="M19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7" s="14">
        <f>--(0&gt;(TblTimeSheet[[#This Row],[End Date and Time]]-TblTimeSheet[[#This Row],[Start Date and Time]]))</f>
        <v>0</v>
      </c>
    </row>
    <row r="1918" spans="1:14" x14ac:dyDescent="0.25">
      <c r="A1918" s="1"/>
      <c r="B1918" s="2" t="s">
        <v>917</v>
      </c>
      <c r="C1918" s="2" t="s">
        <v>43</v>
      </c>
      <c r="D1918" s="2" t="s">
        <v>32</v>
      </c>
      <c r="E1918" s="7" t="s">
        <v>3687</v>
      </c>
      <c r="F1918" s="37">
        <v>42466.385416666664</v>
      </c>
      <c r="G1918" s="37">
        <v>42466.40625</v>
      </c>
      <c r="H1918" s="1" t="s">
        <v>6</v>
      </c>
      <c r="I1918" s="1" t="s">
        <v>38</v>
      </c>
      <c r="J1918" s="1">
        <v>42466.412743055553</v>
      </c>
      <c r="K1918" s="1" t="s">
        <v>43</v>
      </c>
      <c r="L1918" s="14">
        <f>24*(TblTimeSheet[[#This Row],[End Date and Time]]-TblTimeSheet[[#This Row],[Start Date and Time]])</f>
        <v>0.50000000005820766</v>
      </c>
      <c r="M19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8" s="14">
        <f>--(0&gt;(TblTimeSheet[[#This Row],[End Date and Time]]-TblTimeSheet[[#This Row],[Start Date and Time]]))</f>
        <v>0</v>
      </c>
    </row>
    <row r="1919" spans="1:14" x14ac:dyDescent="0.25">
      <c r="A1919" s="1"/>
      <c r="B1919" s="2" t="s">
        <v>915</v>
      </c>
      <c r="C1919" s="2" t="s">
        <v>78</v>
      </c>
      <c r="D1919" s="2" t="s">
        <v>32</v>
      </c>
      <c r="E1919" s="7" t="s">
        <v>3035</v>
      </c>
      <c r="F1919" s="37">
        <v>42466.409722222219</v>
      </c>
      <c r="G1919" s="37">
        <v>42466.416666666664</v>
      </c>
      <c r="H1919" s="1" t="s">
        <v>6</v>
      </c>
      <c r="I1919" s="1" t="s">
        <v>38</v>
      </c>
      <c r="J1919" s="1">
        <v>42466.414305555554</v>
      </c>
      <c r="K1919" s="1" t="s">
        <v>78</v>
      </c>
      <c r="L1919" s="14">
        <f>24*(TblTimeSheet[[#This Row],[End Date and Time]]-TblTimeSheet[[#This Row],[Start Date and Time]])</f>
        <v>0.16666666668606922</v>
      </c>
      <c r="M19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19" s="14">
        <f>--(0&gt;(TblTimeSheet[[#This Row],[End Date and Time]]-TblTimeSheet[[#This Row],[Start Date and Time]]))</f>
        <v>0</v>
      </c>
    </row>
    <row r="1920" spans="1:14" x14ac:dyDescent="0.25">
      <c r="A1920" s="1"/>
      <c r="B1920" s="2" t="s">
        <v>917</v>
      </c>
      <c r="C1920" s="2" t="s">
        <v>118</v>
      </c>
      <c r="D1920" s="2" t="s">
        <v>32</v>
      </c>
      <c r="E1920" s="7" t="s">
        <v>3036</v>
      </c>
      <c r="F1920" s="37">
        <v>42466.385416666664</v>
      </c>
      <c r="G1920" s="37">
        <v>42466.40625</v>
      </c>
      <c r="H1920" s="1" t="s">
        <v>6</v>
      </c>
      <c r="I1920" s="1" t="s">
        <v>38</v>
      </c>
      <c r="J1920" s="1">
        <v>42466.417685185188</v>
      </c>
      <c r="K1920" s="1" t="s">
        <v>118</v>
      </c>
      <c r="L1920" s="14">
        <f>24*(TblTimeSheet[[#This Row],[End Date and Time]]-TblTimeSheet[[#This Row],[Start Date and Time]])</f>
        <v>0.50000000005820766</v>
      </c>
      <c r="M19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0" s="14">
        <f>--(0&gt;(TblTimeSheet[[#This Row],[End Date and Time]]-TblTimeSheet[[#This Row],[Start Date and Time]]))</f>
        <v>0</v>
      </c>
    </row>
    <row r="1921" spans="1:14" x14ac:dyDescent="0.25">
      <c r="A1921" s="1"/>
      <c r="B1921" s="2" t="s">
        <v>2872</v>
      </c>
      <c r="C1921" s="2" t="s">
        <v>36</v>
      </c>
      <c r="D1921" s="2" t="s">
        <v>19</v>
      </c>
      <c r="E1921" s="7" t="s">
        <v>3688</v>
      </c>
      <c r="F1921" s="37">
        <v>42465.652777777781</v>
      </c>
      <c r="G1921" s="37">
        <v>42465.659722222219</v>
      </c>
      <c r="H1921" s="1" t="s">
        <v>6</v>
      </c>
      <c r="I1921" s="1" t="s">
        <v>38</v>
      </c>
      <c r="J1921" s="1">
        <v>42466.419490740744</v>
      </c>
      <c r="K1921" s="1" t="s">
        <v>36</v>
      </c>
      <c r="L1921" s="14">
        <f>24*(TblTimeSheet[[#This Row],[End Date and Time]]-TblTimeSheet[[#This Row],[Start Date and Time]])</f>
        <v>0.16666666651144624</v>
      </c>
      <c r="M19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1" s="14">
        <f>--(0&gt;(TblTimeSheet[[#This Row],[End Date and Time]]-TblTimeSheet[[#This Row],[Start Date and Time]]))</f>
        <v>0</v>
      </c>
    </row>
    <row r="1922" spans="1:14" x14ac:dyDescent="0.25">
      <c r="A1922" s="1"/>
      <c r="B1922" s="2" t="s">
        <v>915</v>
      </c>
      <c r="C1922" s="2" t="s">
        <v>454</v>
      </c>
      <c r="D1922" s="2" t="s">
        <v>32</v>
      </c>
      <c r="E1922" s="7" t="s">
        <v>3037</v>
      </c>
      <c r="F1922" s="37">
        <v>42465.604166666664</v>
      </c>
      <c r="G1922" s="37">
        <v>42465.625</v>
      </c>
      <c r="H1922" s="1" t="s">
        <v>6</v>
      </c>
      <c r="I1922" s="1" t="s">
        <v>38</v>
      </c>
      <c r="J1922" s="1">
        <v>42466.420659722222</v>
      </c>
      <c r="K1922" s="1" t="s">
        <v>454</v>
      </c>
      <c r="L1922" s="14">
        <f>24*(TblTimeSheet[[#This Row],[End Date and Time]]-TblTimeSheet[[#This Row],[Start Date and Time]])</f>
        <v>0.50000000005820766</v>
      </c>
      <c r="M19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2" s="14">
        <f>--(0&gt;(TblTimeSheet[[#This Row],[End Date and Time]]-TblTimeSheet[[#This Row],[Start Date and Time]]))</f>
        <v>0</v>
      </c>
    </row>
    <row r="1923" spans="1:14" x14ac:dyDescent="0.25">
      <c r="A1923" s="1"/>
      <c r="B1923" s="2" t="s">
        <v>915</v>
      </c>
      <c r="C1923" s="2" t="s">
        <v>171</v>
      </c>
      <c r="D1923" s="2" t="s">
        <v>32</v>
      </c>
      <c r="E1923" s="7" t="s">
        <v>3689</v>
      </c>
      <c r="F1923" s="37">
        <v>42466.402777777781</v>
      </c>
      <c r="G1923" s="37">
        <v>42466.409722222219</v>
      </c>
      <c r="H1923" s="1" t="s">
        <v>6</v>
      </c>
      <c r="I1923" s="1" t="s">
        <v>38</v>
      </c>
      <c r="J1923" s="1">
        <v>42466.425555555557</v>
      </c>
      <c r="K1923" s="1" t="s">
        <v>171</v>
      </c>
      <c r="L1923" s="14">
        <f>24*(TblTimeSheet[[#This Row],[End Date and Time]]-TblTimeSheet[[#This Row],[Start Date and Time]])</f>
        <v>0.16666666651144624</v>
      </c>
      <c r="M19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3" s="14">
        <f>--(0&gt;(TblTimeSheet[[#This Row],[End Date and Time]]-TblTimeSheet[[#This Row],[Start Date and Time]]))</f>
        <v>0</v>
      </c>
    </row>
    <row r="1924" spans="1:14" x14ac:dyDescent="0.25">
      <c r="A1924" s="1"/>
      <c r="B1924" s="2" t="s">
        <v>915</v>
      </c>
      <c r="C1924" s="2" t="s">
        <v>171</v>
      </c>
      <c r="D1924" s="2" t="s">
        <v>32</v>
      </c>
      <c r="E1924" s="7" t="s">
        <v>3689</v>
      </c>
      <c r="F1924" s="37">
        <v>42466.409722222219</v>
      </c>
      <c r="G1924" s="37">
        <v>42466.416666666664</v>
      </c>
      <c r="H1924" s="1" t="s">
        <v>6</v>
      </c>
      <c r="I1924" s="1" t="s">
        <v>38</v>
      </c>
      <c r="J1924" s="1">
        <v>42466.426238425927</v>
      </c>
      <c r="K1924" s="1" t="s">
        <v>171</v>
      </c>
      <c r="L1924" s="14">
        <f>24*(TblTimeSheet[[#This Row],[End Date and Time]]-TblTimeSheet[[#This Row],[Start Date and Time]])</f>
        <v>0.16666666668606922</v>
      </c>
      <c r="M19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4" s="14">
        <f>--(0&gt;(TblTimeSheet[[#This Row],[End Date and Time]]-TblTimeSheet[[#This Row],[Start Date and Time]]))</f>
        <v>0</v>
      </c>
    </row>
    <row r="1925" spans="1:14" ht="30" x14ac:dyDescent="0.25">
      <c r="A1925" s="1"/>
      <c r="B1925" s="2" t="s">
        <v>915</v>
      </c>
      <c r="C1925" s="2" t="s">
        <v>171</v>
      </c>
      <c r="D1925" s="2" t="s">
        <v>32</v>
      </c>
      <c r="E1925" s="7" t="s">
        <v>3690</v>
      </c>
      <c r="F1925" s="37">
        <v>42466.416666666664</v>
      </c>
      <c r="G1925" s="37">
        <v>42466.420138888891</v>
      </c>
      <c r="H1925" s="1" t="s">
        <v>6</v>
      </c>
      <c r="I1925" s="1" t="s">
        <v>38</v>
      </c>
      <c r="J1925" s="1">
        <v>42466.42869212963</v>
      </c>
      <c r="K1925" s="1" t="s">
        <v>171</v>
      </c>
      <c r="L1925" s="14">
        <f>24*(TblTimeSheet[[#This Row],[End Date and Time]]-TblTimeSheet[[#This Row],[Start Date and Time]])</f>
        <v>8.3333333430346102E-2</v>
      </c>
      <c r="M19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5" s="14">
        <f>--(0&gt;(TblTimeSheet[[#This Row],[End Date and Time]]-TblTimeSheet[[#This Row],[Start Date and Time]]))</f>
        <v>0</v>
      </c>
    </row>
    <row r="1926" spans="1:14" x14ac:dyDescent="0.25">
      <c r="A1926" s="1"/>
      <c r="B1926" s="2" t="s">
        <v>917</v>
      </c>
      <c r="C1926" s="2" t="s">
        <v>78</v>
      </c>
      <c r="D1926" s="2" t="s">
        <v>32</v>
      </c>
      <c r="E1926" s="7" t="s">
        <v>3038</v>
      </c>
      <c r="F1926" s="37">
        <v>42466.423611111109</v>
      </c>
      <c r="G1926" s="37">
        <v>42466.434027777781</v>
      </c>
      <c r="H1926" s="1" t="s">
        <v>6</v>
      </c>
      <c r="I1926" s="1" t="s">
        <v>38</v>
      </c>
      <c r="J1926" s="1">
        <v>42466.43304398148</v>
      </c>
      <c r="K1926" s="1" t="s">
        <v>78</v>
      </c>
      <c r="L1926" s="14">
        <f>24*(TblTimeSheet[[#This Row],[End Date and Time]]-TblTimeSheet[[#This Row],[Start Date and Time]])</f>
        <v>0.25000000011641532</v>
      </c>
      <c r="M19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6" s="14">
        <f>--(0&gt;(TblTimeSheet[[#This Row],[End Date and Time]]-TblTimeSheet[[#This Row],[Start Date and Time]]))</f>
        <v>0</v>
      </c>
    </row>
    <row r="1927" spans="1:14" x14ac:dyDescent="0.25">
      <c r="A1927" s="1"/>
      <c r="B1927" s="2" t="s">
        <v>917</v>
      </c>
      <c r="C1927" s="2" t="s">
        <v>171</v>
      </c>
      <c r="D1927" s="2" t="s">
        <v>32</v>
      </c>
      <c r="E1927" s="7" t="s">
        <v>3691</v>
      </c>
      <c r="F1927" s="37">
        <v>42466.423611111109</v>
      </c>
      <c r="G1927" s="37">
        <v>42466.434027777781</v>
      </c>
      <c r="H1927" s="1" t="s">
        <v>6</v>
      </c>
      <c r="I1927" s="1" t="s">
        <v>38</v>
      </c>
      <c r="J1927" s="1">
        <v>42466.493310185186</v>
      </c>
      <c r="K1927" s="1" t="s">
        <v>171</v>
      </c>
      <c r="L1927" s="14">
        <f>24*(TblTimeSheet[[#This Row],[End Date and Time]]-TblTimeSheet[[#This Row],[Start Date and Time]])</f>
        <v>0.25000000011641532</v>
      </c>
      <c r="M19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7" s="14">
        <f>--(0&gt;(TblTimeSheet[[#This Row],[End Date and Time]]-TblTimeSheet[[#This Row],[Start Date and Time]]))</f>
        <v>0</v>
      </c>
    </row>
    <row r="1928" spans="1:14" x14ac:dyDescent="0.25">
      <c r="A1928" s="1"/>
      <c r="B1928" s="2" t="s">
        <v>917</v>
      </c>
      <c r="C1928" s="2" t="s">
        <v>171</v>
      </c>
      <c r="D1928" s="2" t="s">
        <v>32</v>
      </c>
      <c r="E1928" s="7" t="s">
        <v>3692</v>
      </c>
      <c r="F1928" s="37">
        <v>42466.458333333336</v>
      </c>
      <c r="G1928" s="37">
        <v>42466.472222222219</v>
      </c>
      <c r="H1928" s="1" t="s">
        <v>6</v>
      </c>
      <c r="I1928" s="1" t="s">
        <v>38</v>
      </c>
      <c r="J1928" s="1">
        <v>42466.495451388888</v>
      </c>
      <c r="K1928" s="1" t="s">
        <v>171</v>
      </c>
      <c r="L1928" s="14">
        <f>24*(TblTimeSheet[[#This Row],[End Date and Time]]-TblTimeSheet[[#This Row],[Start Date and Time]])</f>
        <v>0.33333333319751546</v>
      </c>
      <c r="M19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8" s="14">
        <f>--(0&gt;(TblTimeSheet[[#This Row],[End Date and Time]]-TblTimeSheet[[#This Row],[Start Date and Time]]))</f>
        <v>0</v>
      </c>
    </row>
    <row r="1929" spans="1:14" x14ac:dyDescent="0.25">
      <c r="A1929" s="1"/>
      <c r="B1929" s="2" t="s">
        <v>917</v>
      </c>
      <c r="C1929" s="2" t="s">
        <v>118</v>
      </c>
      <c r="D1929" s="2" t="s">
        <v>32</v>
      </c>
      <c r="E1929" s="7" t="s">
        <v>3039</v>
      </c>
      <c r="F1929" s="37">
        <v>42466.4375</v>
      </c>
      <c r="G1929" s="37">
        <v>42466.447916666664</v>
      </c>
      <c r="H1929" s="1" t="s">
        <v>6</v>
      </c>
      <c r="I1929" s="1" t="s">
        <v>38</v>
      </c>
      <c r="J1929" s="1">
        <v>42466.495844907404</v>
      </c>
      <c r="K1929" s="1" t="s">
        <v>118</v>
      </c>
      <c r="L1929" s="14">
        <f>24*(TblTimeSheet[[#This Row],[End Date and Time]]-TblTimeSheet[[#This Row],[Start Date and Time]])</f>
        <v>0.24999999994179234</v>
      </c>
      <c r="M19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29" s="14">
        <f>--(0&gt;(TblTimeSheet[[#This Row],[End Date and Time]]-TblTimeSheet[[#This Row],[Start Date and Time]]))</f>
        <v>0</v>
      </c>
    </row>
    <row r="1930" spans="1:14" x14ac:dyDescent="0.25">
      <c r="A1930" s="1"/>
      <c r="B1930" s="2" t="s">
        <v>2872</v>
      </c>
      <c r="C1930" s="2" t="s">
        <v>1061</v>
      </c>
      <c r="D1930" s="2" t="s">
        <v>19</v>
      </c>
      <c r="E1930" s="7" t="s">
        <v>3040</v>
      </c>
      <c r="F1930" s="37">
        <v>42465.652777777781</v>
      </c>
      <c r="G1930" s="37">
        <v>42465.659722222219</v>
      </c>
      <c r="H1930" s="1" t="s">
        <v>6</v>
      </c>
      <c r="I1930" s="1" t="s">
        <v>38</v>
      </c>
      <c r="J1930" s="1">
        <v>42466.606574074074</v>
      </c>
      <c r="K1930" s="1" t="s">
        <v>1061</v>
      </c>
      <c r="L1930" s="14">
        <f>24*(TblTimeSheet[[#This Row],[End Date and Time]]-TblTimeSheet[[#This Row],[Start Date and Time]])</f>
        <v>0.16666666651144624</v>
      </c>
      <c r="M19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0" s="14">
        <f>--(0&gt;(TblTimeSheet[[#This Row],[End Date and Time]]-TblTimeSheet[[#This Row],[Start Date and Time]]))</f>
        <v>0</v>
      </c>
    </row>
    <row r="1931" spans="1:14" x14ac:dyDescent="0.25">
      <c r="A1931" s="1"/>
      <c r="B1931" s="2" t="s">
        <v>915</v>
      </c>
      <c r="C1931" s="2" t="s">
        <v>116</v>
      </c>
      <c r="D1931" s="2" t="s">
        <v>32</v>
      </c>
      <c r="E1931" s="7" t="s">
        <v>3041</v>
      </c>
      <c r="F1931" s="37">
        <v>42466.444444444445</v>
      </c>
      <c r="G1931" s="37">
        <v>42466.548611111109</v>
      </c>
      <c r="H1931" s="1" t="s">
        <v>6</v>
      </c>
      <c r="I1931" s="1" t="s">
        <v>38</v>
      </c>
      <c r="J1931" s="1">
        <v>42466.611979166664</v>
      </c>
      <c r="K1931" s="1" t="s">
        <v>701</v>
      </c>
      <c r="L1931" s="14">
        <f>24*(TblTimeSheet[[#This Row],[End Date and Time]]-TblTimeSheet[[#This Row],[Start Date and Time]])</f>
        <v>2.4999999999417923</v>
      </c>
      <c r="M19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31" s="14">
        <f>--(0&gt;(TblTimeSheet[[#This Row],[End Date and Time]]-TblTimeSheet[[#This Row],[Start Date and Time]]))</f>
        <v>0</v>
      </c>
    </row>
    <row r="1932" spans="1:14" x14ac:dyDescent="0.25">
      <c r="A1932" s="1"/>
      <c r="B1932" s="2" t="s">
        <v>915</v>
      </c>
      <c r="C1932" s="2" t="s">
        <v>116</v>
      </c>
      <c r="D1932" s="2" t="s">
        <v>32</v>
      </c>
      <c r="E1932" s="7" t="s">
        <v>3042</v>
      </c>
      <c r="F1932" s="37">
        <v>42466.444444444445</v>
      </c>
      <c r="G1932" s="37">
        <v>42466.548611111109</v>
      </c>
      <c r="H1932" s="1" t="s">
        <v>6</v>
      </c>
      <c r="I1932" s="1" t="s">
        <v>38</v>
      </c>
      <c r="J1932" s="1">
        <v>42466.612060185187</v>
      </c>
      <c r="K1932" s="1" t="s">
        <v>81</v>
      </c>
      <c r="L1932" s="14">
        <f>24*(TblTimeSheet[[#This Row],[End Date and Time]]-TblTimeSheet[[#This Row],[Start Date and Time]])</f>
        <v>2.4999999999417923</v>
      </c>
      <c r="M19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32" s="14">
        <f>--(0&gt;(TblTimeSheet[[#This Row],[End Date and Time]]-TblTimeSheet[[#This Row],[Start Date and Time]]))</f>
        <v>0</v>
      </c>
    </row>
    <row r="1933" spans="1:14" x14ac:dyDescent="0.25">
      <c r="A1933" s="1"/>
      <c r="B1933" s="2" t="s">
        <v>915</v>
      </c>
      <c r="C1933" s="2" t="s">
        <v>116</v>
      </c>
      <c r="D1933" s="2" t="s">
        <v>32</v>
      </c>
      <c r="E1933" s="7" t="s">
        <v>3043</v>
      </c>
      <c r="F1933" s="37">
        <v>42466.635416666664</v>
      </c>
      <c r="G1933" s="37">
        <v>42466.65625</v>
      </c>
      <c r="H1933" s="1" t="s">
        <v>6</v>
      </c>
      <c r="I1933" s="1" t="s">
        <v>38</v>
      </c>
      <c r="J1933" s="1">
        <v>42466.67633101852</v>
      </c>
      <c r="K1933" s="1" t="s">
        <v>701</v>
      </c>
      <c r="L1933" s="14">
        <f>24*(TblTimeSheet[[#This Row],[End Date and Time]]-TblTimeSheet[[#This Row],[Start Date and Time]])</f>
        <v>0.50000000005820766</v>
      </c>
      <c r="M19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3" s="14">
        <f>--(0&gt;(TblTimeSheet[[#This Row],[End Date and Time]]-TblTimeSheet[[#This Row],[Start Date and Time]]))</f>
        <v>0</v>
      </c>
    </row>
    <row r="1934" spans="1:14" x14ac:dyDescent="0.25">
      <c r="A1934" s="1"/>
      <c r="B1934" s="2" t="s">
        <v>915</v>
      </c>
      <c r="C1934" s="2" t="s">
        <v>116</v>
      </c>
      <c r="D1934" s="2" t="s">
        <v>32</v>
      </c>
      <c r="E1934" s="7" t="s">
        <v>1663</v>
      </c>
      <c r="F1934" s="37">
        <v>42466.659722222219</v>
      </c>
      <c r="G1934" s="37">
        <v>42466.673611111109</v>
      </c>
      <c r="H1934" s="1" t="s">
        <v>6</v>
      </c>
      <c r="I1934" s="1" t="s">
        <v>38</v>
      </c>
      <c r="J1934" s="1">
        <v>42466.67695601852</v>
      </c>
      <c r="K1934" s="1" t="s">
        <v>701</v>
      </c>
      <c r="L1934" s="14">
        <f>24*(TblTimeSheet[[#This Row],[End Date and Time]]-TblTimeSheet[[#This Row],[Start Date and Time]])</f>
        <v>0.33333333337213844</v>
      </c>
      <c r="M19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4" s="14">
        <f>--(0&gt;(TblTimeSheet[[#This Row],[End Date and Time]]-TblTimeSheet[[#This Row],[Start Date and Time]]))</f>
        <v>0</v>
      </c>
    </row>
    <row r="1935" spans="1:14" x14ac:dyDescent="0.25">
      <c r="A1935" s="1"/>
      <c r="B1935" s="2" t="s">
        <v>2870</v>
      </c>
      <c r="C1935" s="2" t="s">
        <v>41</v>
      </c>
      <c r="D1935" s="2" t="s">
        <v>32</v>
      </c>
      <c r="E1935" s="7" t="s">
        <v>3044</v>
      </c>
      <c r="F1935" s="37">
        <v>42466.416666666664</v>
      </c>
      <c r="G1935" s="37">
        <v>42466.458333333336</v>
      </c>
      <c r="H1935" s="1" t="s">
        <v>6</v>
      </c>
      <c r="I1935" s="1" t="s">
        <v>38</v>
      </c>
      <c r="J1935" s="1">
        <v>42466.67732638889</v>
      </c>
      <c r="K1935" s="1" t="s">
        <v>41</v>
      </c>
      <c r="L1935" s="14">
        <f>24*(TblTimeSheet[[#This Row],[End Date and Time]]-TblTimeSheet[[#This Row],[Start Date and Time]])</f>
        <v>1.0000000001164153</v>
      </c>
      <c r="M19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5" s="14">
        <f>--(0&gt;(TblTimeSheet[[#This Row],[End Date and Time]]-TblTimeSheet[[#This Row],[Start Date and Time]]))</f>
        <v>0</v>
      </c>
    </row>
    <row r="1936" spans="1:14" x14ac:dyDescent="0.25">
      <c r="A1936" s="1"/>
      <c r="B1936" s="2" t="s">
        <v>915</v>
      </c>
      <c r="C1936" s="2" t="s">
        <v>171</v>
      </c>
      <c r="D1936" s="2" t="s">
        <v>32</v>
      </c>
      <c r="E1936" s="7" t="s">
        <v>3045</v>
      </c>
      <c r="F1936" s="37">
        <v>42466.659722222219</v>
      </c>
      <c r="G1936" s="37">
        <v>42466.673611111109</v>
      </c>
      <c r="H1936" s="1" t="s">
        <v>6</v>
      </c>
      <c r="I1936" s="1" t="s">
        <v>38</v>
      </c>
      <c r="J1936" s="1">
        <v>42466.677673611113</v>
      </c>
      <c r="K1936" s="1" t="s">
        <v>171</v>
      </c>
      <c r="L1936" s="14">
        <f>24*(TblTimeSheet[[#This Row],[End Date and Time]]-TblTimeSheet[[#This Row],[Start Date and Time]])</f>
        <v>0.33333333337213844</v>
      </c>
      <c r="M19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6" s="14">
        <f>--(0&gt;(TblTimeSheet[[#This Row],[End Date and Time]]-TblTimeSheet[[#This Row],[Start Date and Time]]))</f>
        <v>0</v>
      </c>
    </row>
    <row r="1937" spans="1:14" x14ac:dyDescent="0.25">
      <c r="A1937" s="1"/>
      <c r="B1937" s="2" t="s">
        <v>2872</v>
      </c>
      <c r="C1937" s="2" t="s">
        <v>1469</v>
      </c>
      <c r="D1937" s="2" t="s">
        <v>19</v>
      </c>
      <c r="E1937" s="7" t="s">
        <v>3046</v>
      </c>
      <c r="F1937" s="37">
        <v>42465.652777777781</v>
      </c>
      <c r="G1937" s="37">
        <v>42465.659722222219</v>
      </c>
      <c r="H1937" s="1" t="s">
        <v>6</v>
      </c>
      <c r="I1937" s="1" t="s">
        <v>38</v>
      </c>
      <c r="J1937" s="1">
        <v>42468.658483796295</v>
      </c>
      <c r="K1937" s="1" t="s">
        <v>1469</v>
      </c>
      <c r="L1937" s="14">
        <f>24*(TblTimeSheet[[#This Row],[End Date and Time]]-TblTimeSheet[[#This Row],[Start Date and Time]])</f>
        <v>0.16666666651144624</v>
      </c>
      <c r="M19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7" s="14">
        <f>--(0&gt;(TblTimeSheet[[#This Row],[End Date and Time]]-TblTimeSheet[[#This Row],[Start Date and Time]]))</f>
        <v>0</v>
      </c>
    </row>
    <row r="1938" spans="1:14" x14ac:dyDescent="0.25">
      <c r="A1938" s="1"/>
      <c r="B1938" s="2" t="s">
        <v>915</v>
      </c>
      <c r="C1938" s="2" t="s">
        <v>171</v>
      </c>
      <c r="D1938" s="2" t="s">
        <v>32</v>
      </c>
      <c r="E1938" s="7" t="s">
        <v>3047</v>
      </c>
      <c r="F1938" s="37">
        <v>42466.680555555555</v>
      </c>
      <c r="G1938" s="37">
        <v>42466.694444444445</v>
      </c>
      <c r="H1938" s="1" t="s">
        <v>6</v>
      </c>
      <c r="I1938" s="1" t="s">
        <v>38</v>
      </c>
      <c r="J1938" s="1">
        <v>42466.705381944441</v>
      </c>
      <c r="K1938" s="1" t="s">
        <v>171</v>
      </c>
      <c r="L1938" s="14">
        <f>24*(TblTimeSheet[[#This Row],[End Date and Time]]-TblTimeSheet[[#This Row],[Start Date and Time]])</f>
        <v>0.33333333337213844</v>
      </c>
      <c r="M19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8" s="14">
        <f>--(0&gt;(TblTimeSheet[[#This Row],[End Date and Time]]-TblTimeSheet[[#This Row],[Start Date and Time]]))</f>
        <v>0</v>
      </c>
    </row>
    <row r="1939" spans="1:14" x14ac:dyDescent="0.25">
      <c r="A1939" s="1"/>
      <c r="B1939" s="2" t="s">
        <v>915</v>
      </c>
      <c r="C1939" s="2" t="s">
        <v>116</v>
      </c>
      <c r="D1939" s="2" t="s">
        <v>32</v>
      </c>
      <c r="E1939" s="7" t="s">
        <v>3048</v>
      </c>
      <c r="F1939" s="37">
        <v>42466.697916666664</v>
      </c>
      <c r="G1939" s="37">
        <v>42466.708333333336</v>
      </c>
      <c r="H1939" s="1" t="s">
        <v>6</v>
      </c>
      <c r="I1939" s="1" t="s">
        <v>38</v>
      </c>
      <c r="J1939" s="1">
        <v>42466.712581018517</v>
      </c>
      <c r="K1939" s="1" t="s">
        <v>701</v>
      </c>
      <c r="L1939" s="14">
        <f>24*(TblTimeSheet[[#This Row],[End Date and Time]]-TblTimeSheet[[#This Row],[Start Date and Time]])</f>
        <v>0.25000000011641532</v>
      </c>
      <c r="M19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39" s="14">
        <f>--(0&gt;(TblTimeSheet[[#This Row],[End Date and Time]]-TblTimeSheet[[#This Row],[Start Date and Time]]))</f>
        <v>0</v>
      </c>
    </row>
    <row r="1940" spans="1:14" x14ac:dyDescent="0.25">
      <c r="A1940" s="1"/>
      <c r="B1940" s="2" t="s">
        <v>2872</v>
      </c>
      <c r="C1940" s="2" t="s">
        <v>1469</v>
      </c>
      <c r="D1940" s="2" t="s">
        <v>19</v>
      </c>
      <c r="E1940" s="7" t="s">
        <v>3049</v>
      </c>
      <c r="F1940" s="37">
        <v>42466.5</v>
      </c>
      <c r="G1940" s="37">
        <v>42466.5625</v>
      </c>
      <c r="H1940" s="1" t="s">
        <v>6</v>
      </c>
      <c r="I1940" s="1" t="s">
        <v>38</v>
      </c>
      <c r="J1940" s="1">
        <v>42467.474340277775</v>
      </c>
      <c r="K1940" s="1" t="s">
        <v>1469</v>
      </c>
      <c r="L1940" s="14">
        <f>24*(TblTimeSheet[[#This Row],[End Date and Time]]-TblTimeSheet[[#This Row],[Start Date and Time]])</f>
        <v>1.5</v>
      </c>
      <c r="M19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0" s="14">
        <f>--(0&gt;(TblTimeSheet[[#This Row],[End Date and Time]]-TblTimeSheet[[#This Row],[Start Date and Time]]))</f>
        <v>0</v>
      </c>
    </row>
    <row r="1941" spans="1:14" x14ac:dyDescent="0.25">
      <c r="A1941" s="1"/>
      <c r="B1941" s="2" t="s">
        <v>2872</v>
      </c>
      <c r="C1941" s="2" t="s">
        <v>118</v>
      </c>
      <c r="D1941" s="2" t="s">
        <v>19</v>
      </c>
      <c r="E1941" s="7" t="s">
        <v>3050</v>
      </c>
      <c r="F1941" s="37">
        <v>42466.5</v>
      </c>
      <c r="G1941" s="37">
        <v>42466.5625</v>
      </c>
      <c r="H1941" s="1" t="s">
        <v>6</v>
      </c>
      <c r="I1941" s="1" t="s">
        <v>38</v>
      </c>
      <c r="J1941" s="1">
        <v>42466.725972222222</v>
      </c>
      <c r="K1941" s="1" t="s">
        <v>118</v>
      </c>
      <c r="L1941" s="14">
        <f>24*(TblTimeSheet[[#This Row],[End Date and Time]]-TblTimeSheet[[#This Row],[Start Date and Time]])</f>
        <v>1.5</v>
      </c>
      <c r="M19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1" s="14">
        <f>--(0&gt;(TblTimeSheet[[#This Row],[End Date and Time]]-TblTimeSheet[[#This Row],[Start Date and Time]]))</f>
        <v>0</v>
      </c>
    </row>
    <row r="1942" spans="1:14" x14ac:dyDescent="0.25">
      <c r="A1942" s="1"/>
      <c r="B1942" s="2" t="s">
        <v>2872</v>
      </c>
      <c r="C1942" s="2" t="s">
        <v>1061</v>
      </c>
      <c r="D1942" s="2" t="s">
        <v>19</v>
      </c>
      <c r="E1942" s="7" t="s">
        <v>3693</v>
      </c>
      <c r="F1942" s="37">
        <v>42466.5</v>
      </c>
      <c r="G1942" s="37">
        <v>42466.5625</v>
      </c>
      <c r="H1942" s="1" t="s">
        <v>6</v>
      </c>
      <c r="I1942" s="1" t="s">
        <v>38</v>
      </c>
      <c r="J1942" s="1">
        <v>42466.727858796294</v>
      </c>
      <c r="K1942" s="1" t="s">
        <v>1061</v>
      </c>
      <c r="L1942" s="14">
        <f>24*(TblTimeSheet[[#This Row],[End Date and Time]]-TblTimeSheet[[#This Row],[Start Date and Time]])</f>
        <v>1.5</v>
      </c>
      <c r="M19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2" s="14">
        <f>--(0&gt;(TblTimeSheet[[#This Row],[End Date and Time]]-TblTimeSheet[[#This Row],[Start Date and Time]]))</f>
        <v>0</v>
      </c>
    </row>
    <row r="1943" spans="1:14" x14ac:dyDescent="0.25">
      <c r="A1943" s="1"/>
      <c r="B1943" s="2" t="s">
        <v>917</v>
      </c>
      <c r="C1943" s="2" t="s">
        <v>118</v>
      </c>
      <c r="D1943" s="2" t="s">
        <v>32</v>
      </c>
      <c r="E1943" s="7" t="s">
        <v>3051</v>
      </c>
      <c r="F1943" s="37">
        <v>42466.604166666664</v>
      </c>
      <c r="G1943" s="37">
        <v>42466.708333333336</v>
      </c>
      <c r="H1943" s="1" t="s">
        <v>6</v>
      </c>
      <c r="I1943" s="1" t="s">
        <v>38</v>
      </c>
      <c r="J1943" s="1">
        <v>42466.735625000001</v>
      </c>
      <c r="K1943" s="1" t="s">
        <v>118</v>
      </c>
      <c r="L1943" s="14">
        <f>24*(TblTimeSheet[[#This Row],[End Date and Time]]-TblTimeSheet[[#This Row],[Start Date and Time]])</f>
        <v>2.5000000001164153</v>
      </c>
      <c r="M19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3" s="14">
        <f>--(0&gt;(TblTimeSheet[[#This Row],[End Date and Time]]-TblTimeSheet[[#This Row],[Start Date and Time]]))</f>
        <v>0</v>
      </c>
    </row>
    <row r="1944" spans="1:14" x14ac:dyDescent="0.25">
      <c r="A1944" s="1"/>
      <c r="B1944" s="2" t="s">
        <v>915</v>
      </c>
      <c r="C1944" s="2" t="s">
        <v>454</v>
      </c>
      <c r="D1944" s="2" t="s">
        <v>34</v>
      </c>
      <c r="E1944" s="7" t="s">
        <v>3052</v>
      </c>
      <c r="F1944" s="37">
        <v>42466.625</v>
      </c>
      <c r="G1944" s="37">
        <v>42466.708333333336</v>
      </c>
      <c r="H1944" s="1" t="s">
        <v>6</v>
      </c>
      <c r="I1944" s="1" t="s">
        <v>38</v>
      </c>
      <c r="J1944" s="1">
        <v>42466.737638888888</v>
      </c>
      <c r="K1944" s="1" t="s">
        <v>454</v>
      </c>
      <c r="L1944" s="14">
        <f>24*(TblTimeSheet[[#This Row],[End Date and Time]]-TblTimeSheet[[#This Row],[Start Date and Time]])</f>
        <v>2.0000000000582077</v>
      </c>
      <c r="M19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4" s="14">
        <f>--(0&gt;(TblTimeSheet[[#This Row],[End Date and Time]]-TblTimeSheet[[#This Row],[Start Date and Time]]))</f>
        <v>0</v>
      </c>
    </row>
    <row r="1945" spans="1:14" x14ac:dyDescent="0.25">
      <c r="A1945" s="1"/>
      <c r="B1945" s="2" t="s">
        <v>917</v>
      </c>
      <c r="C1945" s="2" t="s">
        <v>118</v>
      </c>
      <c r="D1945" s="2" t="s">
        <v>32</v>
      </c>
      <c r="E1945" s="7" t="s">
        <v>2946</v>
      </c>
      <c r="F1945" s="37">
        <v>42466.729166666664</v>
      </c>
      <c r="G1945" s="37">
        <v>42466.739583333336</v>
      </c>
      <c r="H1945" s="1" t="s">
        <v>6</v>
      </c>
      <c r="I1945" s="1" t="s">
        <v>38</v>
      </c>
      <c r="J1945" s="1">
        <v>42466.738067129627</v>
      </c>
      <c r="K1945" s="1" t="s">
        <v>118</v>
      </c>
      <c r="L1945" s="14">
        <f>24*(TblTimeSheet[[#This Row],[End Date and Time]]-TblTimeSheet[[#This Row],[Start Date and Time]])</f>
        <v>0.25000000011641532</v>
      </c>
      <c r="M19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5" s="14">
        <f>--(0&gt;(TblTimeSheet[[#This Row],[End Date and Time]]-TblTimeSheet[[#This Row],[Start Date and Time]]))</f>
        <v>0</v>
      </c>
    </row>
    <row r="1946" spans="1:14" x14ac:dyDescent="0.25">
      <c r="A1946" s="1"/>
      <c r="B1946" s="2" t="s">
        <v>917</v>
      </c>
      <c r="C1946" s="2" t="s">
        <v>36</v>
      </c>
      <c r="D1946" s="2" t="s">
        <v>32</v>
      </c>
      <c r="E1946" s="7" t="s">
        <v>3694</v>
      </c>
      <c r="F1946" s="37">
        <v>42466.729166666664</v>
      </c>
      <c r="G1946" s="37">
        <v>42466.739583333336</v>
      </c>
      <c r="H1946" s="1" t="s">
        <v>6</v>
      </c>
      <c r="I1946" s="1" t="s">
        <v>38</v>
      </c>
      <c r="J1946" s="1">
        <v>42467.365405092591</v>
      </c>
      <c r="K1946" s="1" t="s">
        <v>36</v>
      </c>
      <c r="L1946" s="14">
        <f>24*(TblTimeSheet[[#This Row],[End Date and Time]]-TblTimeSheet[[#This Row],[Start Date and Time]])</f>
        <v>0.25000000011641532</v>
      </c>
      <c r="M19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6" s="14">
        <f>--(0&gt;(TblTimeSheet[[#This Row],[End Date and Time]]-TblTimeSheet[[#This Row],[Start Date and Time]]))</f>
        <v>0</v>
      </c>
    </row>
    <row r="1947" spans="1:14" x14ac:dyDescent="0.25">
      <c r="A1947" s="1"/>
      <c r="B1947" s="2" t="s">
        <v>917</v>
      </c>
      <c r="C1947" s="2" t="s">
        <v>171</v>
      </c>
      <c r="D1947" s="2" t="s">
        <v>32</v>
      </c>
      <c r="E1947" s="7" t="s">
        <v>3695</v>
      </c>
      <c r="F1947" s="37">
        <v>42466.729166666664</v>
      </c>
      <c r="G1947" s="37">
        <v>42466.739583333336</v>
      </c>
      <c r="H1947" s="1" t="s">
        <v>6</v>
      </c>
      <c r="I1947" s="1" t="s">
        <v>38</v>
      </c>
      <c r="J1947" s="1">
        <v>42467.376423611109</v>
      </c>
      <c r="K1947" s="1" t="s">
        <v>171</v>
      </c>
      <c r="L1947" s="14">
        <f>24*(TblTimeSheet[[#This Row],[End Date and Time]]-TblTimeSheet[[#This Row],[Start Date and Time]])</f>
        <v>0.25000000011641532</v>
      </c>
      <c r="M19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7" s="14">
        <f>--(0&gt;(TblTimeSheet[[#This Row],[End Date and Time]]-TblTimeSheet[[#This Row],[Start Date and Time]]))</f>
        <v>0</v>
      </c>
    </row>
    <row r="1948" spans="1:14" x14ac:dyDescent="0.25">
      <c r="A1948" s="1"/>
      <c r="B1948" s="2" t="s">
        <v>917</v>
      </c>
      <c r="C1948" s="2" t="s">
        <v>36</v>
      </c>
      <c r="D1948" s="2" t="s">
        <v>32</v>
      </c>
      <c r="E1948" s="7" t="s">
        <v>3053</v>
      </c>
      <c r="F1948" s="37">
        <v>42467.375</v>
      </c>
      <c r="G1948" s="37">
        <v>42467.402777777781</v>
      </c>
      <c r="H1948" s="1" t="s">
        <v>6</v>
      </c>
      <c r="I1948" s="1" t="s">
        <v>38</v>
      </c>
      <c r="J1948" s="1">
        <v>42467.406875000001</v>
      </c>
      <c r="K1948" s="1" t="s">
        <v>36</v>
      </c>
      <c r="L1948" s="14">
        <f>24*(TblTimeSheet[[#This Row],[End Date and Time]]-TblTimeSheet[[#This Row],[Start Date and Time]])</f>
        <v>0.66666666674427688</v>
      </c>
      <c r="M19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8" s="14">
        <f>--(0&gt;(TblTimeSheet[[#This Row],[End Date and Time]]-TblTimeSheet[[#This Row],[Start Date and Time]]))</f>
        <v>0</v>
      </c>
    </row>
    <row r="1949" spans="1:14" x14ac:dyDescent="0.25">
      <c r="A1949" s="1"/>
      <c r="B1949" s="2" t="s">
        <v>917</v>
      </c>
      <c r="C1949" s="2" t="s">
        <v>171</v>
      </c>
      <c r="D1949" s="2" t="s">
        <v>32</v>
      </c>
      <c r="E1949" s="7" t="s">
        <v>3696</v>
      </c>
      <c r="F1949" s="37">
        <v>42466.4375</v>
      </c>
      <c r="G1949" s="37">
        <v>42466.447916666664</v>
      </c>
      <c r="H1949" s="1" t="s">
        <v>6</v>
      </c>
      <c r="I1949" s="1" t="s">
        <v>38</v>
      </c>
      <c r="J1949" s="1">
        <v>42467.416828703703</v>
      </c>
      <c r="K1949" s="1" t="s">
        <v>171</v>
      </c>
      <c r="L1949" s="14">
        <f>24*(TblTimeSheet[[#This Row],[End Date and Time]]-TblTimeSheet[[#This Row],[Start Date and Time]])</f>
        <v>0.24999999994179234</v>
      </c>
      <c r="M19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49" s="14">
        <f>--(0&gt;(TblTimeSheet[[#This Row],[End Date and Time]]-TblTimeSheet[[#This Row],[Start Date and Time]]))</f>
        <v>0</v>
      </c>
    </row>
    <row r="1950" spans="1:14" x14ac:dyDescent="0.25">
      <c r="A1950" s="1"/>
      <c r="B1950" s="2" t="s">
        <v>917</v>
      </c>
      <c r="C1950" s="2" t="s">
        <v>171</v>
      </c>
      <c r="D1950" s="2" t="s">
        <v>32</v>
      </c>
      <c r="E1950" s="7" t="s">
        <v>3697</v>
      </c>
      <c r="F1950" s="37">
        <v>42467.4375</v>
      </c>
      <c r="G1950" s="37">
        <v>42467.440972222219</v>
      </c>
      <c r="H1950" s="1" t="s">
        <v>6</v>
      </c>
      <c r="I1950" s="1" t="s">
        <v>38</v>
      </c>
      <c r="J1950" s="1">
        <v>42467.452013888891</v>
      </c>
      <c r="K1950" s="1" t="s">
        <v>171</v>
      </c>
      <c r="L1950" s="14">
        <f>24*(TblTimeSheet[[#This Row],[End Date and Time]]-TblTimeSheet[[#This Row],[Start Date and Time]])</f>
        <v>8.3333333255723119E-2</v>
      </c>
      <c r="M19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0" s="14">
        <f>--(0&gt;(TblTimeSheet[[#This Row],[End Date and Time]]-TblTimeSheet[[#This Row],[Start Date and Time]]))</f>
        <v>0</v>
      </c>
    </row>
    <row r="1951" spans="1:14" x14ac:dyDescent="0.25">
      <c r="A1951" s="1"/>
      <c r="B1951" s="2" t="s">
        <v>915</v>
      </c>
      <c r="C1951" s="2" t="s">
        <v>116</v>
      </c>
      <c r="D1951" s="2" t="s">
        <v>33</v>
      </c>
      <c r="E1951" s="7" t="s">
        <v>3054</v>
      </c>
      <c r="F1951" s="37">
        <v>42467.458333333336</v>
      </c>
      <c r="G1951" s="37">
        <v>42467.472222222219</v>
      </c>
      <c r="H1951" s="1" t="s">
        <v>6</v>
      </c>
      <c r="I1951" s="1" t="s">
        <v>38</v>
      </c>
      <c r="J1951" s="1">
        <v>42467.50240740741</v>
      </c>
      <c r="K1951" s="1" t="s">
        <v>701</v>
      </c>
      <c r="L1951" s="14">
        <f>24*(TblTimeSheet[[#This Row],[End Date and Time]]-TblTimeSheet[[#This Row],[Start Date and Time]])</f>
        <v>0.33333333319751546</v>
      </c>
      <c r="M19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51" s="14">
        <f>--(0&gt;(TblTimeSheet[[#This Row],[End Date and Time]]-TblTimeSheet[[#This Row],[Start Date and Time]]))</f>
        <v>0</v>
      </c>
    </row>
    <row r="1952" spans="1:14" x14ac:dyDescent="0.25">
      <c r="A1952" s="1"/>
      <c r="B1952" s="2" t="s">
        <v>915</v>
      </c>
      <c r="C1952" s="2" t="s">
        <v>118</v>
      </c>
      <c r="D1952" s="2" t="s">
        <v>33</v>
      </c>
      <c r="E1952" s="7" t="s">
        <v>1441</v>
      </c>
      <c r="F1952" s="37">
        <v>42467.458333333336</v>
      </c>
      <c r="G1952" s="37">
        <v>42467.472222222219</v>
      </c>
      <c r="H1952" s="1" t="s">
        <v>6</v>
      </c>
      <c r="I1952" s="1" t="s">
        <v>38</v>
      </c>
      <c r="J1952" s="1">
        <v>42467.50309027778</v>
      </c>
      <c r="K1952" s="1" t="s">
        <v>118</v>
      </c>
      <c r="L1952" s="14">
        <f>24*(TblTimeSheet[[#This Row],[End Date and Time]]-TblTimeSheet[[#This Row],[Start Date and Time]])</f>
        <v>0.33333333319751546</v>
      </c>
      <c r="M19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2" s="14">
        <f>--(0&gt;(TblTimeSheet[[#This Row],[End Date and Time]]-TblTimeSheet[[#This Row],[Start Date and Time]]))</f>
        <v>0</v>
      </c>
    </row>
    <row r="1953" spans="1:14" x14ac:dyDescent="0.25">
      <c r="A1953" s="1"/>
      <c r="B1953" s="2" t="s">
        <v>2870</v>
      </c>
      <c r="C1953" s="2" t="s">
        <v>116</v>
      </c>
      <c r="D1953" s="2" t="s">
        <v>32</v>
      </c>
      <c r="E1953" s="7" t="s">
        <v>3055</v>
      </c>
      <c r="F1953" s="37">
        <v>42467.385416666664</v>
      </c>
      <c r="G1953" s="37">
        <v>42467.4375</v>
      </c>
      <c r="H1953" s="1" t="s">
        <v>6</v>
      </c>
      <c r="I1953" s="1" t="s">
        <v>38</v>
      </c>
      <c r="J1953" s="1">
        <v>42467.505960648145</v>
      </c>
      <c r="K1953" s="1" t="s">
        <v>701</v>
      </c>
      <c r="L1953" s="14">
        <f>24*(TblTimeSheet[[#This Row],[End Date and Time]]-TblTimeSheet[[#This Row],[Start Date and Time]])</f>
        <v>1.2500000000582077</v>
      </c>
      <c r="M19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3" s="14">
        <f>--(0&gt;(TblTimeSheet[[#This Row],[End Date and Time]]-TblTimeSheet[[#This Row],[Start Date and Time]]))</f>
        <v>0</v>
      </c>
    </row>
    <row r="1954" spans="1:14" x14ac:dyDescent="0.25">
      <c r="A1954" s="1"/>
      <c r="B1954" s="2" t="s">
        <v>917</v>
      </c>
      <c r="C1954" s="2" t="s">
        <v>116</v>
      </c>
      <c r="D1954" s="2" t="s">
        <v>32</v>
      </c>
      <c r="E1954" s="7" t="s">
        <v>3698</v>
      </c>
      <c r="F1954" s="37">
        <v>42467.4375</v>
      </c>
      <c r="G1954" s="37">
        <v>42467.458333333336</v>
      </c>
      <c r="H1954" s="1" t="s">
        <v>6</v>
      </c>
      <c r="I1954" s="1" t="s">
        <v>38</v>
      </c>
      <c r="J1954" s="1">
        <v>42467.504988425928</v>
      </c>
      <c r="K1954" s="1" t="s">
        <v>701</v>
      </c>
      <c r="L1954" s="14">
        <f>24*(TblTimeSheet[[#This Row],[End Date and Time]]-TblTimeSheet[[#This Row],[Start Date and Time]])</f>
        <v>0.50000000005820766</v>
      </c>
      <c r="M19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4" s="14">
        <f>--(0&gt;(TblTimeSheet[[#This Row],[End Date and Time]]-TblTimeSheet[[#This Row],[Start Date and Time]]))</f>
        <v>0</v>
      </c>
    </row>
    <row r="1955" spans="1:14" x14ac:dyDescent="0.25">
      <c r="A1955" s="1"/>
      <c r="B1955" s="2" t="s">
        <v>917</v>
      </c>
      <c r="C1955" s="2" t="s">
        <v>116</v>
      </c>
      <c r="D1955" s="2" t="s">
        <v>32</v>
      </c>
      <c r="E1955" s="7" t="s">
        <v>3056</v>
      </c>
      <c r="F1955" s="37">
        <v>42467.479166666664</v>
      </c>
      <c r="G1955" s="37">
        <v>42467.5</v>
      </c>
      <c r="H1955" s="1" t="s">
        <v>6</v>
      </c>
      <c r="I1955" s="1" t="s">
        <v>38</v>
      </c>
      <c r="J1955" s="1">
        <v>42467.505532407406</v>
      </c>
      <c r="K1955" s="1" t="s">
        <v>701</v>
      </c>
      <c r="L1955" s="14">
        <f>24*(TblTimeSheet[[#This Row],[End Date and Time]]-TblTimeSheet[[#This Row],[Start Date and Time]])</f>
        <v>0.50000000005820766</v>
      </c>
      <c r="M19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5" s="14">
        <f>--(0&gt;(TblTimeSheet[[#This Row],[End Date and Time]]-TblTimeSheet[[#This Row],[Start Date and Time]]))</f>
        <v>0</v>
      </c>
    </row>
    <row r="1956" spans="1:14" ht="30" x14ac:dyDescent="0.25">
      <c r="A1956" s="1"/>
      <c r="B1956" s="2" t="s">
        <v>915</v>
      </c>
      <c r="C1956" s="2" t="s">
        <v>116</v>
      </c>
      <c r="D1956" s="2" t="s">
        <v>33</v>
      </c>
      <c r="E1956" s="7" t="s">
        <v>3699</v>
      </c>
      <c r="F1956" s="37">
        <v>42467.458333333336</v>
      </c>
      <c r="G1956" s="37">
        <v>42467.472222222219</v>
      </c>
      <c r="H1956" s="1" t="s">
        <v>6</v>
      </c>
      <c r="I1956" s="1" t="s">
        <v>38</v>
      </c>
      <c r="J1956" s="1">
        <v>42467.517361111109</v>
      </c>
      <c r="K1956" s="1" t="s">
        <v>81</v>
      </c>
      <c r="L1956" s="14">
        <f>24*(TblTimeSheet[[#This Row],[End Date and Time]]-TblTimeSheet[[#This Row],[Start Date and Time]])</f>
        <v>0.33333333319751546</v>
      </c>
      <c r="M19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56" s="14">
        <f>--(0&gt;(TblTimeSheet[[#This Row],[End Date and Time]]-TblTimeSheet[[#This Row],[Start Date and Time]]))</f>
        <v>0</v>
      </c>
    </row>
    <row r="1957" spans="1:14" ht="30" x14ac:dyDescent="0.25">
      <c r="A1957" s="1"/>
      <c r="B1957" s="2" t="s">
        <v>915</v>
      </c>
      <c r="C1957" s="2" t="s">
        <v>116</v>
      </c>
      <c r="D1957" s="2" t="s">
        <v>33</v>
      </c>
      <c r="E1957" s="7" t="s">
        <v>3057</v>
      </c>
      <c r="F1957" s="37">
        <v>42467.458333333336</v>
      </c>
      <c r="G1957" s="37">
        <v>42467.472222222219</v>
      </c>
      <c r="H1957" s="1" t="s">
        <v>6</v>
      </c>
      <c r="I1957" s="1" t="s">
        <v>38</v>
      </c>
      <c r="J1957" s="1">
        <v>42467.51761574074</v>
      </c>
      <c r="K1957" s="1" t="s">
        <v>39</v>
      </c>
      <c r="L1957" s="14">
        <f>24*(TblTimeSheet[[#This Row],[End Date and Time]]-TblTimeSheet[[#This Row],[Start Date and Time]])</f>
        <v>0.33333333319751546</v>
      </c>
      <c r="M19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57" s="14">
        <f>--(0&gt;(TblTimeSheet[[#This Row],[End Date and Time]]-TblTimeSheet[[#This Row],[Start Date and Time]]))</f>
        <v>0</v>
      </c>
    </row>
    <row r="1958" spans="1:14" x14ac:dyDescent="0.25">
      <c r="A1958" s="1"/>
      <c r="B1958" s="2" t="s">
        <v>2872</v>
      </c>
      <c r="C1958" s="2" t="s">
        <v>42</v>
      </c>
      <c r="D1958" s="2" t="s">
        <v>19</v>
      </c>
      <c r="E1958" s="7" t="s">
        <v>135</v>
      </c>
      <c r="F1958" s="37">
        <v>42465.652777777781</v>
      </c>
      <c r="G1958" s="37">
        <v>42465.659722222219</v>
      </c>
      <c r="H1958" s="1" t="s">
        <v>6</v>
      </c>
      <c r="I1958" s="1" t="s">
        <v>38</v>
      </c>
      <c r="J1958" s="1">
        <v>42467.568240740744</v>
      </c>
      <c r="K1958" s="1" t="s">
        <v>42</v>
      </c>
      <c r="L1958" s="14">
        <f>24*(TblTimeSheet[[#This Row],[End Date and Time]]-TblTimeSheet[[#This Row],[Start Date and Time]])</f>
        <v>0.16666666651144624</v>
      </c>
      <c r="M19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8" s="14">
        <f>--(0&gt;(TblTimeSheet[[#This Row],[End Date and Time]]-TblTimeSheet[[#This Row],[Start Date and Time]]))</f>
        <v>0</v>
      </c>
    </row>
    <row r="1959" spans="1:14" x14ac:dyDescent="0.25">
      <c r="A1959" s="1"/>
      <c r="B1959" s="2" t="s">
        <v>2872</v>
      </c>
      <c r="C1959" s="2" t="s">
        <v>1061</v>
      </c>
      <c r="D1959" s="2" t="s">
        <v>19</v>
      </c>
      <c r="E1959" s="7" t="s">
        <v>3058</v>
      </c>
      <c r="F1959" s="37">
        <v>42467.520833333336</v>
      </c>
      <c r="G1959" s="37">
        <v>42467.541666666664</v>
      </c>
      <c r="H1959" s="1" t="s">
        <v>6</v>
      </c>
      <c r="I1959" s="1" t="s">
        <v>38</v>
      </c>
      <c r="J1959" s="1">
        <v>42467.59175925926</v>
      </c>
      <c r="K1959" s="1" t="s">
        <v>1061</v>
      </c>
      <c r="L1959" s="14">
        <f>24*(TblTimeSheet[[#This Row],[End Date and Time]]-TblTimeSheet[[#This Row],[Start Date and Time]])</f>
        <v>0.49999999988358468</v>
      </c>
      <c r="M19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59" s="14">
        <f>--(0&gt;(TblTimeSheet[[#This Row],[End Date and Time]]-TblTimeSheet[[#This Row],[Start Date and Time]]))</f>
        <v>0</v>
      </c>
    </row>
    <row r="1960" spans="1:14" x14ac:dyDescent="0.25">
      <c r="A1960" s="1"/>
      <c r="B1960" s="2" t="s">
        <v>915</v>
      </c>
      <c r="C1960" s="2" t="s">
        <v>171</v>
      </c>
      <c r="D1960" s="2" t="s">
        <v>33</v>
      </c>
      <c r="E1960" s="7" t="s">
        <v>3700</v>
      </c>
      <c r="F1960" s="37">
        <v>42467.583333333336</v>
      </c>
      <c r="G1960" s="37">
        <v>42467.611111111109</v>
      </c>
      <c r="H1960" s="1" t="s">
        <v>6</v>
      </c>
      <c r="I1960" s="1" t="s">
        <v>38</v>
      </c>
      <c r="J1960" s="1">
        <v>42467.617997685185</v>
      </c>
      <c r="K1960" s="1" t="s">
        <v>171</v>
      </c>
      <c r="L1960" s="14">
        <f>24*(TblTimeSheet[[#This Row],[End Date and Time]]-TblTimeSheet[[#This Row],[Start Date and Time]])</f>
        <v>0.6666666665696539</v>
      </c>
      <c r="M19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0" s="14">
        <f>--(0&gt;(TblTimeSheet[[#This Row],[End Date and Time]]-TblTimeSheet[[#This Row],[Start Date and Time]]))</f>
        <v>0</v>
      </c>
    </row>
    <row r="1961" spans="1:14" x14ac:dyDescent="0.25">
      <c r="A1961" s="1"/>
      <c r="B1961" s="2" t="s">
        <v>2872</v>
      </c>
      <c r="C1961" s="2" t="s">
        <v>1061</v>
      </c>
      <c r="D1961" s="2" t="s">
        <v>19</v>
      </c>
      <c r="E1961" s="7" t="s">
        <v>3701</v>
      </c>
      <c r="F1961" s="37">
        <v>42467.583333333336</v>
      </c>
      <c r="G1961" s="37">
        <v>42467.604166666664</v>
      </c>
      <c r="H1961" s="1" t="s">
        <v>6</v>
      </c>
      <c r="I1961" s="1" t="s">
        <v>38</v>
      </c>
      <c r="J1961" s="1">
        <v>42467.622013888889</v>
      </c>
      <c r="K1961" s="1" t="s">
        <v>1061</v>
      </c>
      <c r="L1961" s="14">
        <f>24*(TblTimeSheet[[#This Row],[End Date and Time]]-TblTimeSheet[[#This Row],[Start Date and Time]])</f>
        <v>0.49999999988358468</v>
      </c>
      <c r="M19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1" s="14">
        <f>--(0&gt;(TblTimeSheet[[#This Row],[End Date and Time]]-TblTimeSheet[[#This Row],[Start Date and Time]]))</f>
        <v>0</v>
      </c>
    </row>
    <row r="1962" spans="1:14" x14ac:dyDescent="0.25">
      <c r="A1962" s="1"/>
      <c r="B1962" s="2" t="s">
        <v>915</v>
      </c>
      <c r="C1962" s="2" t="s">
        <v>454</v>
      </c>
      <c r="D1962" s="2" t="s">
        <v>33</v>
      </c>
      <c r="E1962" s="7" t="s">
        <v>449</v>
      </c>
      <c r="F1962" s="37">
        <v>42467.458333333336</v>
      </c>
      <c r="G1962" s="37">
        <v>42467.472222222219</v>
      </c>
      <c r="H1962" s="1" t="s">
        <v>6</v>
      </c>
      <c r="I1962" s="1" t="s">
        <v>38</v>
      </c>
      <c r="J1962" s="1">
        <v>42467.629108796296</v>
      </c>
      <c r="K1962" s="1" t="s">
        <v>454</v>
      </c>
      <c r="L1962" s="14">
        <f>24*(TblTimeSheet[[#This Row],[End Date and Time]]-TblTimeSheet[[#This Row],[Start Date and Time]])</f>
        <v>0.33333333319751546</v>
      </c>
      <c r="M19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2" s="14">
        <f>--(0&gt;(TblTimeSheet[[#This Row],[End Date and Time]]-TblTimeSheet[[#This Row],[Start Date and Time]]))</f>
        <v>0</v>
      </c>
    </row>
    <row r="1963" spans="1:14" x14ac:dyDescent="0.25">
      <c r="A1963" s="1"/>
      <c r="B1963" s="2" t="s">
        <v>2872</v>
      </c>
      <c r="C1963" s="2" t="s">
        <v>1469</v>
      </c>
      <c r="D1963" s="2" t="s">
        <v>19</v>
      </c>
      <c r="E1963" s="7" t="s">
        <v>3059</v>
      </c>
      <c r="F1963" s="37">
        <v>42467.520833333336</v>
      </c>
      <c r="G1963" s="37">
        <v>42467.541666666664</v>
      </c>
      <c r="H1963" s="1" t="s">
        <v>6</v>
      </c>
      <c r="I1963" s="1" t="s">
        <v>38</v>
      </c>
      <c r="J1963" s="1">
        <v>42467.63858796296</v>
      </c>
      <c r="K1963" s="1" t="s">
        <v>1469</v>
      </c>
      <c r="L1963" s="14">
        <f>24*(TblTimeSheet[[#This Row],[End Date and Time]]-TblTimeSheet[[#This Row],[Start Date and Time]])</f>
        <v>0.49999999988358468</v>
      </c>
      <c r="M19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3" s="14">
        <f>--(0&gt;(TblTimeSheet[[#This Row],[End Date and Time]]-TblTimeSheet[[#This Row],[Start Date and Time]]))</f>
        <v>0</v>
      </c>
    </row>
    <row r="1964" spans="1:14" x14ac:dyDescent="0.25">
      <c r="A1964" s="1"/>
      <c r="B1964" s="2" t="s">
        <v>2872</v>
      </c>
      <c r="C1964" s="2" t="s">
        <v>1469</v>
      </c>
      <c r="D1964" s="2" t="s">
        <v>19</v>
      </c>
      <c r="E1964" s="7" t="s">
        <v>1868</v>
      </c>
      <c r="F1964" s="37">
        <v>42467.583333333336</v>
      </c>
      <c r="G1964" s="37">
        <v>42467.604166666664</v>
      </c>
      <c r="H1964" s="1" t="s">
        <v>6</v>
      </c>
      <c r="I1964" s="1" t="s">
        <v>38</v>
      </c>
      <c r="J1964" s="1">
        <v>42467.639178240737</v>
      </c>
      <c r="K1964" s="1" t="s">
        <v>1469</v>
      </c>
      <c r="L1964" s="14">
        <f>24*(TblTimeSheet[[#This Row],[End Date and Time]]-TblTimeSheet[[#This Row],[Start Date and Time]])</f>
        <v>0.49999999988358468</v>
      </c>
      <c r="M19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4" s="14">
        <f>--(0&gt;(TblTimeSheet[[#This Row],[End Date and Time]]-TblTimeSheet[[#This Row],[Start Date and Time]]))</f>
        <v>0</v>
      </c>
    </row>
    <row r="1965" spans="1:14" x14ac:dyDescent="0.25">
      <c r="A1965" s="1"/>
      <c r="B1965" s="2" t="s">
        <v>915</v>
      </c>
      <c r="C1965" s="2" t="s">
        <v>171</v>
      </c>
      <c r="D1965" s="2" t="s">
        <v>32</v>
      </c>
      <c r="E1965" s="7" t="s">
        <v>3702</v>
      </c>
      <c r="F1965" s="37">
        <v>42467.458333333336</v>
      </c>
      <c r="G1965" s="37">
        <v>42467.472222222219</v>
      </c>
      <c r="H1965" s="1" t="s">
        <v>6</v>
      </c>
      <c r="I1965" s="1" t="s">
        <v>38</v>
      </c>
      <c r="J1965" s="1">
        <v>42467.639386574076</v>
      </c>
      <c r="K1965" s="1" t="s">
        <v>171</v>
      </c>
      <c r="L1965" s="14">
        <f>24*(TblTimeSheet[[#This Row],[End Date and Time]]-TblTimeSheet[[#This Row],[Start Date and Time]])</f>
        <v>0.33333333319751546</v>
      </c>
      <c r="M19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5" s="14">
        <f>--(0&gt;(TblTimeSheet[[#This Row],[End Date and Time]]-TblTimeSheet[[#This Row],[Start Date and Time]]))</f>
        <v>0</v>
      </c>
    </row>
    <row r="1966" spans="1:14" ht="45" x14ac:dyDescent="0.25">
      <c r="A1966" s="1"/>
      <c r="B1966" s="2" t="s">
        <v>915</v>
      </c>
      <c r="C1966" s="2" t="s">
        <v>171</v>
      </c>
      <c r="D1966" s="2" t="s">
        <v>33</v>
      </c>
      <c r="E1966" s="7" t="s">
        <v>3703</v>
      </c>
      <c r="F1966" s="37">
        <v>42467.5</v>
      </c>
      <c r="G1966" s="37">
        <v>42467.541666666664</v>
      </c>
      <c r="H1966" s="1" t="s">
        <v>6</v>
      </c>
      <c r="I1966" s="1" t="s">
        <v>38</v>
      </c>
      <c r="J1966" s="1">
        <v>42467.646944444445</v>
      </c>
      <c r="K1966" s="1" t="s">
        <v>171</v>
      </c>
      <c r="L1966" s="14">
        <f>24*(TblTimeSheet[[#This Row],[End Date and Time]]-TblTimeSheet[[#This Row],[Start Date and Time]])</f>
        <v>0.99999999994179234</v>
      </c>
      <c r="M19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6" s="14">
        <f>--(0&gt;(TblTimeSheet[[#This Row],[End Date and Time]]-TblTimeSheet[[#This Row],[Start Date and Time]]))</f>
        <v>0</v>
      </c>
    </row>
    <row r="1967" spans="1:14" x14ac:dyDescent="0.25">
      <c r="A1967" s="1"/>
      <c r="B1967" s="2" t="s">
        <v>2872</v>
      </c>
      <c r="C1967" s="2" t="s">
        <v>41</v>
      </c>
      <c r="D1967" s="2" t="s">
        <v>19</v>
      </c>
      <c r="E1967" s="7" t="s">
        <v>3060</v>
      </c>
      <c r="F1967" s="37">
        <v>42467.625</v>
      </c>
      <c r="G1967" s="37">
        <v>42467.642361111109</v>
      </c>
      <c r="H1967" s="1" t="s">
        <v>6</v>
      </c>
      <c r="I1967" s="1" t="s">
        <v>38</v>
      </c>
      <c r="J1967" s="1">
        <v>42467.645578703705</v>
      </c>
      <c r="K1967" s="1" t="s">
        <v>41</v>
      </c>
      <c r="L1967" s="14">
        <f>24*(TblTimeSheet[[#This Row],[End Date and Time]]-TblTimeSheet[[#This Row],[Start Date and Time]])</f>
        <v>0.41666666662786156</v>
      </c>
      <c r="M19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7" s="14">
        <f>--(0&gt;(TblTimeSheet[[#This Row],[End Date and Time]]-TblTimeSheet[[#This Row],[Start Date and Time]]))</f>
        <v>0</v>
      </c>
    </row>
    <row r="1968" spans="1:14" ht="45" x14ac:dyDescent="0.25">
      <c r="A1968" s="1"/>
      <c r="B1968" s="2" t="s">
        <v>915</v>
      </c>
      <c r="C1968" s="2" t="s">
        <v>171</v>
      </c>
      <c r="D1968" s="2" t="s">
        <v>33</v>
      </c>
      <c r="E1968" s="7" t="s">
        <v>3704</v>
      </c>
      <c r="F1968" s="37">
        <v>42467.611111111109</v>
      </c>
      <c r="G1968" s="37">
        <v>42467.645833333336</v>
      </c>
      <c r="H1968" s="1" t="s">
        <v>6</v>
      </c>
      <c r="I1968" s="1" t="s">
        <v>38</v>
      </c>
      <c r="J1968" s="1">
        <v>42467.646006944444</v>
      </c>
      <c r="K1968" s="1" t="s">
        <v>171</v>
      </c>
      <c r="L1968" s="14">
        <f>24*(TblTimeSheet[[#This Row],[End Date and Time]]-TblTimeSheet[[#This Row],[Start Date and Time]])</f>
        <v>0.8333333334303461</v>
      </c>
      <c r="M19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8" s="14">
        <f>--(0&gt;(TblTimeSheet[[#This Row],[End Date and Time]]-TblTimeSheet[[#This Row],[Start Date and Time]]))</f>
        <v>0</v>
      </c>
    </row>
    <row r="1969" spans="1:14" ht="45" x14ac:dyDescent="0.25">
      <c r="A1969" s="1"/>
      <c r="B1969" s="2" t="s">
        <v>915</v>
      </c>
      <c r="C1969" s="2" t="s">
        <v>171</v>
      </c>
      <c r="D1969" s="2" t="s">
        <v>33</v>
      </c>
      <c r="E1969" s="7" t="s">
        <v>3705</v>
      </c>
      <c r="F1969" s="37">
        <v>42467.479166666664</v>
      </c>
      <c r="G1969" s="37">
        <v>42467.5</v>
      </c>
      <c r="H1969" s="1" t="s">
        <v>6</v>
      </c>
      <c r="I1969" s="1" t="s">
        <v>38</v>
      </c>
      <c r="J1969" s="1">
        <v>42467.648402777777</v>
      </c>
      <c r="K1969" s="1" t="s">
        <v>171</v>
      </c>
      <c r="L1969" s="14">
        <f>24*(TblTimeSheet[[#This Row],[End Date and Time]]-TblTimeSheet[[#This Row],[Start Date and Time]])</f>
        <v>0.50000000005820766</v>
      </c>
      <c r="M19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69" s="14">
        <f>--(0&gt;(TblTimeSheet[[#This Row],[End Date and Time]]-TblTimeSheet[[#This Row],[Start Date and Time]]))</f>
        <v>0</v>
      </c>
    </row>
    <row r="1970" spans="1:14" x14ac:dyDescent="0.25">
      <c r="A1970" s="1"/>
      <c r="B1970" s="2" t="s">
        <v>2872</v>
      </c>
      <c r="C1970" s="2" t="s">
        <v>1061</v>
      </c>
      <c r="D1970" s="2" t="s">
        <v>19</v>
      </c>
      <c r="E1970" s="7" t="s">
        <v>3061</v>
      </c>
      <c r="F1970" s="37">
        <v>42467.625</v>
      </c>
      <c r="G1970" s="37">
        <v>42467.642361111109</v>
      </c>
      <c r="H1970" s="1" t="s">
        <v>6</v>
      </c>
      <c r="I1970" s="1" t="s">
        <v>38</v>
      </c>
      <c r="J1970" s="1">
        <v>42467.654918981483</v>
      </c>
      <c r="K1970" s="1" t="s">
        <v>1061</v>
      </c>
      <c r="L1970" s="14">
        <f>24*(TblTimeSheet[[#This Row],[End Date and Time]]-TblTimeSheet[[#This Row],[Start Date and Time]])</f>
        <v>0.41666666662786156</v>
      </c>
      <c r="M19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0" s="14">
        <f>--(0&gt;(TblTimeSheet[[#This Row],[End Date and Time]]-TblTimeSheet[[#This Row],[Start Date and Time]]))</f>
        <v>0</v>
      </c>
    </row>
    <row r="1971" spans="1:14" x14ac:dyDescent="0.25">
      <c r="A1971" s="1"/>
      <c r="B1971" s="2" t="s">
        <v>2872</v>
      </c>
      <c r="C1971" s="2" t="s">
        <v>1061</v>
      </c>
      <c r="D1971" s="2" t="s">
        <v>19</v>
      </c>
      <c r="E1971" s="7" t="s">
        <v>3062</v>
      </c>
      <c r="F1971" s="37">
        <v>42467.659722222219</v>
      </c>
      <c r="G1971" s="37">
        <v>42467.666666666664</v>
      </c>
      <c r="H1971" s="1" t="s">
        <v>6</v>
      </c>
      <c r="I1971" s="1" t="s">
        <v>38</v>
      </c>
      <c r="J1971" s="1">
        <v>42467.680358796293</v>
      </c>
      <c r="K1971" s="1" t="s">
        <v>1061</v>
      </c>
      <c r="L1971" s="14">
        <f>24*(TblTimeSheet[[#This Row],[End Date and Time]]-TblTimeSheet[[#This Row],[Start Date and Time]])</f>
        <v>0.16666666668606922</v>
      </c>
      <c r="M19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1" s="14">
        <f>--(0&gt;(TblTimeSheet[[#This Row],[End Date and Time]]-TblTimeSheet[[#This Row],[Start Date and Time]]))</f>
        <v>0</v>
      </c>
    </row>
    <row r="1972" spans="1:14" x14ac:dyDescent="0.25">
      <c r="A1972" s="1"/>
      <c r="B1972" s="2" t="s">
        <v>917</v>
      </c>
      <c r="C1972" s="2" t="s">
        <v>116</v>
      </c>
      <c r="D1972" s="2" t="s">
        <v>32</v>
      </c>
      <c r="E1972" s="7" t="s">
        <v>3063</v>
      </c>
      <c r="F1972" s="37">
        <v>42467.625</v>
      </c>
      <c r="G1972" s="37">
        <v>42467.645833333336</v>
      </c>
      <c r="H1972" s="1" t="s">
        <v>6</v>
      </c>
      <c r="I1972" s="1" t="s">
        <v>38</v>
      </c>
      <c r="J1972" s="1">
        <v>42467.68310185185</v>
      </c>
      <c r="K1972" s="1" t="s">
        <v>39</v>
      </c>
      <c r="L1972" s="14">
        <f>24*(TblTimeSheet[[#This Row],[End Date and Time]]-TblTimeSheet[[#This Row],[Start Date and Time]])</f>
        <v>0.50000000005820766</v>
      </c>
      <c r="M19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72" s="14">
        <f>--(0&gt;(TblTimeSheet[[#This Row],[End Date and Time]]-TblTimeSheet[[#This Row],[Start Date and Time]]))</f>
        <v>0</v>
      </c>
    </row>
    <row r="1973" spans="1:14" x14ac:dyDescent="0.25">
      <c r="A1973" s="1"/>
      <c r="B1973" s="2" t="s">
        <v>915</v>
      </c>
      <c r="C1973" s="2" t="s">
        <v>116</v>
      </c>
      <c r="D1973" s="2" t="s">
        <v>33</v>
      </c>
      <c r="E1973" s="7" t="s">
        <v>3064</v>
      </c>
      <c r="F1973" s="37">
        <v>42467.583333333336</v>
      </c>
      <c r="G1973" s="37">
        <v>42467.604166666664</v>
      </c>
      <c r="H1973" s="1" t="s">
        <v>6</v>
      </c>
      <c r="I1973" s="1" t="s">
        <v>38</v>
      </c>
      <c r="J1973" s="1">
        <v>42467.683125000003</v>
      </c>
      <c r="K1973" s="1" t="s">
        <v>701</v>
      </c>
      <c r="L1973" s="14">
        <f>24*(TblTimeSheet[[#This Row],[End Date and Time]]-TblTimeSheet[[#This Row],[Start Date and Time]])</f>
        <v>0.49999999988358468</v>
      </c>
      <c r="M19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3" s="14">
        <f>--(0&gt;(TblTimeSheet[[#This Row],[End Date and Time]]-TblTimeSheet[[#This Row],[Start Date and Time]]))</f>
        <v>0</v>
      </c>
    </row>
    <row r="1974" spans="1:14" x14ac:dyDescent="0.25">
      <c r="A1974" s="1"/>
      <c r="B1974" s="2" t="s">
        <v>2870</v>
      </c>
      <c r="C1974" s="2" t="s">
        <v>116</v>
      </c>
      <c r="D1974" s="2" t="s">
        <v>32</v>
      </c>
      <c r="E1974" s="7" t="s">
        <v>3065</v>
      </c>
      <c r="F1974" s="37">
        <v>42467.645833333336</v>
      </c>
      <c r="G1974" s="37">
        <v>42467.666666666664</v>
      </c>
      <c r="H1974" s="1" t="s">
        <v>6</v>
      </c>
      <c r="I1974" s="1" t="s">
        <v>38</v>
      </c>
      <c r="J1974" s="1">
        <v>42467.683680555558</v>
      </c>
      <c r="K1974" s="1" t="s">
        <v>39</v>
      </c>
      <c r="L1974" s="14">
        <f>24*(TblTimeSheet[[#This Row],[End Date and Time]]-TblTimeSheet[[#This Row],[Start Date and Time]])</f>
        <v>0.49999999988358468</v>
      </c>
      <c r="M19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74" s="14">
        <f>--(0&gt;(TblTimeSheet[[#This Row],[End Date and Time]]-TblTimeSheet[[#This Row],[Start Date and Time]]))</f>
        <v>0</v>
      </c>
    </row>
    <row r="1975" spans="1:14" x14ac:dyDescent="0.25">
      <c r="A1975" s="1"/>
      <c r="B1975" s="2" t="s">
        <v>915</v>
      </c>
      <c r="C1975" s="2" t="s">
        <v>116</v>
      </c>
      <c r="D1975" s="2" t="s">
        <v>33</v>
      </c>
      <c r="E1975" s="7" t="s">
        <v>3066</v>
      </c>
      <c r="F1975" s="37">
        <v>42467.673611111109</v>
      </c>
      <c r="G1975" s="37">
        <v>42467.684027777781</v>
      </c>
      <c r="H1975" s="1" t="s">
        <v>6</v>
      </c>
      <c r="I1975" s="1" t="s">
        <v>38</v>
      </c>
      <c r="J1975" s="1">
        <v>42467.68546296296</v>
      </c>
      <c r="K1975" s="1" t="s">
        <v>701</v>
      </c>
      <c r="L1975" s="14">
        <f>24*(TblTimeSheet[[#This Row],[End Date and Time]]-TblTimeSheet[[#This Row],[Start Date and Time]])</f>
        <v>0.25000000011641532</v>
      </c>
      <c r="M19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5" s="14">
        <f>--(0&gt;(TblTimeSheet[[#This Row],[End Date and Time]]-TblTimeSheet[[#This Row],[Start Date and Time]]))</f>
        <v>0</v>
      </c>
    </row>
    <row r="1976" spans="1:14" x14ac:dyDescent="0.25">
      <c r="A1976" s="1"/>
      <c r="B1976" s="2" t="s">
        <v>915</v>
      </c>
      <c r="C1976" s="2" t="s">
        <v>176</v>
      </c>
      <c r="D1976" s="2" t="s">
        <v>33</v>
      </c>
      <c r="E1976" s="7" t="s">
        <v>3706</v>
      </c>
      <c r="F1976" s="37">
        <v>42467.479166666664</v>
      </c>
      <c r="G1976" s="37">
        <v>42467.5</v>
      </c>
      <c r="H1976" s="1" t="s">
        <v>6</v>
      </c>
      <c r="I1976" s="1" t="s">
        <v>38</v>
      </c>
      <c r="J1976" s="1">
        <v>42467.692118055558</v>
      </c>
      <c r="K1976" s="1" t="s">
        <v>176</v>
      </c>
      <c r="L1976" s="14">
        <f>24*(TblTimeSheet[[#This Row],[End Date and Time]]-TblTimeSheet[[#This Row],[Start Date and Time]])</f>
        <v>0.50000000005820766</v>
      </c>
      <c r="M19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6" s="14">
        <f>--(0&gt;(TblTimeSheet[[#This Row],[End Date and Time]]-TblTimeSheet[[#This Row],[Start Date and Time]]))</f>
        <v>0</v>
      </c>
    </row>
    <row r="1977" spans="1:14" x14ac:dyDescent="0.25">
      <c r="A1977" s="1"/>
      <c r="B1977" s="2" t="s">
        <v>915</v>
      </c>
      <c r="C1977" s="2" t="s">
        <v>176</v>
      </c>
      <c r="D1977" s="2" t="s">
        <v>33</v>
      </c>
      <c r="E1977" s="7" t="s">
        <v>3706</v>
      </c>
      <c r="F1977" s="37">
        <v>42467.5</v>
      </c>
      <c r="G1977" s="37">
        <v>42467.541666666664</v>
      </c>
      <c r="H1977" s="1" t="s">
        <v>6</v>
      </c>
      <c r="I1977" s="1" t="s">
        <v>38</v>
      </c>
      <c r="J1977" s="1">
        <v>42467.69263888889</v>
      </c>
      <c r="K1977" s="1" t="s">
        <v>176</v>
      </c>
      <c r="L1977" s="14">
        <f>24*(TblTimeSheet[[#This Row],[End Date and Time]]-TblTimeSheet[[#This Row],[Start Date and Time]])</f>
        <v>0.99999999994179234</v>
      </c>
      <c r="M19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7" s="14">
        <f>--(0&gt;(TblTimeSheet[[#This Row],[End Date and Time]]-TblTimeSheet[[#This Row],[Start Date and Time]]))</f>
        <v>0</v>
      </c>
    </row>
    <row r="1978" spans="1:14" x14ac:dyDescent="0.25">
      <c r="A1978" s="1"/>
      <c r="B1978" s="2" t="s">
        <v>915</v>
      </c>
      <c r="C1978" s="2" t="s">
        <v>176</v>
      </c>
      <c r="D1978" s="2" t="s">
        <v>33</v>
      </c>
      <c r="E1978" s="7" t="s">
        <v>3706</v>
      </c>
      <c r="F1978" s="37">
        <v>42467.583333333336</v>
      </c>
      <c r="G1978" s="37">
        <v>42467.611111111109</v>
      </c>
      <c r="H1978" s="1" t="s">
        <v>6</v>
      </c>
      <c r="I1978" s="1" t="s">
        <v>38</v>
      </c>
      <c r="J1978" s="1">
        <v>42467.693113425928</v>
      </c>
      <c r="K1978" s="1" t="s">
        <v>176</v>
      </c>
      <c r="L1978" s="14">
        <f>24*(TblTimeSheet[[#This Row],[End Date and Time]]-TblTimeSheet[[#This Row],[Start Date and Time]])</f>
        <v>0.6666666665696539</v>
      </c>
      <c r="M19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8" s="14">
        <f>--(0&gt;(TblTimeSheet[[#This Row],[End Date and Time]]-TblTimeSheet[[#This Row],[Start Date and Time]]))</f>
        <v>0</v>
      </c>
    </row>
    <row r="1979" spans="1:14" x14ac:dyDescent="0.25">
      <c r="A1979" s="1"/>
      <c r="B1979" s="2" t="s">
        <v>917</v>
      </c>
      <c r="C1979" s="2" t="s">
        <v>171</v>
      </c>
      <c r="D1979" s="2" t="s">
        <v>32</v>
      </c>
      <c r="E1979" s="7" t="s">
        <v>3707</v>
      </c>
      <c r="F1979" s="37">
        <v>42466.479166666664</v>
      </c>
      <c r="G1979" s="37">
        <v>42466.541666666664</v>
      </c>
      <c r="H1979" s="1" t="s">
        <v>6</v>
      </c>
      <c r="I1979" s="1" t="s">
        <v>38</v>
      </c>
      <c r="J1979" s="1">
        <v>42467.695162037038</v>
      </c>
      <c r="K1979" s="1" t="s">
        <v>171</v>
      </c>
      <c r="L1979" s="14">
        <f>24*(TblTimeSheet[[#This Row],[End Date and Time]]-TblTimeSheet[[#This Row],[Start Date and Time]])</f>
        <v>1.5</v>
      </c>
      <c r="M19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79" s="14">
        <f>--(0&gt;(TblTimeSheet[[#This Row],[End Date and Time]]-TblTimeSheet[[#This Row],[Start Date and Time]]))</f>
        <v>0</v>
      </c>
    </row>
    <row r="1980" spans="1:14" x14ac:dyDescent="0.25">
      <c r="A1980" s="1"/>
      <c r="B1980" s="2" t="s">
        <v>917</v>
      </c>
      <c r="C1980" s="2" t="s">
        <v>171</v>
      </c>
      <c r="D1980" s="2" t="s">
        <v>32</v>
      </c>
      <c r="E1980" s="7" t="s">
        <v>3708</v>
      </c>
      <c r="F1980" s="37">
        <v>42467.375</v>
      </c>
      <c r="G1980" s="37">
        <v>42467.427083333336</v>
      </c>
      <c r="H1980" s="1" t="s">
        <v>6</v>
      </c>
      <c r="I1980" s="1" t="s">
        <v>38</v>
      </c>
      <c r="J1980" s="1">
        <v>42467.695949074077</v>
      </c>
      <c r="K1980" s="1" t="s">
        <v>171</v>
      </c>
      <c r="L1980" s="14">
        <f>24*(TblTimeSheet[[#This Row],[End Date and Time]]-TblTimeSheet[[#This Row],[Start Date and Time]])</f>
        <v>1.2500000000582077</v>
      </c>
      <c r="M19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0" s="14">
        <f>--(0&gt;(TblTimeSheet[[#This Row],[End Date and Time]]-TblTimeSheet[[#This Row],[Start Date and Time]]))</f>
        <v>0</v>
      </c>
    </row>
    <row r="1981" spans="1:14" x14ac:dyDescent="0.25">
      <c r="A1981" s="1"/>
      <c r="B1981" s="2" t="s">
        <v>2872</v>
      </c>
      <c r="C1981" s="2" t="s">
        <v>41</v>
      </c>
      <c r="D1981" s="2" t="s">
        <v>19</v>
      </c>
      <c r="E1981" s="7" t="s">
        <v>2961</v>
      </c>
      <c r="F1981" s="37">
        <v>42467.6875</v>
      </c>
      <c r="G1981" s="37">
        <v>42467.694444444445</v>
      </c>
      <c r="H1981" s="1" t="s">
        <v>6</v>
      </c>
      <c r="I1981" s="1" t="s">
        <v>38</v>
      </c>
      <c r="J1981" s="1">
        <v>42467.702581018515</v>
      </c>
      <c r="K1981" s="1" t="s">
        <v>41</v>
      </c>
      <c r="L1981" s="14">
        <f>24*(TblTimeSheet[[#This Row],[End Date and Time]]-TblTimeSheet[[#This Row],[Start Date and Time]])</f>
        <v>0.16666666668606922</v>
      </c>
      <c r="M19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1" s="14">
        <f>--(0&gt;(TblTimeSheet[[#This Row],[End Date and Time]]-TblTimeSheet[[#This Row],[Start Date and Time]]))</f>
        <v>0</v>
      </c>
    </row>
    <row r="1982" spans="1:14" x14ac:dyDescent="0.25">
      <c r="A1982" s="1"/>
      <c r="B1982" s="2" t="s">
        <v>917</v>
      </c>
      <c r="C1982" s="2" t="s">
        <v>118</v>
      </c>
      <c r="D1982" s="2" t="s">
        <v>32</v>
      </c>
      <c r="E1982" s="7" t="s">
        <v>3067</v>
      </c>
      <c r="F1982" s="37">
        <v>42467.583333333336</v>
      </c>
      <c r="G1982" s="37">
        <v>42467.708333333336</v>
      </c>
      <c r="H1982" s="1" t="s">
        <v>6</v>
      </c>
      <c r="I1982" s="1" t="s">
        <v>38</v>
      </c>
      <c r="J1982" s="1">
        <v>42467.710775462961</v>
      </c>
      <c r="K1982" s="1" t="s">
        <v>118</v>
      </c>
      <c r="L1982" s="14">
        <f>24*(TblTimeSheet[[#This Row],[End Date and Time]]-TblTimeSheet[[#This Row],[Start Date and Time]])</f>
        <v>3</v>
      </c>
      <c r="M19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2" s="14">
        <f>--(0&gt;(TblTimeSheet[[#This Row],[End Date and Time]]-TblTimeSheet[[#This Row],[Start Date and Time]]))</f>
        <v>0</v>
      </c>
    </row>
    <row r="1983" spans="1:14" x14ac:dyDescent="0.25">
      <c r="A1983" s="1"/>
      <c r="B1983" s="2" t="s">
        <v>915</v>
      </c>
      <c r="C1983" s="2" t="s">
        <v>171</v>
      </c>
      <c r="D1983" s="2" t="s">
        <v>33</v>
      </c>
      <c r="E1983" s="7" t="s">
        <v>3709</v>
      </c>
      <c r="F1983" s="37">
        <v>42467.649305555555</v>
      </c>
      <c r="G1983" s="37">
        <v>42467.71875</v>
      </c>
      <c r="H1983" s="1" t="s">
        <v>6</v>
      </c>
      <c r="I1983" s="1" t="s">
        <v>38</v>
      </c>
      <c r="J1983" s="1">
        <v>42468.732060185182</v>
      </c>
      <c r="K1983" s="1" t="s">
        <v>171</v>
      </c>
      <c r="L1983" s="14">
        <f>24*(TblTimeSheet[[#This Row],[End Date and Time]]-TblTimeSheet[[#This Row],[Start Date and Time]])</f>
        <v>1.6666666666860692</v>
      </c>
      <c r="M19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3" s="14">
        <f>--(0&gt;(TblTimeSheet[[#This Row],[End Date and Time]]-TblTimeSheet[[#This Row],[Start Date and Time]]))</f>
        <v>0</v>
      </c>
    </row>
    <row r="1984" spans="1:14" ht="30" x14ac:dyDescent="0.25">
      <c r="A1984" s="1"/>
      <c r="B1984" s="2" t="s">
        <v>2872</v>
      </c>
      <c r="C1984" s="2" t="s">
        <v>116</v>
      </c>
      <c r="D1984" s="2" t="s">
        <v>19</v>
      </c>
      <c r="E1984" s="7" t="s">
        <v>3710</v>
      </c>
      <c r="F1984" s="37">
        <v>42467.732638888891</v>
      </c>
      <c r="G1984" s="37">
        <v>42467.760416666664</v>
      </c>
      <c r="H1984" s="1" t="s">
        <v>6</v>
      </c>
      <c r="I1984" s="1" t="s">
        <v>38</v>
      </c>
      <c r="J1984" s="1">
        <v>42467.762766203705</v>
      </c>
      <c r="K1984" s="1" t="s">
        <v>81</v>
      </c>
      <c r="L1984" s="14">
        <f>24*(TblTimeSheet[[#This Row],[End Date and Time]]-TblTimeSheet[[#This Row],[Start Date and Time]])</f>
        <v>0.6666666665696539</v>
      </c>
      <c r="M19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4" s="14">
        <f>--(0&gt;(TblTimeSheet[[#This Row],[End Date and Time]]-TblTimeSheet[[#This Row],[Start Date and Time]]))</f>
        <v>0</v>
      </c>
    </row>
    <row r="1985" spans="1:14" x14ac:dyDescent="0.25">
      <c r="A1985" s="1"/>
      <c r="B1985" s="2" t="s">
        <v>2872</v>
      </c>
      <c r="C1985" s="2" t="s">
        <v>41</v>
      </c>
      <c r="D1985" s="2" t="s">
        <v>19</v>
      </c>
      <c r="E1985" s="7" t="s">
        <v>3068</v>
      </c>
      <c r="F1985" s="37">
        <v>42467.732638888891</v>
      </c>
      <c r="G1985" s="37">
        <v>42467.760416666664</v>
      </c>
      <c r="H1985" s="1" t="s">
        <v>6</v>
      </c>
      <c r="I1985" s="1" t="s">
        <v>38</v>
      </c>
      <c r="J1985" s="1">
        <v>42467.764155092591</v>
      </c>
      <c r="K1985" s="1" t="s">
        <v>41</v>
      </c>
      <c r="L1985" s="14">
        <f>24*(TblTimeSheet[[#This Row],[End Date and Time]]-TblTimeSheet[[#This Row],[Start Date and Time]])</f>
        <v>0.6666666665696539</v>
      </c>
      <c r="M19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5" s="14">
        <f>--(0&gt;(TblTimeSheet[[#This Row],[End Date and Time]]-TblTimeSheet[[#This Row],[Start Date and Time]]))</f>
        <v>0</v>
      </c>
    </row>
    <row r="1986" spans="1:14" x14ac:dyDescent="0.25">
      <c r="A1986" s="1"/>
      <c r="B1986" s="2" t="s">
        <v>917</v>
      </c>
      <c r="C1986" s="2" t="s">
        <v>176</v>
      </c>
      <c r="D1986" s="2" t="s">
        <v>32</v>
      </c>
      <c r="E1986" s="7" t="s">
        <v>3069</v>
      </c>
      <c r="F1986" s="37">
        <v>42466.479166666664</v>
      </c>
      <c r="G1986" s="37">
        <v>42466.541666666664</v>
      </c>
      <c r="H1986" s="1" t="s">
        <v>6</v>
      </c>
      <c r="I1986" s="1" t="s">
        <v>38</v>
      </c>
      <c r="J1986" s="1">
        <v>42468.677673611113</v>
      </c>
      <c r="K1986" s="1" t="s">
        <v>176</v>
      </c>
      <c r="L1986" s="14">
        <f>24*(TblTimeSheet[[#This Row],[End Date and Time]]-TblTimeSheet[[#This Row],[Start Date and Time]])</f>
        <v>1.5</v>
      </c>
      <c r="M19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6" s="14">
        <f>--(0&gt;(TblTimeSheet[[#This Row],[End Date and Time]]-TblTimeSheet[[#This Row],[Start Date and Time]]))</f>
        <v>0</v>
      </c>
    </row>
    <row r="1987" spans="1:14" x14ac:dyDescent="0.25">
      <c r="A1987" s="1"/>
      <c r="B1987" s="2" t="s">
        <v>917</v>
      </c>
      <c r="C1987" s="2" t="s">
        <v>176</v>
      </c>
      <c r="D1987" s="2" t="s">
        <v>32</v>
      </c>
      <c r="E1987" s="7" t="s">
        <v>3711</v>
      </c>
      <c r="F1987" s="37">
        <v>42467.375</v>
      </c>
      <c r="G1987" s="37">
        <v>42467.427083333336</v>
      </c>
      <c r="H1987" s="1" t="s">
        <v>6</v>
      </c>
      <c r="I1987" s="1" t="s">
        <v>38</v>
      </c>
      <c r="J1987" s="1">
        <v>42468.678020833337</v>
      </c>
      <c r="K1987" s="1" t="s">
        <v>176</v>
      </c>
      <c r="L1987" s="14">
        <f>24*(TblTimeSheet[[#This Row],[End Date and Time]]-TblTimeSheet[[#This Row],[Start Date and Time]])</f>
        <v>1.2500000000582077</v>
      </c>
      <c r="M19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7" s="14">
        <f>--(0&gt;(TblTimeSheet[[#This Row],[End Date and Time]]-TblTimeSheet[[#This Row],[Start Date and Time]]))</f>
        <v>0</v>
      </c>
    </row>
    <row r="1988" spans="1:14" x14ac:dyDescent="0.25">
      <c r="A1988" s="1"/>
      <c r="B1988" s="2" t="s">
        <v>2870</v>
      </c>
      <c r="C1988" s="2" t="s">
        <v>116</v>
      </c>
      <c r="D1988" s="2" t="s">
        <v>32</v>
      </c>
      <c r="E1988" s="7" t="s">
        <v>456</v>
      </c>
      <c r="F1988" s="37">
        <v>42468.416666666664</v>
      </c>
      <c r="G1988" s="37">
        <v>42468.423611111109</v>
      </c>
      <c r="H1988" s="1" t="s">
        <v>6</v>
      </c>
      <c r="I1988" s="1" t="s">
        <v>38</v>
      </c>
      <c r="J1988" s="1">
        <v>42468.425844907404</v>
      </c>
      <c r="K1988" s="1" t="s">
        <v>1026</v>
      </c>
      <c r="L1988" s="14">
        <f>24*(TblTimeSheet[[#This Row],[End Date and Time]]-TblTimeSheet[[#This Row],[Start Date and Time]])</f>
        <v>0.16666666668606922</v>
      </c>
      <c r="M19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1988" s="14">
        <f>--(0&gt;(TblTimeSheet[[#This Row],[End Date and Time]]-TblTimeSheet[[#This Row],[Start Date and Time]]))</f>
        <v>0</v>
      </c>
    </row>
    <row r="1989" spans="1:14" x14ac:dyDescent="0.25">
      <c r="A1989" s="1"/>
      <c r="B1989" s="2" t="s">
        <v>2870</v>
      </c>
      <c r="C1989" s="2" t="s">
        <v>41</v>
      </c>
      <c r="D1989" s="2" t="s">
        <v>32</v>
      </c>
      <c r="E1989" s="7" t="s">
        <v>3712</v>
      </c>
      <c r="F1989" s="37">
        <v>42468.416666666664</v>
      </c>
      <c r="G1989" s="37">
        <v>42468.423611111109</v>
      </c>
      <c r="H1989" s="1" t="s">
        <v>6</v>
      </c>
      <c r="I1989" s="1" t="s">
        <v>38</v>
      </c>
      <c r="J1989" s="1">
        <v>42468.42597222222</v>
      </c>
      <c r="K1989" s="1" t="s">
        <v>41</v>
      </c>
      <c r="L1989" s="14">
        <f>24*(TblTimeSheet[[#This Row],[End Date and Time]]-TblTimeSheet[[#This Row],[Start Date and Time]])</f>
        <v>0.16666666668606922</v>
      </c>
      <c r="M19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89" s="14">
        <f>--(0&gt;(TblTimeSheet[[#This Row],[End Date and Time]]-TblTimeSheet[[#This Row],[Start Date and Time]]))</f>
        <v>0</v>
      </c>
    </row>
    <row r="1990" spans="1:14" x14ac:dyDescent="0.25">
      <c r="A1990" s="1"/>
      <c r="B1990" s="2" t="s">
        <v>2872</v>
      </c>
      <c r="C1990" s="2" t="s">
        <v>116</v>
      </c>
      <c r="D1990" s="2" t="s">
        <v>20</v>
      </c>
      <c r="E1990" s="7" t="s">
        <v>3713</v>
      </c>
      <c r="F1990" s="37">
        <v>42468.4375</v>
      </c>
      <c r="G1990" s="37">
        <v>42468.444444444445</v>
      </c>
      <c r="H1990" s="1" t="s">
        <v>6</v>
      </c>
      <c r="I1990" s="1" t="s">
        <v>38</v>
      </c>
      <c r="J1990" s="1">
        <v>42468.447812500002</v>
      </c>
      <c r="K1990" s="1" t="s">
        <v>81</v>
      </c>
      <c r="L1990" s="14">
        <f>24*(TblTimeSheet[[#This Row],[End Date and Time]]-TblTimeSheet[[#This Row],[Start Date and Time]])</f>
        <v>0.16666666668606922</v>
      </c>
      <c r="M19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0" s="14">
        <f>--(0&gt;(TblTimeSheet[[#This Row],[End Date and Time]]-TblTimeSheet[[#This Row],[Start Date and Time]]))</f>
        <v>0</v>
      </c>
    </row>
    <row r="1991" spans="1:14" x14ac:dyDescent="0.25">
      <c r="A1991" s="1"/>
      <c r="B1991" s="2" t="s">
        <v>2872</v>
      </c>
      <c r="C1991" s="2" t="s">
        <v>41</v>
      </c>
      <c r="D1991" s="2" t="s">
        <v>20</v>
      </c>
      <c r="E1991" s="7" t="s">
        <v>3714</v>
      </c>
      <c r="F1991" s="37">
        <v>42468.4375</v>
      </c>
      <c r="G1991" s="37">
        <v>42468.444444444445</v>
      </c>
      <c r="H1991" s="1" t="s">
        <v>6</v>
      </c>
      <c r="I1991" s="1" t="s">
        <v>38</v>
      </c>
      <c r="J1991" s="1">
        <v>42468.452465277776</v>
      </c>
      <c r="K1991" s="1" t="s">
        <v>41</v>
      </c>
      <c r="L1991" s="14">
        <f>24*(TblTimeSheet[[#This Row],[End Date and Time]]-TblTimeSheet[[#This Row],[Start Date and Time]])</f>
        <v>0.16666666668606922</v>
      </c>
      <c r="M19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1" s="14">
        <f>--(0&gt;(TblTimeSheet[[#This Row],[End Date and Time]]-TblTimeSheet[[#This Row],[Start Date and Time]]))</f>
        <v>0</v>
      </c>
    </row>
    <row r="1992" spans="1:14" x14ac:dyDescent="0.25">
      <c r="A1992" s="1"/>
      <c r="B1992" s="2" t="s">
        <v>2872</v>
      </c>
      <c r="C1992" s="2" t="s">
        <v>1469</v>
      </c>
      <c r="D1992" s="2" t="s">
        <v>20</v>
      </c>
      <c r="E1992" s="7" t="s">
        <v>3715</v>
      </c>
      <c r="F1992" s="37">
        <v>42468.4375</v>
      </c>
      <c r="G1992" s="37">
        <v>42468.444444444445</v>
      </c>
      <c r="H1992" s="1" t="s">
        <v>6</v>
      </c>
      <c r="I1992" s="1" t="s">
        <v>38</v>
      </c>
      <c r="J1992" s="1">
        <v>42468.456087962964</v>
      </c>
      <c r="K1992" s="1" t="s">
        <v>1469</v>
      </c>
      <c r="L1992" s="14">
        <f>24*(TblTimeSheet[[#This Row],[End Date and Time]]-TblTimeSheet[[#This Row],[Start Date and Time]])</f>
        <v>0.16666666668606922</v>
      </c>
      <c r="M19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2" s="14">
        <f>--(0&gt;(TblTimeSheet[[#This Row],[End Date and Time]]-TblTimeSheet[[#This Row],[Start Date and Time]]))</f>
        <v>0</v>
      </c>
    </row>
    <row r="1993" spans="1:14" x14ac:dyDescent="0.25">
      <c r="A1993" s="1"/>
      <c r="B1993" s="2" t="s">
        <v>2872</v>
      </c>
      <c r="C1993" s="2" t="s">
        <v>1061</v>
      </c>
      <c r="D1993" s="2" t="s">
        <v>20</v>
      </c>
      <c r="E1993" s="7" t="s">
        <v>3716</v>
      </c>
      <c r="F1993" s="37">
        <v>42468.4375</v>
      </c>
      <c r="G1993" s="37">
        <v>42468.444444444445</v>
      </c>
      <c r="H1993" s="1" t="s">
        <v>6</v>
      </c>
      <c r="I1993" s="1" t="s">
        <v>38</v>
      </c>
      <c r="J1993" s="1">
        <v>42468.487928240742</v>
      </c>
      <c r="K1993" s="1" t="s">
        <v>1061</v>
      </c>
      <c r="L1993" s="14">
        <f>24*(TblTimeSheet[[#This Row],[End Date and Time]]-TblTimeSheet[[#This Row],[Start Date and Time]])</f>
        <v>0.16666666668606922</v>
      </c>
      <c r="M19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3" s="14">
        <f>--(0&gt;(TblTimeSheet[[#This Row],[End Date and Time]]-TblTimeSheet[[#This Row],[Start Date and Time]]))</f>
        <v>0</v>
      </c>
    </row>
    <row r="1994" spans="1:14" x14ac:dyDescent="0.25">
      <c r="A1994" s="1"/>
      <c r="B1994" s="2" t="s">
        <v>2870</v>
      </c>
      <c r="C1994" s="2" t="s">
        <v>41</v>
      </c>
      <c r="D1994" s="2" t="s">
        <v>32</v>
      </c>
      <c r="E1994" s="7" t="s">
        <v>3717</v>
      </c>
      <c r="F1994" s="37">
        <v>42468.458333333336</v>
      </c>
      <c r="G1994" s="37">
        <v>42468.496527777781</v>
      </c>
      <c r="H1994" s="1" t="s">
        <v>6</v>
      </c>
      <c r="I1994" s="1" t="s">
        <v>38</v>
      </c>
      <c r="J1994" s="1">
        <v>42468.686342592591</v>
      </c>
      <c r="K1994" s="1" t="s">
        <v>41</v>
      </c>
      <c r="L1994" s="14">
        <f>24*(TblTimeSheet[[#This Row],[End Date and Time]]-TblTimeSheet[[#This Row],[Start Date and Time]])</f>
        <v>0.91666666668606922</v>
      </c>
      <c r="M19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4" s="14">
        <f>--(0&gt;(TblTimeSheet[[#This Row],[End Date and Time]]-TblTimeSheet[[#This Row],[Start Date and Time]]))</f>
        <v>0</v>
      </c>
    </row>
    <row r="1995" spans="1:14" x14ac:dyDescent="0.25">
      <c r="A1995" s="1"/>
      <c r="B1995" s="2" t="s">
        <v>917</v>
      </c>
      <c r="C1995" s="2" t="s">
        <v>176</v>
      </c>
      <c r="D1995" s="2" t="s">
        <v>32</v>
      </c>
      <c r="E1995" s="7" t="s">
        <v>3070</v>
      </c>
      <c r="F1995" s="37">
        <v>42468.375</v>
      </c>
      <c r="G1995" s="37">
        <v>42468.510416666664</v>
      </c>
      <c r="H1995" s="1" t="s">
        <v>6</v>
      </c>
      <c r="I1995" s="1" t="s">
        <v>38</v>
      </c>
      <c r="J1995" s="1">
        <v>42468.509467592594</v>
      </c>
      <c r="K1995" s="1" t="s">
        <v>176</v>
      </c>
      <c r="L1995" s="14">
        <f>24*(TblTimeSheet[[#This Row],[End Date and Time]]-TblTimeSheet[[#This Row],[Start Date and Time]])</f>
        <v>3.2499999999417923</v>
      </c>
      <c r="M19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5" s="14">
        <f>--(0&gt;(TblTimeSheet[[#This Row],[End Date and Time]]-TblTimeSheet[[#This Row],[Start Date and Time]]))</f>
        <v>0</v>
      </c>
    </row>
    <row r="1996" spans="1:14" x14ac:dyDescent="0.25">
      <c r="A1996" s="1"/>
      <c r="B1996" s="2" t="s">
        <v>2870</v>
      </c>
      <c r="C1996" s="2" t="s">
        <v>171</v>
      </c>
      <c r="D1996" s="2" t="s">
        <v>32</v>
      </c>
      <c r="E1996" s="7" t="s">
        <v>3718</v>
      </c>
      <c r="F1996" s="37">
        <v>42468.458333333336</v>
      </c>
      <c r="G1996" s="37">
        <v>42468.496527777781</v>
      </c>
      <c r="H1996" s="1" t="s">
        <v>6</v>
      </c>
      <c r="I1996" s="1" t="s">
        <v>38</v>
      </c>
      <c r="J1996" s="1">
        <v>42468.530543981484</v>
      </c>
      <c r="K1996" s="1" t="s">
        <v>171</v>
      </c>
      <c r="L1996" s="14">
        <f>24*(TblTimeSheet[[#This Row],[End Date and Time]]-TblTimeSheet[[#This Row],[Start Date and Time]])</f>
        <v>0.91666666668606922</v>
      </c>
      <c r="M19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6" s="14">
        <f>--(0&gt;(TblTimeSheet[[#This Row],[End Date and Time]]-TblTimeSheet[[#This Row],[Start Date and Time]]))</f>
        <v>0</v>
      </c>
    </row>
    <row r="1997" spans="1:14" x14ac:dyDescent="0.25">
      <c r="A1997" s="1"/>
      <c r="B1997" s="2" t="s">
        <v>2872</v>
      </c>
      <c r="C1997" s="2" t="s">
        <v>1061</v>
      </c>
      <c r="D1997" s="2" t="s">
        <v>20</v>
      </c>
      <c r="E1997" s="7" t="s">
        <v>3071</v>
      </c>
      <c r="F1997" s="37">
        <v>42468.083333333336</v>
      </c>
      <c r="G1997" s="37">
        <v>42468.114583333336</v>
      </c>
      <c r="H1997" s="1" t="s">
        <v>6</v>
      </c>
      <c r="I1997" s="1" t="s">
        <v>38</v>
      </c>
      <c r="J1997" s="1">
        <v>42468.628101851849</v>
      </c>
      <c r="K1997" s="1" t="s">
        <v>1061</v>
      </c>
      <c r="L1997" s="14">
        <f>24*(TblTimeSheet[[#This Row],[End Date and Time]]-TblTimeSheet[[#This Row],[Start Date and Time]])</f>
        <v>0.75</v>
      </c>
      <c r="M19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7" s="14">
        <f>--(0&gt;(TblTimeSheet[[#This Row],[End Date and Time]]-TblTimeSheet[[#This Row],[Start Date and Time]]))</f>
        <v>0</v>
      </c>
    </row>
    <row r="1998" spans="1:14" x14ac:dyDescent="0.25">
      <c r="A1998" s="1"/>
      <c r="B1998" s="2" t="s">
        <v>2870</v>
      </c>
      <c r="C1998" s="2" t="s">
        <v>1105</v>
      </c>
      <c r="D1998" s="2" t="s">
        <v>32</v>
      </c>
      <c r="E1998" s="7" t="s">
        <v>1372</v>
      </c>
      <c r="F1998" s="37">
        <v>42468.416666666664</v>
      </c>
      <c r="G1998" s="37">
        <v>42468.423611111109</v>
      </c>
      <c r="H1998" s="1" t="s">
        <v>6</v>
      </c>
      <c r="I1998" s="1" t="s">
        <v>38</v>
      </c>
      <c r="J1998" s="1">
        <v>42468.644131944442</v>
      </c>
      <c r="K1998" s="1" t="s">
        <v>2864</v>
      </c>
      <c r="L1998" s="14">
        <f>24*(TblTimeSheet[[#This Row],[End Date and Time]]-TblTimeSheet[[#This Row],[Start Date and Time]])</f>
        <v>0.16666666668606922</v>
      </c>
      <c r="M19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8" s="14">
        <f>--(0&gt;(TblTimeSheet[[#This Row],[End Date and Time]]-TblTimeSheet[[#This Row],[Start Date and Time]]))</f>
        <v>0</v>
      </c>
    </row>
    <row r="1999" spans="1:14" x14ac:dyDescent="0.25">
      <c r="A1999" s="1"/>
      <c r="B1999" s="2" t="s">
        <v>917</v>
      </c>
      <c r="C1999" s="2" t="s">
        <v>78</v>
      </c>
      <c r="D1999" s="2" t="s">
        <v>32</v>
      </c>
      <c r="E1999" s="7" t="s">
        <v>3072</v>
      </c>
      <c r="F1999" s="37">
        <v>42468.645833333336</v>
      </c>
      <c r="G1999" s="37">
        <v>42468.65625</v>
      </c>
      <c r="H1999" s="1" t="s">
        <v>6</v>
      </c>
      <c r="I1999" s="1" t="s">
        <v>38</v>
      </c>
      <c r="J1999" s="1">
        <v>42468.654374999998</v>
      </c>
      <c r="K1999" s="1" t="s">
        <v>78</v>
      </c>
      <c r="L1999" s="14">
        <f>24*(TblTimeSheet[[#This Row],[End Date and Time]]-TblTimeSheet[[#This Row],[Start Date and Time]])</f>
        <v>0.24999999994179234</v>
      </c>
      <c r="M19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1999" s="14">
        <f>--(0&gt;(TblTimeSheet[[#This Row],[End Date and Time]]-TblTimeSheet[[#This Row],[Start Date and Time]]))</f>
        <v>0</v>
      </c>
    </row>
    <row r="2000" spans="1:14" x14ac:dyDescent="0.25">
      <c r="A2000" s="1"/>
      <c r="B2000" s="2" t="s">
        <v>917</v>
      </c>
      <c r="C2000" s="2" t="s">
        <v>116</v>
      </c>
      <c r="D2000" s="2" t="s">
        <v>32</v>
      </c>
      <c r="E2000" s="7" t="s">
        <v>3073</v>
      </c>
      <c r="F2000" s="37">
        <v>42468.385416666664</v>
      </c>
      <c r="G2000" s="37">
        <v>42468.40625</v>
      </c>
      <c r="H2000" s="1" t="s">
        <v>6</v>
      </c>
      <c r="I2000" s="1" t="s">
        <v>38</v>
      </c>
      <c r="J2000" s="1">
        <v>42468.665289351855</v>
      </c>
      <c r="K2000" s="1" t="s">
        <v>701</v>
      </c>
      <c r="L2000" s="14">
        <f>24*(TblTimeSheet[[#This Row],[End Date and Time]]-TblTimeSheet[[#This Row],[Start Date and Time]])</f>
        <v>0.50000000005820766</v>
      </c>
      <c r="M20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0" s="14">
        <f>--(0&gt;(TblTimeSheet[[#This Row],[End Date and Time]]-TblTimeSheet[[#This Row],[Start Date and Time]]))</f>
        <v>0</v>
      </c>
    </row>
    <row r="2001" spans="1:14" x14ac:dyDescent="0.25">
      <c r="A2001" s="1"/>
      <c r="B2001" s="2" t="s">
        <v>2870</v>
      </c>
      <c r="C2001" s="2" t="s">
        <v>116</v>
      </c>
      <c r="D2001" s="2" t="s">
        <v>32</v>
      </c>
      <c r="E2001" s="7" t="s">
        <v>3073</v>
      </c>
      <c r="F2001" s="37">
        <v>42468.423611111109</v>
      </c>
      <c r="G2001" s="37">
        <v>42468.4375</v>
      </c>
      <c r="H2001" s="1" t="s">
        <v>6</v>
      </c>
      <c r="I2001" s="1" t="s">
        <v>38</v>
      </c>
      <c r="J2001" s="1">
        <v>42468.668321759258</v>
      </c>
      <c r="K2001" s="1" t="s">
        <v>701</v>
      </c>
      <c r="L2001" s="14">
        <f>24*(TblTimeSheet[[#This Row],[End Date and Time]]-TblTimeSheet[[#This Row],[Start Date and Time]])</f>
        <v>0.33333333337213844</v>
      </c>
      <c r="M20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1" s="14">
        <f>--(0&gt;(TblTimeSheet[[#This Row],[End Date and Time]]-TblTimeSheet[[#This Row],[Start Date and Time]]))</f>
        <v>0</v>
      </c>
    </row>
    <row r="2002" spans="1:14" x14ac:dyDescent="0.25">
      <c r="A2002" s="1"/>
      <c r="B2002" s="2" t="s">
        <v>917</v>
      </c>
      <c r="C2002" s="2" t="s">
        <v>116</v>
      </c>
      <c r="D2002" s="2" t="s">
        <v>32</v>
      </c>
      <c r="E2002" s="7" t="s">
        <v>456</v>
      </c>
      <c r="F2002" s="37">
        <v>42466.729166666664</v>
      </c>
      <c r="G2002" s="37">
        <v>42466.739583333336</v>
      </c>
      <c r="H2002" s="1" t="s">
        <v>6</v>
      </c>
      <c r="I2002" s="1" t="s">
        <v>38</v>
      </c>
      <c r="J2002" s="1">
        <v>42468.667233796295</v>
      </c>
      <c r="K2002" s="1" t="s">
        <v>701</v>
      </c>
      <c r="L2002" s="14">
        <f>24*(TblTimeSheet[[#This Row],[End Date and Time]]-TblTimeSheet[[#This Row],[Start Date and Time]])</f>
        <v>0.25000000011641532</v>
      </c>
      <c r="M20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2" s="14">
        <f>--(0&gt;(TblTimeSheet[[#This Row],[End Date and Time]]-TblTimeSheet[[#This Row],[Start Date and Time]]))</f>
        <v>0</v>
      </c>
    </row>
    <row r="2003" spans="1:14" x14ac:dyDescent="0.25">
      <c r="A2003" s="1"/>
      <c r="B2003" s="2" t="s">
        <v>2870</v>
      </c>
      <c r="C2003" s="2" t="s">
        <v>116</v>
      </c>
      <c r="D2003" s="2" t="s">
        <v>32</v>
      </c>
      <c r="E2003" s="7" t="s">
        <v>516</v>
      </c>
      <c r="F2003" s="37">
        <v>42468.416666666664</v>
      </c>
      <c r="G2003" s="37">
        <v>42468.423611111109</v>
      </c>
      <c r="H2003" s="1" t="s">
        <v>6</v>
      </c>
      <c r="I2003" s="1" t="s">
        <v>38</v>
      </c>
      <c r="J2003" s="1">
        <v>42468.668634259258</v>
      </c>
      <c r="K2003" s="1" t="s">
        <v>701</v>
      </c>
      <c r="L2003" s="14">
        <f>24*(TblTimeSheet[[#This Row],[End Date and Time]]-TblTimeSheet[[#This Row],[Start Date and Time]])</f>
        <v>0.16666666668606922</v>
      </c>
      <c r="M20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03" s="14">
        <f>--(0&gt;(TblTimeSheet[[#This Row],[End Date and Time]]-TblTimeSheet[[#This Row],[Start Date and Time]]))</f>
        <v>0</v>
      </c>
    </row>
    <row r="2004" spans="1:14" x14ac:dyDescent="0.25">
      <c r="A2004" s="1"/>
      <c r="B2004" s="2" t="s">
        <v>917</v>
      </c>
      <c r="C2004" s="2" t="s">
        <v>78</v>
      </c>
      <c r="D2004" s="2" t="s">
        <v>32</v>
      </c>
      <c r="E2004" s="7" t="s">
        <v>3074</v>
      </c>
      <c r="F2004" s="37">
        <v>42468.663194444445</v>
      </c>
      <c r="G2004" s="37">
        <v>42468.673611111109</v>
      </c>
      <c r="H2004" s="1" t="s">
        <v>6</v>
      </c>
      <c r="I2004" s="1" t="s">
        <v>38</v>
      </c>
      <c r="J2004" s="1">
        <v>42468.671157407407</v>
      </c>
      <c r="K2004" s="1" t="s">
        <v>78</v>
      </c>
      <c r="L2004" s="14">
        <f>24*(TblTimeSheet[[#This Row],[End Date and Time]]-TblTimeSheet[[#This Row],[Start Date and Time]])</f>
        <v>0.24999999994179234</v>
      </c>
      <c r="M20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4" s="14">
        <f>--(0&gt;(TblTimeSheet[[#This Row],[End Date and Time]]-TblTimeSheet[[#This Row],[Start Date and Time]]))</f>
        <v>0</v>
      </c>
    </row>
    <row r="2005" spans="1:14" x14ac:dyDescent="0.25">
      <c r="A2005" s="1"/>
      <c r="B2005" s="2" t="s">
        <v>917</v>
      </c>
      <c r="C2005" s="2" t="s">
        <v>116</v>
      </c>
      <c r="D2005" s="2" t="s">
        <v>32</v>
      </c>
      <c r="E2005" s="7" t="s">
        <v>3075</v>
      </c>
      <c r="F2005" s="37">
        <v>42467.625</v>
      </c>
      <c r="G2005" s="37">
        <v>42467.645833333336</v>
      </c>
      <c r="H2005" s="1" t="s">
        <v>6</v>
      </c>
      <c r="I2005" s="1" t="s">
        <v>38</v>
      </c>
      <c r="J2005" s="1">
        <v>42468.673159722224</v>
      </c>
      <c r="K2005" s="1" t="s">
        <v>701</v>
      </c>
      <c r="L2005" s="14">
        <f>24*(TblTimeSheet[[#This Row],[End Date and Time]]-TblTimeSheet[[#This Row],[Start Date and Time]])</f>
        <v>0.50000000005820766</v>
      </c>
      <c r="M20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05" s="14">
        <f>--(0&gt;(TblTimeSheet[[#This Row],[End Date and Time]]-TblTimeSheet[[#This Row],[Start Date and Time]]))</f>
        <v>0</v>
      </c>
    </row>
    <row r="2006" spans="1:14" x14ac:dyDescent="0.25">
      <c r="A2006" s="1"/>
      <c r="B2006" s="2" t="s">
        <v>2870</v>
      </c>
      <c r="C2006" s="2" t="s">
        <v>116</v>
      </c>
      <c r="D2006" s="2" t="s">
        <v>32</v>
      </c>
      <c r="E2006" s="7" t="s">
        <v>3075</v>
      </c>
      <c r="F2006" s="37">
        <v>42467.645833333336</v>
      </c>
      <c r="G2006" s="37">
        <v>42467.666666666664</v>
      </c>
      <c r="H2006" s="1" t="s">
        <v>6</v>
      </c>
      <c r="I2006" s="1" t="s">
        <v>38</v>
      </c>
      <c r="J2006" s="1">
        <v>42468.673530092594</v>
      </c>
      <c r="K2006" s="1" t="s">
        <v>701</v>
      </c>
      <c r="L2006" s="14">
        <f>24*(TblTimeSheet[[#This Row],[End Date and Time]]-TblTimeSheet[[#This Row],[Start Date and Time]])</f>
        <v>0.49999999988358468</v>
      </c>
      <c r="M20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06" s="14">
        <f>--(0&gt;(TblTimeSheet[[#This Row],[End Date and Time]]-TblTimeSheet[[#This Row],[Start Date and Time]]))</f>
        <v>0</v>
      </c>
    </row>
    <row r="2007" spans="1:14" x14ac:dyDescent="0.25">
      <c r="A2007" s="1"/>
      <c r="B2007" s="2" t="s">
        <v>917</v>
      </c>
      <c r="C2007" s="2" t="s">
        <v>176</v>
      </c>
      <c r="D2007" s="2" t="s">
        <v>32</v>
      </c>
      <c r="E2007" s="7" t="s">
        <v>3076</v>
      </c>
      <c r="F2007" s="37">
        <v>42466.583333333336</v>
      </c>
      <c r="G2007" s="37">
        <v>42466.708333333336</v>
      </c>
      <c r="H2007" s="1" t="s">
        <v>6</v>
      </c>
      <c r="I2007" s="1" t="s">
        <v>38</v>
      </c>
      <c r="J2007" s="1">
        <v>42468.681643518517</v>
      </c>
      <c r="K2007" s="1" t="s">
        <v>176</v>
      </c>
      <c r="L2007" s="14">
        <f>24*(TblTimeSheet[[#This Row],[End Date and Time]]-TblTimeSheet[[#This Row],[Start Date and Time]])</f>
        <v>3</v>
      </c>
      <c r="M20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7" s="14">
        <f>--(0&gt;(TblTimeSheet[[#This Row],[End Date and Time]]-TblTimeSheet[[#This Row],[Start Date and Time]]))</f>
        <v>0</v>
      </c>
    </row>
    <row r="2008" spans="1:14" x14ac:dyDescent="0.25">
      <c r="A2008" s="1"/>
      <c r="B2008" s="2" t="s">
        <v>2870</v>
      </c>
      <c r="C2008" s="2" t="s">
        <v>41</v>
      </c>
      <c r="D2008" s="2" t="s">
        <v>32</v>
      </c>
      <c r="E2008" s="7" t="s">
        <v>1750</v>
      </c>
      <c r="F2008" s="37">
        <v>42468.583333333336</v>
      </c>
      <c r="G2008" s="37">
        <v>42468.666666666664</v>
      </c>
      <c r="H2008" s="1" t="s">
        <v>6</v>
      </c>
      <c r="I2008" s="1" t="s">
        <v>38</v>
      </c>
      <c r="J2008" s="1">
        <v>42468.6871875</v>
      </c>
      <c r="K2008" s="1" t="s">
        <v>41</v>
      </c>
      <c r="L2008" s="14">
        <f>24*(TblTimeSheet[[#This Row],[End Date and Time]]-TblTimeSheet[[#This Row],[Start Date and Time]])</f>
        <v>1.9999999998835847</v>
      </c>
      <c r="M20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8" s="14">
        <f>--(0&gt;(TblTimeSheet[[#This Row],[End Date and Time]]-TblTimeSheet[[#This Row],[Start Date and Time]]))</f>
        <v>0</v>
      </c>
    </row>
    <row r="2009" spans="1:14" x14ac:dyDescent="0.25">
      <c r="A2009" s="1"/>
      <c r="B2009" s="2" t="s">
        <v>917</v>
      </c>
      <c r="C2009" s="2" t="s">
        <v>176</v>
      </c>
      <c r="D2009" s="2" t="s">
        <v>32</v>
      </c>
      <c r="E2009" s="7" t="s">
        <v>3719</v>
      </c>
      <c r="F2009" s="37">
        <v>42468.677083333336</v>
      </c>
      <c r="G2009" s="37">
        <v>42468.6875</v>
      </c>
      <c r="H2009" s="1" t="s">
        <v>6</v>
      </c>
      <c r="I2009" s="1" t="s">
        <v>38</v>
      </c>
      <c r="J2009" s="1">
        <v>42468.685925925929</v>
      </c>
      <c r="K2009" s="1" t="s">
        <v>176</v>
      </c>
      <c r="L2009" s="14">
        <f>24*(TblTimeSheet[[#This Row],[End Date and Time]]-TblTimeSheet[[#This Row],[Start Date and Time]])</f>
        <v>0.24999999994179234</v>
      </c>
      <c r="M20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09" s="14">
        <f>--(0&gt;(TblTimeSheet[[#This Row],[End Date and Time]]-TblTimeSheet[[#This Row],[Start Date and Time]]))</f>
        <v>0</v>
      </c>
    </row>
    <row r="2010" spans="1:14" x14ac:dyDescent="0.25">
      <c r="A2010" s="1"/>
      <c r="B2010" s="2" t="s">
        <v>915</v>
      </c>
      <c r="C2010" s="2" t="s">
        <v>1117</v>
      </c>
      <c r="D2010" s="2" t="s">
        <v>33</v>
      </c>
      <c r="E2010" s="7" t="s">
        <v>3077</v>
      </c>
      <c r="F2010" s="37">
        <v>42468.375</v>
      </c>
      <c r="G2010" s="37">
        <v>42468.541666666664</v>
      </c>
      <c r="H2010" s="1" t="s">
        <v>6</v>
      </c>
      <c r="I2010" s="1" t="s">
        <v>38</v>
      </c>
      <c r="J2010" s="1">
        <v>42468.689201388886</v>
      </c>
      <c r="K2010" s="1" t="s">
        <v>2865</v>
      </c>
      <c r="L2010" s="14">
        <f>24*(TblTimeSheet[[#This Row],[End Date and Time]]-TblTimeSheet[[#This Row],[Start Date and Time]])</f>
        <v>3.9999999999417923</v>
      </c>
      <c r="M20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0" s="14">
        <f>--(0&gt;(TblTimeSheet[[#This Row],[End Date and Time]]-TblTimeSheet[[#This Row],[Start Date and Time]]))</f>
        <v>0</v>
      </c>
    </row>
    <row r="2011" spans="1:14" x14ac:dyDescent="0.25">
      <c r="A2011" s="1"/>
      <c r="B2011" s="2" t="s">
        <v>915</v>
      </c>
      <c r="C2011" s="2" t="s">
        <v>1117</v>
      </c>
      <c r="D2011" s="2" t="s">
        <v>33</v>
      </c>
      <c r="E2011" s="7" t="s">
        <v>3078</v>
      </c>
      <c r="F2011" s="37">
        <v>42468.583333333336</v>
      </c>
      <c r="G2011" s="37">
        <v>42468.6875</v>
      </c>
      <c r="H2011" s="1" t="s">
        <v>6</v>
      </c>
      <c r="I2011" s="1" t="s">
        <v>38</v>
      </c>
      <c r="J2011" s="1">
        <v>42468.68986111111</v>
      </c>
      <c r="K2011" s="1" t="s">
        <v>2865</v>
      </c>
      <c r="L2011" s="14">
        <f>24*(TblTimeSheet[[#This Row],[End Date and Time]]-TblTimeSheet[[#This Row],[Start Date and Time]])</f>
        <v>2.4999999999417923</v>
      </c>
      <c r="M20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1" s="14">
        <f>--(0&gt;(TblTimeSheet[[#This Row],[End Date and Time]]-TblTimeSheet[[#This Row],[Start Date and Time]]))</f>
        <v>0</v>
      </c>
    </row>
    <row r="2012" spans="1:14" x14ac:dyDescent="0.25">
      <c r="A2012" s="1"/>
      <c r="B2012" s="2" t="s">
        <v>917</v>
      </c>
      <c r="C2012" s="2" t="s">
        <v>171</v>
      </c>
      <c r="D2012" s="2" t="s">
        <v>32</v>
      </c>
      <c r="E2012" s="7" t="s">
        <v>3720</v>
      </c>
      <c r="F2012" s="37">
        <v>42468.645833333336</v>
      </c>
      <c r="G2012" s="37">
        <v>42468.65625</v>
      </c>
      <c r="H2012" s="1" t="s">
        <v>6</v>
      </c>
      <c r="I2012" s="1" t="s">
        <v>38</v>
      </c>
      <c r="J2012" s="1">
        <v>42468.692476851851</v>
      </c>
      <c r="K2012" s="1" t="s">
        <v>171</v>
      </c>
      <c r="L2012" s="14">
        <f>24*(TblTimeSheet[[#This Row],[End Date and Time]]-TblTimeSheet[[#This Row],[Start Date and Time]])</f>
        <v>0.24999999994179234</v>
      </c>
      <c r="M20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2" s="14">
        <f>--(0&gt;(TblTimeSheet[[#This Row],[End Date and Time]]-TblTimeSheet[[#This Row],[Start Date and Time]]))</f>
        <v>0</v>
      </c>
    </row>
    <row r="2013" spans="1:14" x14ac:dyDescent="0.25">
      <c r="A2013" s="1"/>
      <c r="B2013" s="2" t="s">
        <v>917</v>
      </c>
      <c r="C2013" s="2" t="s">
        <v>171</v>
      </c>
      <c r="D2013" s="2" t="s">
        <v>32</v>
      </c>
      <c r="E2013" s="7" t="s">
        <v>3721</v>
      </c>
      <c r="F2013" s="37">
        <v>42468.663194444445</v>
      </c>
      <c r="G2013" s="37">
        <v>42468.673611111109</v>
      </c>
      <c r="H2013" s="1" t="s">
        <v>6</v>
      </c>
      <c r="I2013" s="1" t="s">
        <v>38</v>
      </c>
      <c r="J2013" s="1">
        <v>42468.69326388889</v>
      </c>
      <c r="K2013" s="1" t="s">
        <v>171</v>
      </c>
      <c r="L2013" s="14">
        <f>24*(TblTimeSheet[[#This Row],[End Date and Time]]-TblTimeSheet[[#This Row],[Start Date and Time]])</f>
        <v>0.24999999994179234</v>
      </c>
      <c r="M20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3" s="14">
        <f>--(0&gt;(TblTimeSheet[[#This Row],[End Date and Time]]-TblTimeSheet[[#This Row],[Start Date and Time]]))</f>
        <v>0</v>
      </c>
    </row>
    <row r="2014" spans="1:14" x14ac:dyDescent="0.25">
      <c r="A2014" s="1"/>
      <c r="B2014" s="2" t="s">
        <v>917</v>
      </c>
      <c r="C2014" s="2" t="s">
        <v>171</v>
      </c>
      <c r="D2014" s="2" t="s">
        <v>32</v>
      </c>
      <c r="E2014" s="7" t="s">
        <v>3722</v>
      </c>
      <c r="F2014" s="37">
        <v>42468.677083333336</v>
      </c>
      <c r="G2014" s="37">
        <v>42468.6875</v>
      </c>
      <c r="H2014" s="1" t="s">
        <v>6</v>
      </c>
      <c r="I2014" s="1" t="s">
        <v>38</v>
      </c>
      <c r="J2014" s="1">
        <v>42468.694571759261</v>
      </c>
      <c r="K2014" s="1" t="s">
        <v>171</v>
      </c>
      <c r="L2014" s="14">
        <f>24*(TblTimeSheet[[#This Row],[End Date and Time]]-TblTimeSheet[[#This Row],[Start Date and Time]])</f>
        <v>0.24999999994179234</v>
      </c>
      <c r="M20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4" s="14">
        <f>--(0&gt;(TblTimeSheet[[#This Row],[End Date and Time]]-TblTimeSheet[[#This Row],[Start Date and Time]]))</f>
        <v>0</v>
      </c>
    </row>
    <row r="2015" spans="1:14" x14ac:dyDescent="0.25">
      <c r="A2015" s="1"/>
      <c r="B2015" s="2" t="s">
        <v>2870</v>
      </c>
      <c r="C2015" s="2" t="s">
        <v>78</v>
      </c>
      <c r="D2015" s="2" t="s">
        <v>32</v>
      </c>
      <c r="E2015" s="7" t="s">
        <v>3079</v>
      </c>
      <c r="F2015" s="37">
        <v>42468.697916666664</v>
      </c>
      <c r="G2015" s="37">
        <v>42468.71875</v>
      </c>
      <c r="H2015" s="1" t="s">
        <v>6</v>
      </c>
      <c r="I2015" s="1" t="s">
        <v>38</v>
      </c>
      <c r="J2015" s="1">
        <v>42468.717094907406</v>
      </c>
      <c r="K2015" s="1" t="s">
        <v>78</v>
      </c>
      <c r="L2015" s="14">
        <f>24*(TblTimeSheet[[#This Row],[End Date and Time]]-TblTimeSheet[[#This Row],[Start Date and Time]])</f>
        <v>0.50000000005820766</v>
      </c>
      <c r="M20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5" s="14">
        <f>--(0&gt;(TblTimeSheet[[#This Row],[End Date and Time]]-TblTimeSheet[[#This Row],[Start Date and Time]]))</f>
        <v>0</v>
      </c>
    </row>
    <row r="2016" spans="1:14" x14ac:dyDescent="0.25">
      <c r="A2016" s="1"/>
      <c r="B2016" s="2" t="s">
        <v>2870</v>
      </c>
      <c r="C2016" s="2" t="s">
        <v>41</v>
      </c>
      <c r="D2016" s="2" t="s">
        <v>32</v>
      </c>
      <c r="E2016" s="7" t="s">
        <v>3080</v>
      </c>
      <c r="F2016" s="37">
        <v>42468.697916666664</v>
      </c>
      <c r="G2016" s="37">
        <v>42468.71875</v>
      </c>
      <c r="H2016" s="1" t="s">
        <v>6</v>
      </c>
      <c r="I2016" s="1" t="s">
        <v>38</v>
      </c>
      <c r="J2016" s="1">
        <v>42468.719155092593</v>
      </c>
      <c r="K2016" s="1" t="s">
        <v>41</v>
      </c>
      <c r="L2016" s="14">
        <f>24*(TblTimeSheet[[#This Row],[End Date and Time]]-TblTimeSheet[[#This Row],[Start Date and Time]])</f>
        <v>0.50000000005820766</v>
      </c>
      <c r="M20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6" s="14">
        <f>--(0&gt;(TblTimeSheet[[#This Row],[End Date and Time]]-TblTimeSheet[[#This Row],[Start Date and Time]]))</f>
        <v>0</v>
      </c>
    </row>
    <row r="2017" spans="1:14" x14ac:dyDescent="0.25">
      <c r="A2017" s="1"/>
      <c r="B2017" s="2" t="s">
        <v>2872</v>
      </c>
      <c r="C2017" s="2" t="s">
        <v>1469</v>
      </c>
      <c r="D2017" s="2" t="s">
        <v>20</v>
      </c>
      <c r="E2017" s="7" t="s">
        <v>3723</v>
      </c>
      <c r="F2017" s="37">
        <v>42468.708333333336</v>
      </c>
      <c r="G2017" s="37">
        <v>42468.722222222219</v>
      </c>
      <c r="H2017" s="1" t="s">
        <v>6</v>
      </c>
      <c r="I2017" s="1" t="s">
        <v>38</v>
      </c>
      <c r="J2017" s="1">
        <v>42468.719548611109</v>
      </c>
      <c r="K2017" s="1" t="s">
        <v>1469</v>
      </c>
      <c r="L2017" s="14">
        <f>24*(TblTimeSheet[[#This Row],[End Date and Time]]-TblTimeSheet[[#This Row],[Start Date and Time]])</f>
        <v>0.33333333319751546</v>
      </c>
      <c r="M20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7" s="14">
        <f>--(0&gt;(TblTimeSheet[[#This Row],[End Date and Time]]-TblTimeSheet[[#This Row],[Start Date and Time]]))</f>
        <v>0</v>
      </c>
    </row>
    <row r="2018" spans="1:14" x14ac:dyDescent="0.25">
      <c r="A2018" s="1"/>
      <c r="B2018" s="2" t="s">
        <v>2872</v>
      </c>
      <c r="C2018" s="2" t="s">
        <v>1117</v>
      </c>
      <c r="D2018" s="2" t="s">
        <v>20</v>
      </c>
      <c r="E2018" s="7" t="s">
        <v>3081</v>
      </c>
      <c r="F2018" s="37">
        <v>42468.694444444445</v>
      </c>
      <c r="G2018" s="37">
        <v>42468.708333333336</v>
      </c>
      <c r="H2018" s="1" t="s">
        <v>6</v>
      </c>
      <c r="I2018" s="1" t="s">
        <v>38</v>
      </c>
      <c r="J2018" s="1">
        <v>42468.71974537037</v>
      </c>
      <c r="K2018" s="1" t="s">
        <v>2865</v>
      </c>
      <c r="L2018" s="14">
        <f>24*(TblTimeSheet[[#This Row],[End Date and Time]]-TblTimeSheet[[#This Row],[Start Date and Time]])</f>
        <v>0.33333333337213844</v>
      </c>
      <c r="M20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8" s="14">
        <f>--(0&gt;(TblTimeSheet[[#This Row],[End Date and Time]]-TblTimeSheet[[#This Row],[Start Date and Time]]))</f>
        <v>0</v>
      </c>
    </row>
    <row r="2019" spans="1:14" x14ac:dyDescent="0.25">
      <c r="A2019" s="1"/>
      <c r="B2019" s="2" t="s">
        <v>2872</v>
      </c>
      <c r="C2019" s="2" t="s">
        <v>171</v>
      </c>
      <c r="D2019" s="2" t="s">
        <v>20</v>
      </c>
      <c r="E2019" s="7" t="s">
        <v>1142</v>
      </c>
      <c r="F2019" s="37">
        <v>42468.694444444445</v>
      </c>
      <c r="G2019" s="37">
        <v>42468.708333333336</v>
      </c>
      <c r="H2019" s="1" t="s">
        <v>6</v>
      </c>
      <c r="I2019" s="1" t="s">
        <v>38</v>
      </c>
      <c r="J2019" s="1">
        <v>42468.719953703701</v>
      </c>
      <c r="K2019" s="1" t="s">
        <v>171</v>
      </c>
      <c r="L2019" s="14">
        <f>24*(TblTimeSheet[[#This Row],[End Date and Time]]-TblTimeSheet[[#This Row],[Start Date and Time]])</f>
        <v>0.33333333337213844</v>
      </c>
      <c r="M20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19" s="14">
        <f>--(0&gt;(TblTimeSheet[[#This Row],[End Date and Time]]-TblTimeSheet[[#This Row],[Start Date and Time]]))</f>
        <v>0</v>
      </c>
    </row>
    <row r="2020" spans="1:14" x14ac:dyDescent="0.25">
      <c r="A2020" s="1"/>
      <c r="B2020" s="2" t="s">
        <v>2872</v>
      </c>
      <c r="C2020" s="2" t="s">
        <v>116</v>
      </c>
      <c r="D2020" s="2" t="s">
        <v>20</v>
      </c>
      <c r="E2020" s="7" t="s">
        <v>3082</v>
      </c>
      <c r="F2020" s="37">
        <v>42468.708333333336</v>
      </c>
      <c r="G2020" s="37">
        <v>42468.722222222219</v>
      </c>
      <c r="H2020" s="1" t="s">
        <v>6</v>
      </c>
      <c r="I2020" s="1" t="s">
        <v>38</v>
      </c>
      <c r="J2020" s="1">
        <v>42468.720775462964</v>
      </c>
      <c r="K2020" s="1" t="s">
        <v>39</v>
      </c>
      <c r="L2020" s="14">
        <f>24*(TblTimeSheet[[#This Row],[End Date and Time]]-TblTimeSheet[[#This Row],[Start Date and Time]])</f>
        <v>0.33333333319751546</v>
      </c>
      <c r="M20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20" s="14">
        <f>--(0&gt;(TblTimeSheet[[#This Row],[End Date and Time]]-TblTimeSheet[[#This Row],[Start Date and Time]]))</f>
        <v>0</v>
      </c>
    </row>
    <row r="2021" spans="1:14" x14ac:dyDescent="0.25">
      <c r="A2021" s="1"/>
      <c r="B2021" s="2" t="s">
        <v>917</v>
      </c>
      <c r="C2021" s="2" t="s">
        <v>171</v>
      </c>
      <c r="D2021" s="2" t="s">
        <v>32</v>
      </c>
      <c r="E2021" s="7" t="s">
        <v>3724</v>
      </c>
      <c r="F2021" s="37">
        <v>42468.375</v>
      </c>
      <c r="G2021" s="37">
        <v>42468.416666666664</v>
      </c>
      <c r="H2021" s="1" t="s">
        <v>6</v>
      </c>
      <c r="I2021" s="1" t="s">
        <v>38</v>
      </c>
      <c r="J2021" s="1">
        <v>42468.721435185187</v>
      </c>
      <c r="K2021" s="1" t="s">
        <v>171</v>
      </c>
      <c r="L2021" s="14">
        <f>24*(TblTimeSheet[[#This Row],[End Date and Time]]-TblTimeSheet[[#This Row],[Start Date and Time]])</f>
        <v>0.99999999994179234</v>
      </c>
      <c r="M20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1" s="14">
        <f>--(0&gt;(TblTimeSheet[[#This Row],[End Date and Time]]-TblTimeSheet[[#This Row],[Start Date and Time]]))</f>
        <v>0</v>
      </c>
    </row>
    <row r="2022" spans="1:14" x14ac:dyDescent="0.25">
      <c r="A2022" s="1"/>
      <c r="B2022" s="2" t="s">
        <v>2872</v>
      </c>
      <c r="C2022" s="2" t="s">
        <v>1061</v>
      </c>
      <c r="D2022" s="2" t="s">
        <v>20</v>
      </c>
      <c r="E2022" s="7" t="s">
        <v>3083</v>
      </c>
      <c r="F2022" s="37">
        <v>42468.694444444445</v>
      </c>
      <c r="G2022" s="37">
        <v>42468.708333333336</v>
      </c>
      <c r="H2022" s="1" t="s">
        <v>6</v>
      </c>
      <c r="I2022" s="1" t="s">
        <v>38</v>
      </c>
      <c r="J2022" s="1">
        <v>42468.721909722219</v>
      </c>
      <c r="K2022" s="1" t="s">
        <v>1061</v>
      </c>
      <c r="L2022" s="14">
        <f>24*(TblTimeSheet[[#This Row],[End Date and Time]]-TblTimeSheet[[#This Row],[Start Date and Time]])</f>
        <v>0.33333333337213844</v>
      </c>
      <c r="M20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2" s="14">
        <f>--(0&gt;(TblTimeSheet[[#This Row],[End Date and Time]]-TblTimeSheet[[#This Row],[Start Date and Time]]))</f>
        <v>0</v>
      </c>
    </row>
    <row r="2023" spans="1:14" x14ac:dyDescent="0.25">
      <c r="A2023" s="1"/>
      <c r="B2023" s="2" t="s">
        <v>2872</v>
      </c>
      <c r="C2023" s="2" t="s">
        <v>1469</v>
      </c>
      <c r="D2023" s="2" t="s">
        <v>20</v>
      </c>
      <c r="E2023" s="7" t="s">
        <v>3084</v>
      </c>
      <c r="F2023" s="37">
        <v>42468.652777777781</v>
      </c>
      <c r="G2023" s="37">
        <v>42468.666666666664</v>
      </c>
      <c r="H2023" s="1" t="s">
        <v>6</v>
      </c>
      <c r="I2023" s="1" t="s">
        <v>38</v>
      </c>
      <c r="J2023" s="1">
        <v>42468.722210648149</v>
      </c>
      <c r="K2023" s="1" t="s">
        <v>1469</v>
      </c>
      <c r="L2023" s="14">
        <f>24*(TblTimeSheet[[#This Row],[End Date and Time]]-TblTimeSheet[[#This Row],[Start Date and Time]])</f>
        <v>0.33333333319751546</v>
      </c>
      <c r="M20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3" s="14">
        <f>--(0&gt;(TblTimeSheet[[#This Row],[End Date and Time]]-TblTimeSheet[[#This Row],[Start Date and Time]]))</f>
        <v>0</v>
      </c>
    </row>
    <row r="2024" spans="1:14" x14ac:dyDescent="0.25">
      <c r="A2024" s="1"/>
      <c r="B2024" s="2" t="s">
        <v>2872</v>
      </c>
      <c r="C2024" s="2" t="s">
        <v>116</v>
      </c>
      <c r="D2024" s="2" t="s">
        <v>20</v>
      </c>
      <c r="E2024" s="7" t="s">
        <v>3085</v>
      </c>
      <c r="F2024" s="37">
        <v>42468.708333333336</v>
      </c>
      <c r="G2024" s="37">
        <v>42468.715277777781</v>
      </c>
      <c r="H2024" s="1" t="s">
        <v>6</v>
      </c>
      <c r="I2024" s="1" t="s">
        <v>38</v>
      </c>
      <c r="J2024" s="1">
        <v>42468.723495370374</v>
      </c>
      <c r="K2024" s="1" t="s">
        <v>701</v>
      </c>
      <c r="L2024" s="14">
        <f>24*(TblTimeSheet[[#This Row],[End Date and Time]]-TblTimeSheet[[#This Row],[Start Date and Time]])</f>
        <v>0.16666666668606922</v>
      </c>
      <c r="M20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24" s="14">
        <f>--(0&gt;(TblTimeSheet[[#This Row],[End Date and Time]]-TblTimeSheet[[#This Row],[Start Date and Time]]))</f>
        <v>0</v>
      </c>
    </row>
    <row r="2025" spans="1:14" x14ac:dyDescent="0.25">
      <c r="A2025" s="1"/>
      <c r="B2025" s="2" t="s">
        <v>2872</v>
      </c>
      <c r="C2025" s="2" t="s">
        <v>41</v>
      </c>
      <c r="D2025" s="2" t="s">
        <v>20</v>
      </c>
      <c r="E2025" s="7" t="s">
        <v>3086</v>
      </c>
      <c r="F2025" s="37">
        <v>42468.722222222219</v>
      </c>
      <c r="G2025" s="37">
        <v>42468.729166666664</v>
      </c>
      <c r="H2025" s="1" t="s">
        <v>6</v>
      </c>
      <c r="I2025" s="1" t="s">
        <v>38</v>
      </c>
      <c r="J2025" s="1">
        <v>42468.728055555555</v>
      </c>
      <c r="K2025" s="1" t="s">
        <v>41</v>
      </c>
      <c r="L2025" s="14">
        <f>24*(TblTimeSheet[[#This Row],[End Date and Time]]-TblTimeSheet[[#This Row],[Start Date and Time]])</f>
        <v>0.16666666668606922</v>
      </c>
      <c r="M20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5" s="14">
        <f>--(0&gt;(TblTimeSheet[[#This Row],[End Date and Time]]-TblTimeSheet[[#This Row],[Start Date and Time]]))</f>
        <v>0</v>
      </c>
    </row>
    <row r="2026" spans="1:14" x14ac:dyDescent="0.25">
      <c r="A2026" s="1"/>
      <c r="B2026" s="2" t="s">
        <v>915</v>
      </c>
      <c r="C2026" s="2" t="s">
        <v>41</v>
      </c>
      <c r="D2026" s="2" t="s">
        <v>33</v>
      </c>
      <c r="E2026" s="7" t="s">
        <v>3725</v>
      </c>
      <c r="F2026" s="37">
        <v>42469.440972222219</v>
      </c>
      <c r="G2026" s="37">
        <v>42469.451388888891</v>
      </c>
      <c r="H2026" s="1" t="s">
        <v>6</v>
      </c>
      <c r="I2026" s="1" t="s">
        <v>38</v>
      </c>
      <c r="J2026" s="1">
        <v>42469.687754629631</v>
      </c>
      <c r="K2026" s="1" t="s">
        <v>41</v>
      </c>
      <c r="L2026" s="14">
        <f>24*(TblTimeSheet[[#This Row],[End Date and Time]]-TblTimeSheet[[#This Row],[Start Date and Time]])</f>
        <v>0.25000000011641532</v>
      </c>
      <c r="M20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6" s="14">
        <f>--(0&gt;(TblTimeSheet[[#This Row],[End Date and Time]]-TblTimeSheet[[#This Row],[Start Date and Time]]))</f>
        <v>0</v>
      </c>
    </row>
    <row r="2027" spans="1:14" x14ac:dyDescent="0.25">
      <c r="A2027" s="1"/>
      <c r="B2027" s="2" t="s">
        <v>915</v>
      </c>
      <c r="C2027" s="2" t="s">
        <v>1117</v>
      </c>
      <c r="D2027" s="2" t="s">
        <v>33</v>
      </c>
      <c r="E2027" s="7" t="s">
        <v>3087</v>
      </c>
      <c r="F2027" s="37">
        <v>42469.375</v>
      </c>
      <c r="G2027" s="37">
        <v>42469.458333333336</v>
      </c>
      <c r="H2027" s="1" t="s">
        <v>6</v>
      </c>
      <c r="I2027" s="1" t="s">
        <v>38</v>
      </c>
      <c r="J2027" s="1">
        <v>42469.710555555554</v>
      </c>
      <c r="K2027" s="1" t="s">
        <v>2865</v>
      </c>
      <c r="L2027" s="14">
        <f>24*(TblTimeSheet[[#This Row],[End Date and Time]]-TblTimeSheet[[#This Row],[Start Date and Time]])</f>
        <v>2.0000000000582077</v>
      </c>
      <c r="M20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7" s="14">
        <f>--(0&gt;(TblTimeSheet[[#This Row],[End Date and Time]]-TblTimeSheet[[#This Row],[Start Date and Time]]))</f>
        <v>0</v>
      </c>
    </row>
    <row r="2028" spans="1:14" x14ac:dyDescent="0.25">
      <c r="A2028" s="1"/>
      <c r="B2028" s="2" t="s">
        <v>917</v>
      </c>
      <c r="C2028" s="2" t="s">
        <v>118</v>
      </c>
      <c r="D2028" s="2" t="s">
        <v>32</v>
      </c>
      <c r="E2028" s="7" t="s">
        <v>3088</v>
      </c>
      <c r="F2028" s="37">
        <v>42469.385416666664</v>
      </c>
      <c r="G2028" s="37">
        <v>42469.46875</v>
      </c>
      <c r="H2028" s="1" t="s">
        <v>6</v>
      </c>
      <c r="I2028" s="1" t="s">
        <v>38</v>
      </c>
      <c r="J2028" s="1">
        <v>42469.492824074077</v>
      </c>
      <c r="K2028" s="1" t="s">
        <v>118</v>
      </c>
      <c r="L2028" s="14">
        <f>24*(TblTimeSheet[[#This Row],[End Date and Time]]-TblTimeSheet[[#This Row],[Start Date and Time]])</f>
        <v>2.0000000000582077</v>
      </c>
      <c r="M20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8" s="14">
        <f>--(0&gt;(TblTimeSheet[[#This Row],[End Date and Time]]-TblTimeSheet[[#This Row],[Start Date and Time]]))</f>
        <v>0</v>
      </c>
    </row>
    <row r="2029" spans="1:14" x14ac:dyDescent="0.25">
      <c r="A2029" s="1"/>
      <c r="B2029" s="2" t="s">
        <v>917</v>
      </c>
      <c r="C2029" s="2" t="s">
        <v>171</v>
      </c>
      <c r="D2029" s="2" t="s">
        <v>32</v>
      </c>
      <c r="E2029" s="7" t="s">
        <v>3726</v>
      </c>
      <c r="F2029" s="37">
        <v>42469.375</v>
      </c>
      <c r="G2029" s="37">
        <v>42469.430555555555</v>
      </c>
      <c r="H2029" s="1" t="s">
        <v>6</v>
      </c>
      <c r="I2029" s="1" t="s">
        <v>38</v>
      </c>
      <c r="J2029" s="1">
        <v>42469.519837962966</v>
      </c>
      <c r="K2029" s="1" t="s">
        <v>171</v>
      </c>
      <c r="L2029" s="14">
        <f>24*(TblTimeSheet[[#This Row],[End Date and Time]]-TblTimeSheet[[#This Row],[Start Date and Time]])</f>
        <v>1.3333333333139308</v>
      </c>
      <c r="M20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29" s="14">
        <f>--(0&gt;(TblTimeSheet[[#This Row],[End Date and Time]]-TblTimeSheet[[#This Row],[Start Date and Time]]))</f>
        <v>0</v>
      </c>
    </row>
    <row r="2030" spans="1:14" x14ac:dyDescent="0.25">
      <c r="A2030" s="1"/>
      <c r="B2030" s="2" t="s">
        <v>917</v>
      </c>
      <c r="C2030" s="2" t="s">
        <v>171</v>
      </c>
      <c r="D2030" s="2" t="s">
        <v>32</v>
      </c>
      <c r="E2030" s="7" t="s">
        <v>3727</v>
      </c>
      <c r="F2030" s="37">
        <v>42469.440972222219</v>
      </c>
      <c r="G2030" s="37">
        <v>42469.510416666664</v>
      </c>
      <c r="H2030" s="1" t="s">
        <v>6</v>
      </c>
      <c r="I2030" s="1" t="s">
        <v>38</v>
      </c>
      <c r="J2030" s="1">
        <v>42469.540868055556</v>
      </c>
      <c r="K2030" s="1" t="s">
        <v>171</v>
      </c>
      <c r="L2030" s="14">
        <f>24*(TblTimeSheet[[#This Row],[End Date and Time]]-TblTimeSheet[[#This Row],[Start Date and Time]])</f>
        <v>1.6666666666860692</v>
      </c>
      <c r="M20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0" s="14">
        <f>--(0&gt;(TblTimeSheet[[#This Row],[End Date and Time]]-TblTimeSheet[[#This Row],[Start Date and Time]]))</f>
        <v>0</v>
      </c>
    </row>
    <row r="2031" spans="1:14" x14ac:dyDescent="0.25">
      <c r="A2031" s="1"/>
      <c r="B2031" s="2" t="s">
        <v>2874</v>
      </c>
      <c r="C2031" s="2" t="s">
        <v>43</v>
      </c>
      <c r="D2031" s="2" t="s">
        <v>19</v>
      </c>
      <c r="E2031" s="7" t="s">
        <v>3089</v>
      </c>
      <c r="F2031" s="37">
        <v>42469.520833333336</v>
      </c>
      <c r="G2031" s="37">
        <v>42469.534722222219</v>
      </c>
      <c r="H2031" s="1" t="s">
        <v>6</v>
      </c>
      <c r="I2031" s="1" t="s">
        <v>38</v>
      </c>
      <c r="J2031" s="1">
        <v>42469.546400462961</v>
      </c>
      <c r="K2031" s="1" t="s">
        <v>43</v>
      </c>
      <c r="L2031" s="14">
        <f>24*(TblTimeSheet[[#This Row],[End Date and Time]]-TblTimeSheet[[#This Row],[Start Date and Time]])</f>
        <v>0.33333333319751546</v>
      </c>
      <c r="M20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1" s="14">
        <f>--(0&gt;(TblTimeSheet[[#This Row],[End Date and Time]]-TblTimeSheet[[#This Row],[Start Date and Time]]))</f>
        <v>0</v>
      </c>
    </row>
    <row r="2032" spans="1:14" ht="30" x14ac:dyDescent="0.25">
      <c r="A2032" s="1"/>
      <c r="B2032" s="2" t="s">
        <v>2874</v>
      </c>
      <c r="C2032" s="2" t="s">
        <v>116</v>
      </c>
      <c r="D2032" s="2" t="s">
        <v>19</v>
      </c>
      <c r="E2032" s="7" t="s">
        <v>3090</v>
      </c>
      <c r="F2032" s="37">
        <v>42469.520833333336</v>
      </c>
      <c r="G2032" s="37">
        <v>42469.534722222219</v>
      </c>
      <c r="H2032" s="1" t="s">
        <v>6</v>
      </c>
      <c r="I2032" s="1" t="s">
        <v>38</v>
      </c>
      <c r="J2032" s="1">
        <v>42469.594502314816</v>
      </c>
      <c r="K2032" s="1" t="s">
        <v>39</v>
      </c>
      <c r="L2032" s="14">
        <f>24*(TblTimeSheet[[#This Row],[End Date and Time]]-TblTimeSheet[[#This Row],[Start Date and Time]])</f>
        <v>0.33333333319751546</v>
      </c>
      <c r="M20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32" s="14">
        <f>--(0&gt;(TblTimeSheet[[#This Row],[End Date and Time]]-TblTimeSheet[[#This Row],[Start Date and Time]]))</f>
        <v>0</v>
      </c>
    </row>
    <row r="2033" spans="1:14" x14ac:dyDescent="0.25">
      <c r="A2033" s="1"/>
      <c r="B2033" s="2" t="s">
        <v>2870</v>
      </c>
      <c r="C2033" s="2" t="s">
        <v>41</v>
      </c>
      <c r="D2033" s="2" t="s">
        <v>32</v>
      </c>
      <c r="E2033" s="7" t="s">
        <v>3091</v>
      </c>
      <c r="F2033" s="37">
        <v>42469.5</v>
      </c>
      <c r="G2033" s="37">
        <v>42469.5625</v>
      </c>
      <c r="H2033" s="1" t="s">
        <v>6</v>
      </c>
      <c r="I2033" s="1" t="s">
        <v>38</v>
      </c>
      <c r="J2033" s="1">
        <v>42469.597453703704</v>
      </c>
      <c r="K2033" s="1" t="s">
        <v>41</v>
      </c>
      <c r="L2033" s="14">
        <f>24*(TblTimeSheet[[#This Row],[End Date and Time]]-TblTimeSheet[[#This Row],[Start Date and Time]])</f>
        <v>1.5</v>
      </c>
      <c r="M20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3" s="14">
        <f>--(0&gt;(TblTimeSheet[[#This Row],[End Date and Time]]-TblTimeSheet[[#This Row],[Start Date and Time]]))</f>
        <v>0</v>
      </c>
    </row>
    <row r="2034" spans="1:14" x14ac:dyDescent="0.25">
      <c r="A2034" s="1"/>
      <c r="B2034" s="2" t="s">
        <v>2874</v>
      </c>
      <c r="C2034" s="2" t="s">
        <v>36</v>
      </c>
      <c r="D2034" s="2" t="s">
        <v>19</v>
      </c>
      <c r="E2034" s="7" t="s">
        <v>3092</v>
      </c>
      <c r="F2034" s="37">
        <v>42469.520833333336</v>
      </c>
      <c r="G2034" s="37">
        <v>42469.534722222219</v>
      </c>
      <c r="H2034" s="1" t="s">
        <v>6</v>
      </c>
      <c r="I2034" s="1" t="s">
        <v>38</v>
      </c>
      <c r="J2034" s="1">
        <v>42469.610532407409</v>
      </c>
      <c r="K2034" s="1" t="s">
        <v>36</v>
      </c>
      <c r="L2034" s="14">
        <f>24*(TblTimeSheet[[#This Row],[End Date and Time]]-TblTimeSheet[[#This Row],[Start Date and Time]])</f>
        <v>0.33333333319751546</v>
      </c>
      <c r="M20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4" s="14">
        <f>--(0&gt;(TblTimeSheet[[#This Row],[End Date and Time]]-TblTimeSheet[[#This Row],[Start Date and Time]]))</f>
        <v>0</v>
      </c>
    </row>
    <row r="2035" spans="1:14" x14ac:dyDescent="0.25">
      <c r="A2035" s="1"/>
      <c r="B2035" s="2" t="s">
        <v>2874</v>
      </c>
      <c r="C2035" s="2" t="s">
        <v>116</v>
      </c>
      <c r="D2035" s="2" t="s">
        <v>19</v>
      </c>
      <c r="E2035" s="7" t="s">
        <v>1209</v>
      </c>
      <c r="F2035" s="37">
        <v>42469.520833333336</v>
      </c>
      <c r="G2035" s="37">
        <v>42469.534722222219</v>
      </c>
      <c r="H2035" s="1" t="s">
        <v>6</v>
      </c>
      <c r="I2035" s="1" t="s">
        <v>38</v>
      </c>
      <c r="J2035" s="1">
        <v>42469.628587962965</v>
      </c>
      <c r="K2035" s="1" t="s">
        <v>701</v>
      </c>
      <c r="L2035" s="14">
        <f>24*(TblTimeSheet[[#This Row],[End Date and Time]]-TblTimeSheet[[#This Row],[Start Date and Time]])</f>
        <v>0.33333333319751546</v>
      </c>
      <c r="M20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35" s="14">
        <f>--(0&gt;(TblTimeSheet[[#This Row],[End Date and Time]]-TblTimeSheet[[#This Row],[Start Date and Time]]))</f>
        <v>0</v>
      </c>
    </row>
    <row r="2036" spans="1:14" x14ac:dyDescent="0.25">
      <c r="A2036" s="1"/>
      <c r="B2036" s="2" t="s">
        <v>915</v>
      </c>
      <c r="C2036" s="2" t="s">
        <v>116</v>
      </c>
      <c r="D2036" s="2" t="s">
        <v>33</v>
      </c>
      <c r="E2036" s="7" t="s">
        <v>3093</v>
      </c>
      <c r="F2036" s="37">
        <v>42469.708333333336</v>
      </c>
      <c r="G2036" s="37">
        <v>42469.729166666664</v>
      </c>
      <c r="H2036" s="1" t="s">
        <v>6</v>
      </c>
      <c r="I2036" s="1" t="s">
        <v>38</v>
      </c>
      <c r="J2036" s="1">
        <v>42471.70107638889</v>
      </c>
      <c r="K2036" s="1" t="s">
        <v>1026</v>
      </c>
      <c r="L2036" s="14">
        <f>24*(TblTimeSheet[[#This Row],[End Date and Time]]-TblTimeSheet[[#This Row],[Start Date and Time]])</f>
        <v>0.49999999988358468</v>
      </c>
      <c r="M20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36" s="14">
        <f>--(0&gt;(TblTimeSheet[[#This Row],[End Date and Time]]-TblTimeSheet[[#This Row],[Start Date and Time]]))</f>
        <v>0</v>
      </c>
    </row>
    <row r="2037" spans="1:14" x14ac:dyDescent="0.25">
      <c r="A2037" s="1"/>
      <c r="B2037" s="2" t="s">
        <v>2870</v>
      </c>
      <c r="C2037" s="2" t="s">
        <v>118</v>
      </c>
      <c r="D2037" s="2" t="s">
        <v>32</v>
      </c>
      <c r="E2037" s="7" t="s">
        <v>3094</v>
      </c>
      <c r="F2037" s="37">
        <v>42469.479166666664</v>
      </c>
      <c r="G2037" s="37">
        <v>42469.541666666664</v>
      </c>
      <c r="H2037" s="1" t="s">
        <v>6</v>
      </c>
      <c r="I2037" s="1" t="s">
        <v>38</v>
      </c>
      <c r="J2037" s="1">
        <v>42469.640138888892</v>
      </c>
      <c r="K2037" s="1" t="s">
        <v>118</v>
      </c>
      <c r="L2037" s="14">
        <f>24*(TblTimeSheet[[#This Row],[End Date and Time]]-TblTimeSheet[[#This Row],[Start Date and Time]])</f>
        <v>1.5</v>
      </c>
      <c r="M20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7" s="14">
        <f>--(0&gt;(TblTimeSheet[[#This Row],[End Date and Time]]-TblTimeSheet[[#This Row],[Start Date and Time]]))</f>
        <v>0</v>
      </c>
    </row>
    <row r="2038" spans="1:14" x14ac:dyDescent="0.25">
      <c r="A2038" s="1"/>
      <c r="B2038" s="2" t="s">
        <v>2872</v>
      </c>
      <c r="C2038" s="2" t="s">
        <v>118</v>
      </c>
      <c r="D2038" s="2" t="s">
        <v>20</v>
      </c>
      <c r="E2038" s="7" t="s">
        <v>3095</v>
      </c>
      <c r="F2038" s="37">
        <v>42469.5625</v>
      </c>
      <c r="G2038" s="37">
        <v>42469.604166666664</v>
      </c>
      <c r="H2038" s="1" t="s">
        <v>6</v>
      </c>
      <c r="I2038" s="1" t="s">
        <v>38</v>
      </c>
      <c r="J2038" s="1">
        <v>42469.641087962962</v>
      </c>
      <c r="K2038" s="1" t="s">
        <v>118</v>
      </c>
      <c r="L2038" s="14">
        <f>24*(TblTimeSheet[[#This Row],[End Date and Time]]-TblTimeSheet[[#This Row],[Start Date and Time]])</f>
        <v>0.99999999994179234</v>
      </c>
      <c r="M20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38" s="14">
        <f>--(0&gt;(TblTimeSheet[[#This Row],[End Date and Time]]-TblTimeSheet[[#This Row],[Start Date and Time]]))</f>
        <v>0</v>
      </c>
    </row>
    <row r="2039" spans="1:14" x14ac:dyDescent="0.25">
      <c r="A2039" s="1"/>
      <c r="B2039" s="2" t="s">
        <v>2874</v>
      </c>
      <c r="C2039" s="2" t="s">
        <v>116</v>
      </c>
      <c r="D2039" s="2" t="s">
        <v>19</v>
      </c>
      <c r="E2039" s="7" t="s">
        <v>3728</v>
      </c>
      <c r="F2039" s="37">
        <v>42469.520833333336</v>
      </c>
      <c r="G2039" s="37">
        <v>42469.534722222219</v>
      </c>
      <c r="H2039" s="1" t="s">
        <v>6</v>
      </c>
      <c r="I2039" s="1" t="s">
        <v>38</v>
      </c>
      <c r="J2039" s="1">
        <v>42469.644328703704</v>
      </c>
      <c r="K2039" s="1" t="s">
        <v>81</v>
      </c>
      <c r="L2039" s="14">
        <f>24*(TblTimeSheet[[#This Row],[End Date and Time]]-TblTimeSheet[[#This Row],[Start Date and Time]])</f>
        <v>0.33333333319751546</v>
      </c>
      <c r="M20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39" s="14">
        <f>--(0&gt;(TblTimeSheet[[#This Row],[End Date and Time]]-TblTimeSheet[[#This Row],[Start Date and Time]]))</f>
        <v>0</v>
      </c>
    </row>
    <row r="2040" spans="1:14" x14ac:dyDescent="0.25">
      <c r="A2040" s="1"/>
      <c r="B2040" s="2" t="s">
        <v>107</v>
      </c>
      <c r="C2040" s="2" t="s">
        <v>1105</v>
      </c>
      <c r="D2040" s="2" t="s">
        <v>19</v>
      </c>
      <c r="E2040" s="7" t="s">
        <v>3096</v>
      </c>
      <c r="F2040" s="37">
        <v>42342.416666666664</v>
      </c>
      <c r="G2040" s="37">
        <v>42342.5</v>
      </c>
      <c r="H2040" s="1" t="s">
        <v>6</v>
      </c>
      <c r="I2040" s="1" t="s">
        <v>38</v>
      </c>
      <c r="J2040" s="1">
        <v>42525.600277777776</v>
      </c>
      <c r="K2040" s="1" t="s">
        <v>2864</v>
      </c>
      <c r="L2040" s="14">
        <f>24*(TblTimeSheet[[#This Row],[End Date and Time]]-TblTimeSheet[[#This Row],[Start Date and Time]])</f>
        <v>2.0000000000582077</v>
      </c>
      <c r="M20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0" s="14">
        <f>--(0&gt;(TblTimeSheet[[#This Row],[End Date and Time]]-TblTimeSheet[[#This Row],[Start Date and Time]]))</f>
        <v>0</v>
      </c>
    </row>
    <row r="2041" spans="1:14" x14ac:dyDescent="0.25">
      <c r="A2041" s="1"/>
      <c r="B2041" s="2" t="s">
        <v>2870</v>
      </c>
      <c r="C2041" s="2" t="s">
        <v>118</v>
      </c>
      <c r="D2041" s="2" t="s">
        <v>32</v>
      </c>
      <c r="E2041" s="7" t="s">
        <v>3097</v>
      </c>
      <c r="F2041" s="37">
        <v>42469.607638888891</v>
      </c>
      <c r="G2041" s="37">
        <v>42469.645833333336</v>
      </c>
      <c r="H2041" s="1" t="s">
        <v>6</v>
      </c>
      <c r="I2041" s="1" t="s">
        <v>38</v>
      </c>
      <c r="J2041" s="1">
        <v>42469.645636574074</v>
      </c>
      <c r="K2041" s="1" t="s">
        <v>118</v>
      </c>
      <c r="L2041" s="14">
        <f>24*(TblTimeSheet[[#This Row],[End Date and Time]]-TblTimeSheet[[#This Row],[Start Date and Time]])</f>
        <v>0.91666666668606922</v>
      </c>
      <c r="M20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1" s="14">
        <f>--(0&gt;(TblTimeSheet[[#This Row],[End Date and Time]]-TblTimeSheet[[#This Row],[Start Date and Time]]))</f>
        <v>0</v>
      </c>
    </row>
    <row r="2042" spans="1:14" ht="30" x14ac:dyDescent="0.25">
      <c r="A2042" s="1"/>
      <c r="B2042" s="2" t="s">
        <v>107</v>
      </c>
      <c r="C2042" s="2" t="s">
        <v>116</v>
      </c>
      <c r="D2042" s="2" t="s">
        <v>19</v>
      </c>
      <c r="E2042" s="7" t="s">
        <v>3729</v>
      </c>
      <c r="F2042" s="37">
        <v>42342.416666666664</v>
      </c>
      <c r="G2042" s="37">
        <v>42342.5</v>
      </c>
      <c r="H2042" s="1" t="s">
        <v>6</v>
      </c>
      <c r="I2042" s="1" t="s">
        <v>38</v>
      </c>
      <c r="J2042" s="1">
        <v>42469.646307870367</v>
      </c>
      <c r="K2042" s="1" t="s">
        <v>81</v>
      </c>
      <c r="L2042" s="14">
        <f>24*(TblTimeSheet[[#This Row],[End Date and Time]]-TblTimeSheet[[#This Row],[Start Date and Time]])</f>
        <v>2.0000000000582077</v>
      </c>
      <c r="M20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2" s="14">
        <f>--(0&gt;(TblTimeSheet[[#This Row],[End Date and Time]]-TblTimeSheet[[#This Row],[Start Date and Time]]))</f>
        <v>0</v>
      </c>
    </row>
    <row r="2043" spans="1:14" x14ac:dyDescent="0.25">
      <c r="A2043" s="1"/>
      <c r="B2043" s="2" t="s">
        <v>915</v>
      </c>
      <c r="C2043" s="2" t="s">
        <v>36</v>
      </c>
      <c r="D2043" s="2" t="s">
        <v>34</v>
      </c>
      <c r="E2043" s="7" t="s">
        <v>3098</v>
      </c>
      <c r="F2043" s="37">
        <v>42469.618055555555</v>
      </c>
      <c r="G2043" s="37">
        <v>42469.645833333336</v>
      </c>
      <c r="H2043" s="1" t="s">
        <v>6</v>
      </c>
      <c r="I2043" s="1" t="s">
        <v>38</v>
      </c>
      <c r="J2043" s="1">
        <v>42469.648877314816</v>
      </c>
      <c r="K2043" s="1" t="s">
        <v>36</v>
      </c>
      <c r="L2043" s="14">
        <f>24*(TblTimeSheet[[#This Row],[End Date and Time]]-TblTimeSheet[[#This Row],[Start Date and Time]])</f>
        <v>0.66666666674427688</v>
      </c>
      <c r="M20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3" s="14">
        <f>--(0&gt;(TblTimeSheet[[#This Row],[End Date and Time]]-TblTimeSheet[[#This Row],[Start Date and Time]]))</f>
        <v>0</v>
      </c>
    </row>
    <row r="2044" spans="1:14" x14ac:dyDescent="0.25">
      <c r="A2044" s="1"/>
      <c r="B2044" s="2" t="s">
        <v>2872</v>
      </c>
      <c r="C2044" s="2" t="s">
        <v>43</v>
      </c>
      <c r="D2044" s="2" t="s">
        <v>20</v>
      </c>
      <c r="E2044" s="7" t="s">
        <v>3099</v>
      </c>
      <c r="F2044" s="37">
        <v>42469.597222222219</v>
      </c>
      <c r="G2044" s="37">
        <v>42469.604166666664</v>
      </c>
      <c r="H2044" s="1" t="s">
        <v>6</v>
      </c>
      <c r="I2044" s="1" t="s">
        <v>38</v>
      </c>
      <c r="J2044" s="1">
        <v>42469.649340277778</v>
      </c>
      <c r="K2044" s="1" t="s">
        <v>43</v>
      </c>
      <c r="L2044" s="14">
        <f>24*(TblTimeSheet[[#This Row],[End Date and Time]]-TblTimeSheet[[#This Row],[Start Date and Time]])</f>
        <v>0.16666666668606922</v>
      </c>
      <c r="M20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4" s="14">
        <f>--(0&gt;(TblTimeSheet[[#This Row],[End Date and Time]]-TblTimeSheet[[#This Row],[Start Date and Time]]))</f>
        <v>0</v>
      </c>
    </row>
    <row r="2045" spans="1:14" x14ac:dyDescent="0.25">
      <c r="A2045" s="1"/>
      <c r="B2045" s="2" t="s">
        <v>2870</v>
      </c>
      <c r="C2045" s="2" t="s">
        <v>43</v>
      </c>
      <c r="D2045" s="2" t="s">
        <v>32</v>
      </c>
      <c r="E2045" s="7" t="s">
        <v>3730</v>
      </c>
      <c r="F2045" s="37">
        <v>42469.645833333336</v>
      </c>
      <c r="G2045" s="37">
        <v>42469.666666666664</v>
      </c>
      <c r="H2045" s="1" t="s">
        <v>6</v>
      </c>
      <c r="I2045" s="1" t="s">
        <v>38</v>
      </c>
      <c r="J2045" s="1">
        <v>42469.669340277775</v>
      </c>
      <c r="K2045" s="1" t="s">
        <v>43</v>
      </c>
      <c r="L2045" s="14">
        <f>24*(TblTimeSheet[[#This Row],[End Date and Time]]-TblTimeSheet[[#This Row],[Start Date and Time]])</f>
        <v>0.49999999988358468</v>
      </c>
      <c r="M20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5" s="14">
        <f>--(0&gt;(TblTimeSheet[[#This Row],[End Date and Time]]-TblTimeSheet[[#This Row],[Start Date and Time]]))</f>
        <v>0</v>
      </c>
    </row>
    <row r="2046" spans="1:14" x14ac:dyDescent="0.25">
      <c r="A2046" s="1"/>
      <c r="B2046" s="2" t="s">
        <v>2870</v>
      </c>
      <c r="C2046" s="2" t="s">
        <v>118</v>
      </c>
      <c r="D2046" s="2" t="s">
        <v>32</v>
      </c>
      <c r="E2046" s="7" t="s">
        <v>3100</v>
      </c>
      <c r="F2046" s="37">
        <v>42469.645833333336</v>
      </c>
      <c r="G2046" s="37">
        <v>42469.666666666664</v>
      </c>
      <c r="H2046" s="1" t="s">
        <v>6</v>
      </c>
      <c r="I2046" s="1" t="s">
        <v>38</v>
      </c>
      <c r="J2046" s="1">
        <v>42469.669641203705</v>
      </c>
      <c r="K2046" s="1" t="s">
        <v>118</v>
      </c>
      <c r="L2046" s="14">
        <f>24*(TblTimeSheet[[#This Row],[End Date and Time]]-TblTimeSheet[[#This Row],[Start Date and Time]])</f>
        <v>0.49999999988358468</v>
      </c>
      <c r="M20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6" s="14">
        <f>--(0&gt;(TblTimeSheet[[#This Row],[End Date and Time]]-TblTimeSheet[[#This Row],[Start Date and Time]]))</f>
        <v>0</v>
      </c>
    </row>
    <row r="2047" spans="1:14" x14ac:dyDescent="0.25">
      <c r="A2047" s="1"/>
      <c r="B2047" s="2" t="s">
        <v>917</v>
      </c>
      <c r="C2047" s="2" t="s">
        <v>41</v>
      </c>
      <c r="D2047" s="2" t="s">
        <v>32</v>
      </c>
      <c r="E2047" s="7" t="s">
        <v>3731</v>
      </c>
      <c r="F2047" s="37">
        <v>42469.659722222219</v>
      </c>
      <c r="G2047" s="37">
        <v>42469.6875</v>
      </c>
      <c r="H2047" s="1" t="s">
        <v>6</v>
      </c>
      <c r="I2047" s="1" t="s">
        <v>38</v>
      </c>
      <c r="J2047" s="1">
        <v>42469.686898148146</v>
      </c>
      <c r="K2047" s="1" t="s">
        <v>41</v>
      </c>
      <c r="L2047" s="14">
        <f>24*(TblTimeSheet[[#This Row],[End Date and Time]]-TblTimeSheet[[#This Row],[Start Date and Time]])</f>
        <v>0.66666666674427688</v>
      </c>
      <c r="M20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7" s="14">
        <f>--(0&gt;(TblTimeSheet[[#This Row],[End Date and Time]]-TblTimeSheet[[#This Row],[Start Date and Time]]))</f>
        <v>0</v>
      </c>
    </row>
    <row r="2048" spans="1:14" ht="30" x14ac:dyDescent="0.25">
      <c r="A2048" s="1"/>
      <c r="B2048" s="2" t="s">
        <v>917</v>
      </c>
      <c r="C2048" s="2" t="s">
        <v>171</v>
      </c>
      <c r="D2048" s="2" t="s">
        <v>32</v>
      </c>
      <c r="E2048" s="7" t="s">
        <v>3732</v>
      </c>
      <c r="F2048" s="37">
        <v>42469.659722222219</v>
      </c>
      <c r="G2048" s="37">
        <v>42469.6875</v>
      </c>
      <c r="H2048" s="1" t="s">
        <v>6</v>
      </c>
      <c r="I2048" s="1" t="s">
        <v>38</v>
      </c>
      <c r="J2048" s="1">
        <v>42469.688414351855</v>
      </c>
      <c r="K2048" s="1" t="s">
        <v>171</v>
      </c>
      <c r="L2048" s="14">
        <f>24*(TblTimeSheet[[#This Row],[End Date and Time]]-TblTimeSheet[[#This Row],[Start Date and Time]])</f>
        <v>0.66666666674427688</v>
      </c>
      <c r="M20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8" s="14">
        <f>--(0&gt;(TblTimeSheet[[#This Row],[End Date and Time]]-TblTimeSheet[[#This Row],[Start Date and Time]]))</f>
        <v>0</v>
      </c>
    </row>
    <row r="2049" spans="1:14" x14ac:dyDescent="0.25">
      <c r="A2049" s="1"/>
      <c r="B2049" s="2" t="s">
        <v>917</v>
      </c>
      <c r="C2049" s="2" t="s">
        <v>118</v>
      </c>
      <c r="D2049" s="2" t="s">
        <v>32</v>
      </c>
      <c r="E2049" s="7" t="s">
        <v>3101</v>
      </c>
      <c r="F2049" s="37">
        <v>42469.670138888891</v>
      </c>
      <c r="G2049" s="37">
        <v>42469.690972222219</v>
      </c>
      <c r="H2049" s="1" t="s">
        <v>6</v>
      </c>
      <c r="I2049" s="1" t="s">
        <v>38</v>
      </c>
      <c r="J2049" s="1">
        <v>42469.694363425922</v>
      </c>
      <c r="K2049" s="1" t="s">
        <v>118</v>
      </c>
      <c r="L2049" s="14">
        <f>24*(TblTimeSheet[[#This Row],[End Date and Time]]-TblTimeSheet[[#This Row],[Start Date and Time]])</f>
        <v>0.49999999988358468</v>
      </c>
      <c r="M20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49" s="14">
        <f>--(0&gt;(TblTimeSheet[[#This Row],[End Date and Time]]-TblTimeSheet[[#This Row],[Start Date and Time]]))</f>
        <v>0</v>
      </c>
    </row>
    <row r="2050" spans="1:14" x14ac:dyDescent="0.25">
      <c r="A2050" s="1"/>
      <c r="B2050" s="2" t="s">
        <v>917</v>
      </c>
      <c r="C2050" s="2" t="s">
        <v>171</v>
      </c>
      <c r="D2050" s="2" t="s">
        <v>32</v>
      </c>
      <c r="E2050" s="7" t="s">
        <v>3733</v>
      </c>
      <c r="F2050" s="37">
        <v>42469.690972222219</v>
      </c>
      <c r="G2050" s="37">
        <v>42469.694444444445</v>
      </c>
      <c r="H2050" s="1" t="s">
        <v>6</v>
      </c>
      <c r="I2050" s="1" t="s">
        <v>38</v>
      </c>
      <c r="J2050" s="1">
        <v>42469.695092592592</v>
      </c>
      <c r="K2050" s="1" t="s">
        <v>171</v>
      </c>
      <c r="L2050" s="14">
        <f>24*(TblTimeSheet[[#This Row],[End Date and Time]]-TblTimeSheet[[#This Row],[Start Date and Time]])</f>
        <v>8.3333333430346102E-2</v>
      </c>
      <c r="M20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0" s="14">
        <f>--(0&gt;(TblTimeSheet[[#This Row],[End Date and Time]]-TblTimeSheet[[#This Row],[Start Date and Time]]))</f>
        <v>0</v>
      </c>
    </row>
    <row r="2051" spans="1:14" x14ac:dyDescent="0.25">
      <c r="A2051" s="1"/>
      <c r="B2051" s="2" t="s">
        <v>917</v>
      </c>
      <c r="C2051" s="2" t="s">
        <v>43</v>
      </c>
      <c r="D2051" s="2" t="s">
        <v>32</v>
      </c>
      <c r="E2051" s="7" t="s">
        <v>3102</v>
      </c>
      <c r="F2051" s="37">
        <v>42469.670138888891</v>
      </c>
      <c r="G2051" s="37">
        <v>42469.690972222219</v>
      </c>
      <c r="H2051" s="1" t="s">
        <v>6</v>
      </c>
      <c r="I2051" s="1" t="s">
        <v>38</v>
      </c>
      <c r="J2051" s="1">
        <v>42469.695219907408</v>
      </c>
      <c r="K2051" s="1" t="s">
        <v>43</v>
      </c>
      <c r="L2051" s="14">
        <f>24*(TblTimeSheet[[#This Row],[End Date and Time]]-TblTimeSheet[[#This Row],[Start Date and Time]])</f>
        <v>0.49999999988358468</v>
      </c>
      <c r="M20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1" s="14">
        <f>--(0&gt;(TblTimeSheet[[#This Row],[End Date and Time]]-TblTimeSheet[[#This Row],[Start Date and Time]]))</f>
        <v>0</v>
      </c>
    </row>
    <row r="2052" spans="1:14" x14ac:dyDescent="0.25">
      <c r="A2052" s="1"/>
      <c r="B2052" s="2" t="s">
        <v>2874</v>
      </c>
      <c r="C2052" s="2" t="s">
        <v>1117</v>
      </c>
      <c r="D2052" s="2" t="s">
        <v>19</v>
      </c>
      <c r="E2052" s="7" t="s">
        <v>135</v>
      </c>
      <c r="F2052" s="37">
        <v>42469.520833333336</v>
      </c>
      <c r="G2052" s="37">
        <v>42469.534722222219</v>
      </c>
      <c r="H2052" s="1" t="s">
        <v>6</v>
      </c>
      <c r="I2052" s="1" t="s">
        <v>38</v>
      </c>
      <c r="J2052" s="1">
        <v>42469.709363425929</v>
      </c>
      <c r="K2052" s="1" t="s">
        <v>2865</v>
      </c>
      <c r="L2052" s="14">
        <f>24*(TblTimeSheet[[#This Row],[End Date and Time]]-TblTimeSheet[[#This Row],[Start Date and Time]])</f>
        <v>0.33333333319751546</v>
      </c>
      <c r="M20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2" s="14">
        <f>--(0&gt;(TblTimeSheet[[#This Row],[End Date and Time]]-TblTimeSheet[[#This Row],[Start Date and Time]]))</f>
        <v>0</v>
      </c>
    </row>
    <row r="2053" spans="1:14" x14ac:dyDescent="0.25">
      <c r="A2053" s="1"/>
      <c r="B2053" s="2" t="s">
        <v>915</v>
      </c>
      <c r="C2053" s="2" t="s">
        <v>1117</v>
      </c>
      <c r="D2053" s="2" t="s">
        <v>33</v>
      </c>
      <c r="E2053" s="7" t="s">
        <v>3103</v>
      </c>
      <c r="F2053" s="37">
        <v>42469.458333333336</v>
      </c>
      <c r="G2053" s="37">
        <v>42469.513888888891</v>
      </c>
      <c r="H2053" s="1" t="s">
        <v>6</v>
      </c>
      <c r="I2053" s="1" t="s">
        <v>38</v>
      </c>
      <c r="J2053" s="1">
        <v>42469.710821759261</v>
      </c>
      <c r="K2053" s="1" t="s">
        <v>2865</v>
      </c>
      <c r="L2053" s="14">
        <f>24*(TblTimeSheet[[#This Row],[End Date and Time]]-TblTimeSheet[[#This Row],[Start Date and Time]])</f>
        <v>1.3333333333139308</v>
      </c>
      <c r="M20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3" s="14">
        <f>--(0&gt;(TblTimeSheet[[#This Row],[End Date and Time]]-TblTimeSheet[[#This Row],[Start Date and Time]]))</f>
        <v>0</v>
      </c>
    </row>
    <row r="2054" spans="1:14" x14ac:dyDescent="0.25">
      <c r="A2054" s="1"/>
      <c r="B2054" s="2" t="s">
        <v>915</v>
      </c>
      <c r="C2054" s="2" t="s">
        <v>1117</v>
      </c>
      <c r="D2054" s="2" t="s">
        <v>33</v>
      </c>
      <c r="E2054" s="7" t="s">
        <v>3104</v>
      </c>
      <c r="F2054" s="37">
        <v>42469.583333333336</v>
      </c>
      <c r="G2054" s="37">
        <v>42469.708333333336</v>
      </c>
      <c r="H2054" s="1" t="s">
        <v>6</v>
      </c>
      <c r="I2054" s="1" t="s">
        <v>38</v>
      </c>
      <c r="J2054" s="1">
        <v>42469.711168981485</v>
      </c>
      <c r="K2054" s="1" t="s">
        <v>2865</v>
      </c>
      <c r="L2054" s="14">
        <f>24*(TblTimeSheet[[#This Row],[End Date and Time]]-TblTimeSheet[[#This Row],[Start Date and Time]])</f>
        <v>3</v>
      </c>
      <c r="M20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4" s="14">
        <f>--(0&gt;(TblTimeSheet[[#This Row],[End Date and Time]]-TblTimeSheet[[#This Row],[Start Date and Time]]))</f>
        <v>0</v>
      </c>
    </row>
    <row r="2055" spans="1:14" x14ac:dyDescent="0.25">
      <c r="A2055" s="1"/>
      <c r="B2055" s="2" t="s">
        <v>917</v>
      </c>
      <c r="C2055" s="2" t="s">
        <v>118</v>
      </c>
      <c r="D2055" s="2" t="s">
        <v>32</v>
      </c>
      <c r="E2055" s="7" t="s">
        <v>1670</v>
      </c>
      <c r="F2055" s="37">
        <v>42469.708333333336</v>
      </c>
      <c r="G2055" s="37">
        <v>42469.715277777781</v>
      </c>
      <c r="H2055" s="1" t="s">
        <v>6</v>
      </c>
      <c r="I2055" s="1" t="s">
        <v>38</v>
      </c>
      <c r="J2055" s="1">
        <v>42469.723645833335</v>
      </c>
      <c r="K2055" s="1" t="s">
        <v>118</v>
      </c>
      <c r="L2055" s="14">
        <f>24*(TblTimeSheet[[#This Row],[End Date and Time]]-TblTimeSheet[[#This Row],[Start Date and Time]])</f>
        <v>0.16666666668606922</v>
      </c>
      <c r="M20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5" s="14">
        <f>--(0&gt;(TblTimeSheet[[#This Row],[End Date and Time]]-TblTimeSheet[[#This Row],[Start Date and Time]]))</f>
        <v>0</v>
      </c>
    </row>
    <row r="2056" spans="1:14" x14ac:dyDescent="0.25">
      <c r="A2056" s="1"/>
      <c r="B2056" s="2" t="s">
        <v>2870</v>
      </c>
      <c r="C2056" s="2" t="s">
        <v>41</v>
      </c>
      <c r="D2056" s="2" t="s">
        <v>32</v>
      </c>
      <c r="E2056" s="7" t="s">
        <v>3105</v>
      </c>
      <c r="F2056" s="37">
        <v>42469.583333333336</v>
      </c>
      <c r="G2056" s="37">
        <v>42469.65625</v>
      </c>
      <c r="H2056" s="1" t="s">
        <v>6</v>
      </c>
      <c r="I2056" s="1" t="s">
        <v>38</v>
      </c>
      <c r="J2056" s="1">
        <v>42469.72420138889</v>
      </c>
      <c r="K2056" s="1" t="s">
        <v>41</v>
      </c>
      <c r="L2056" s="14">
        <f>24*(TblTimeSheet[[#This Row],[End Date and Time]]-TblTimeSheet[[#This Row],[Start Date and Time]])</f>
        <v>1.7499999999417923</v>
      </c>
      <c r="M20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6" s="14">
        <f>--(0&gt;(TblTimeSheet[[#This Row],[End Date and Time]]-TblTimeSheet[[#This Row],[Start Date and Time]]))</f>
        <v>0</v>
      </c>
    </row>
    <row r="2057" spans="1:14" x14ac:dyDescent="0.25">
      <c r="A2057" s="1"/>
      <c r="B2057" s="2" t="s">
        <v>917</v>
      </c>
      <c r="C2057" s="2" t="s">
        <v>171</v>
      </c>
      <c r="D2057" s="2" t="s">
        <v>32</v>
      </c>
      <c r="E2057" s="7" t="s">
        <v>1372</v>
      </c>
      <c r="F2057" s="37">
        <v>42469.708333333336</v>
      </c>
      <c r="G2057" s="37">
        <v>42469.715277777781</v>
      </c>
      <c r="H2057" s="1" t="s">
        <v>6</v>
      </c>
      <c r="I2057" s="1" t="s">
        <v>38</v>
      </c>
      <c r="J2057" s="1">
        <v>42469.724942129629</v>
      </c>
      <c r="K2057" s="1" t="s">
        <v>171</v>
      </c>
      <c r="L2057" s="14">
        <f>24*(TblTimeSheet[[#This Row],[End Date and Time]]-TblTimeSheet[[#This Row],[Start Date and Time]])</f>
        <v>0.16666666668606922</v>
      </c>
      <c r="M20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7" s="14">
        <f>--(0&gt;(TblTimeSheet[[#This Row],[End Date and Time]]-TblTimeSheet[[#This Row],[Start Date and Time]]))</f>
        <v>0</v>
      </c>
    </row>
    <row r="2058" spans="1:14" x14ac:dyDescent="0.25">
      <c r="A2058" s="1"/>
      <c r="B2058" s="2" t="s">
        <v>2870</v>
      </c>
      <c r="C2058" s="2" t="s">
        <v>41</v>
      </c>
      <c r="D2058" s="2" t="s">
        <v>32</v>
      </c>
      <c r="E2058" s="7" t="s">
        <v>3106</v>
      </c>
      <c r="F2058" s="37">
        <v>42469.690972222219</v>
      </c>
      <c r="G2058" s="37">
        <v>42469.725694444445</v>
      </c>
      <c r="H2058" s="1" t="s">
        <v>6</v>
      </c>
      <c r="I2058" s="1" t="s">
        <v>38</v>
      </c>
      <c r="J2058" s="1">
        <v>42469.732048611113</v>
      </c>
      <c r="K2058" s="1" t="s">
        <v>41</v>
      </c>
      <c r="L2058" s="14">
        <f>24*(TblTimeSheet[[#This Row],[End Date and Time]]-TblTimeSheet[[#This Row],[Start Date and Time]])</f>
        <v>0.8333333334303461</v>
      </c>
      <c r="M20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8" s="14">
        <f>--(0&gt;(TblTimeSheet[[#This Row],[End Date and Time]]-TblTimeSheet[[#This Row],[Start Date and Time]]))</f>
        <v>0</v>
      </c>
    </row>
    <row r="2059" spans="1:14" x14ac:dyDescent="0.25">
      <c r="A2059" s="1"/>
      <c r="B2059" s="2" t="s">
        <v>917</v>
      </c>
      <c r="C2059" s="2" t="s">
        <v>36</v>
      </c>
      <c r="D2059" s="2" t="s">
        <v>32</v>
      </c>
      <c r="E2059" s="7" t="s">
        <v>3107</v>
      </c>
      <c r="F2059" s="37">
        <v>42469.708333333336</v>
      </c>
      <c r="G2059" s="37">
        <v>42469.725694444445</v>
      </c>
      <c r="H2059" s="1" t="s">
        <v>6</v>
      </c>
      <c r="I2059" s="1" t="s">
        <v>38</v>
      </c>
      <c r="J2059" s="1">
        <v>42469.727465277778</v>
      </c>
      <c r="K2059" s="1" t="s">
        <v>36</v>
      </c>
      <c r="L2059" s="14">
        <f>24*(TblTimeSheet[[#This Row],[End Date and Time]]-TblTimeSheet[[#This Row],[Start Date and Time]])</f>
        <v>0.41666666662786156</v>
      </c>
      <c r="M20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59" s="14">
        <f>--(0&gt;(TblTimeSheet[[#This Row],[End Date and Time]]-TblTimeSheet[[#This Row],[Start Date and Time]]))</f>
        <v>0</v>
      </c>
    </row>
    <row r="2060" spans="1:14" x14ac:dyDescent="0.25">
      <c r="A2060" s="1"/>
      <c r="B2060" s="2" t="s">
        <v>915</v>
      </c>
      <c r="C2060" s="2" t="s">
        <v>454</v>
      </c>
      <c r="D2060" s="2" t="s">
        <v>34</v>
      </c>
      <c r="E2060" s="7" t="s">
        <v>3052</v>
      </c>
      <c r="F2060" s="37">
        <v>42468.416666666664</v>
      </c>
      <c r="G2060" s="37">
        <v>42468.458333333336</v>
      </c>
      <c r="H2060" s="1" t="s">
        <v>6</v>
      </c>
      <c r="I2060" s="1" t="s">
        <v>38</v>
      </c>
      <c r="J2060" s="1">
        <v>42469.727708333332</v>
      </c>
      <c r="K2060" s="1" t="s">
        <v>454</v>
      </c>
      <c r="L2060" s="14">
        <f>24*(TblTimeSheet[[#This Row],[End Date and Time]]-TblTimeSheet[[#This Row],[Start Date and Time]])</f>
        <v>1.0000000001164153</v>
      </c>
      <c r="M20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0" s="14">
        <f>--(0&gt;(TblTimeSheet[[#This Row],[End Date and Time]]-TblTimeSheet[[#This Row],[Start Date and Time]]))</f>
        <v>0</v>
      </c>
    </row>
    <row r="2061" spans="1:14" x14ac:dyDescent="0.25">
      <c r="A2061" s="1"/>
      <c r="B2061" s="2" t="s">
        <v>915</v>
      </c>
      <c r="C2061" s="2" t="s">
        <v>454</v>
      </c>
      <c r="D2061" s="2" t="s">
        <v>34</v>
      </c>
      <c r="E2061" s="7" t="s">
        <v>3052</v>
      </c>
      <c r="F2061" s="37">
        <v>42469.458333333336</v>
      </c>
      <c r="G2061" s="37">
        <v>42469.541666666664</v>
      </c>
      <c r="H2061" s="1" t="s">
        <v>6</v>
      </c>
      <c r="I2061" s="1" t="s">
        <v>38</v>
      </c>
      <c r="J2061" s="1">
        <v>42469.728182870371</v>
      </c>
      <c r="K2061" s="1" t="s">
        <v>454</v>
      </c>
      <c r="L2061" s="14">
        <f>24*(TblTimeSheet[[#This Row],[End Date and Time]]-TblTimeSheet[[#This Row],[Start Date and Time]])</f>
        <v>1.9999999998835847</v>
      </c>
      <c r="M20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1" s="14">
        <f>--(0&gt;(TblTimeSheet[[#This Row],[End Date and Time]]-TblTimeSheet[[#This Row],[Start Date and Time]]))</f>
        <v>0</v>
      </c>
    </row>
    <row r="2062" spans="1:14" x14ac:dyDescent="0.25">
      <c r="A2062" s="1"/>
      <c r="B2062" s="2" t="s">
        <v>915</v>
      </c>
      <c r="C2062" s="2" t="s">
        <v>454</v>
      </c>
      <c r="D2062" s="2" t="s">
        <v>34</v>
      </c>
      <c r="E2062" s="7" t="s">
        <v>3108</v>
      </c>
      <c r="F2062" s="37">
        <v>42469.583333333336</v>
      </c>
      <c r="G2062" s="37">
        <v>42469.604166666664</v>
      </c>
      <c r="H2062" s="1" t="s">
        <v>6</v>
      </c>
      <c r="I2062" s="1" t="s">
        <v>38</v>
      </c>
      <c r="J2062" s="1">
        <v>42469.729456018518</v>
      </c>
      <c r="K2062" s="1" t="s">
        <v>454</v>
      </c>
      <c r="L2062" s="14">
        <f>24*(TblTimeSheet[[#This Row],[End Date and Time]]-TblTimeSheet[[#This Row],[Start Date and Time]])</f>
        <v>0.49999999988358468</v>
      </c>
      <c r="M20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2" s="14">
        <f>--(0&gt;(TblTimeSheet[[#This Row],[End Date and Time]]-TblTimeSheet[[#This Row],[Start Date and Time]]))</f>
        <v>0</v>
      </c>
    </row>
    <row r="2063" spans="1:14" x14ac:dyDescent="0.25">
      <c r="A2063" s="1"/>
      <c r="B2063" s="2" t="s">
        <v>915</v>
      </c>
      <c r="C2063" s="2" t="s">
        <v>454</v>
      </c>
      <c r="D2063" s="2" t="s">
        <v>34</v>
      </c>
      <c r="E2063" s="7" t="s">
        <v>3109</v>
      </c>
      <c r="F2063" s="37">
        <v>42469.618055555555</v>
      </c>
      <c r="G2063" s="37">
        <v>42469.645833333336</v>
      </c>
      <c r="H2063" s="1" t="s">
        <v>6</v>
      </c>
      <c r="I2063" s="1" t="s">
        <v>38</v>
      </c>
      <c r="J2063" s="1">
        <v>42469.730138888888</v>
      </c>
      <c r="K2063" s="1" t="s">
        <v>454</v>
      </c>
      <c r="L2063" s="14">
        <f>24*(TblTimeSheet[[#This Row],[End Date and Time]]-TblTimeSheet[[#This Row],[Start Date and Time]])</f>
        <v>0.66666666674427688</v>
      </c>
      <c r="M20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3" s="14">
        <f>--(0&gt;(TblTimeSheet[[#This Row],[End Date and Time]]-TblTimeSheet[[#This Row],[Start Date and Time]]))</f>
        <v>0</v>
      </c>
    </row>
    <row r="2064" spans="1:14" x14ac:dyDescent="0.25">
      <c r="A2064" s="1"/>
      <c r="B2064" s="2" t="s">
        <v>915</v>
      </c>
      <c r="C2064" s="2" t="s">
        <v>116</v>
      </c>
      <c r="D2064" s="2" t="s">
        <v>33</v>
      </c>
      <c r="E2064" s="7" t="s">
        <v>3110</v>
      </c>
      <c r="F2064" s="37">
        <v>42469.6875</v>
      </c>
      <c r="G2064" s="37">
        <v>42469.701388888891</v>
      </c>
      <c r="H2064" s="1" t="s">
        <v>6</v>
      </c>
      <c r="I2064" s="1" t="s">
        <v>38</v>
      </c>
      <c r="J2064" s="1">
        <v>42470.470949074072</v>
      </c>
      <c r="K2064" s="1" t="s">
        <v>701</v>
      </c>
      <c r="L2064" s="14">
        <f>24*(TblTimeSheet[[#This Row],[End Date and Time]]-TblTimeSheet[[#This Row],[Start Date and Time]])</f>
        <v>0.33333333337213844</v>
      </c>
      <c r="M20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4" s="14">
        <f>--(0&gt;(TblTimeSheet[[#This Row],[End Date and Time]]-TblTimeSheet[[#This Row],[Start Date and Time]]))</f>
        <v>0</v>
      </c>
    </row>
    <row r="2065" spans="1:14" x14ac:dyDescent="0.25">
      <c r="A2065" s="1"/>
      <c r="B2065" s="2" t="s">
        <v>917</v>
      </c>
      <c r="C2065" s="2" t="s">
        <v>116</v>
      </c>
      <c r="D2065" s="2" t="s">
        <v>32</v>
      </c>
      <c r="E2065" s="7" t="s">
        <v>449</v>
      </c>
      <c r="F2065" s="37">
        <v>42469.708333333336</v>
      </c>
      <c r="G2065" s="37">
        <v>42469.715277777781</v>
      </c>
      <c r="H2065" s="1" t="s">
        <v>6</v>
      </c>
      <c r="I2065" s="1" t="s">
        <v>38</v>
      </c>
      <c r="J2065" s="1">
        <v>42470.476851851854</v>
      </c>
      <c r="K2065" s="1" t="s">
        <v>701</v>
      </c>
      <c r="L2065" s="14">
        <f>24*(TblTimeSheet[[#This Row],[End Date and Time]]-TblTimeSheet[[#This Row],[Start Date and Time]])</f>
        <v>0.16666666668606922</v>
      </c>
      <c r="M20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65" s="14">
        <f>--(0&gt;(TblTimeSheet[[#This Row],[End Date and Time]]-TblTimeSheet[[#This Row],[Start Date and Time]]))</f>
        <v>0</v>
      </c>
    </row>
    <row r="2066" spans="1:14" x14ac:dyDescent="0.25">
      <c r="A2066" s="1"/>
      <c r="B2066" s="2" t="s">
        <v>2870</v>
      </c>
      <c r="C2066" s="2" t="s">
        <v>116</v>
      </c>
      <c r="D2066" s="2" t="s">
        <v>32</v>
      </c>
      <c r="E2066" s="7" t="s">
        <v>3111</v>
      </c>
      <c r="F2066" s="37">
        <v>42469.40625</v>
      </c>
      <c r="G2066" s="37">
        <v>42469.479166666664</v>
      </c>
      <c r="H2066" s="1" t="s">
        <v>6</v>
      </c>
      <c r="I2066" s="1" t="s">
        <v>38</v>
      </c>
      <c r="J2066" s="1">
        <v>42473.462141203701</v>
      </c>
      <c r="K2066" s="1" t="s">
        <v>701</v>
      </c>
      <c r="L2066" s="14">
        <f>24*(TblTimeSheet[[#This Row],[End Date and Time]]-TblTimeSheet[[#This Row],[Start Date and Time]])</f>
        <v>1.7499999999417923</v>
      </c>
      <c r="M20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6" s="14">
        <f>--(0&gt;(TblTimeSheet[[#This Row],[End Date and Time]]-TblTimeSheet[[#This Row],[Start Date and Time]]))</f>
        <v>0</v>
      </c>
    </row>
    <row r="2067" spans="1:14" x14ac:dyDescent="0.25">
      <c r="A2067" s="1"/>
      <c r="B2067" s="2" t="s">
        <v>917</v>
      </c>
      <c r="C2067" s="2" t="s">
        <v>116</v>
      </c>
      <c r="D2067" s="2" t="s">
        <v>32</v>
      </c>
      <c r="E2067" s="7" t="s">
        <v>3112</v>
      </c>
      <c r="F2067" s="37">
        <v>42469.583333333336</v>
      </c>
      <c r="G2067" s="37">
        <v>42469.666666666664</v>
      </c>
      <c r="H2067" s="1" t="s">
        <v>6</v>
      </c>
      <c r="I2067" s="1" t="s">
        <v>38</v>
      </c>
      <c r="J2067" s="1">
        <v>42470.479386574072</v>
      </c>
      <c r="K2067" s="1" t="s">
        <v>701</v>
      </c>
      <c r="L2067" s="14">
        <f>24*(TblTimeSheet[[#This Row],[End Date and Time]]-TblTimeSheet[[#This Row],[Start Date and Time]])</f>
        <v>1.9999999998835847</v>
      </c>
      <c r="M20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7" s="14">
        <f>--(0&gt;(TblTimeSheet[[#This Row],[End Date and Time]]-TblTimeSheet[[#This Row],[Start Date and Time]]))</f>
        <v>0</v>
      </c>
    </row>
    <row r="2068" spans="1:14" x14ac:dyDescent="0.25">
      <c r="A2068" s="1"/>
      <c r="B2068" s="2" t="s">
        <v>915</v>
      </c>
      <c r="C2068" s="2" t="s">
        <v>1117</v>
      </c>
      <c r="D2068" s="2" t="s">
        <v>33</v>
      </c>
      <c r="E2068" s="7" t="s">
        <v>3113</v>
      </c>
      <c r="F2068" s="37">
        <v>42469.708333333336</v>
      </c>
      <c r="G2068" s="37">
        <v>42469.729166666664</v>
      </c>
      <c r="H2068" s="1" t="s">
        <v>6</v>
      </c>
      <c r="I2068" s="1" t="s">
        <v>38</v>
      </c>
      <c r="J2068" s="1">
        <v>42471.389097222222</v>
      </c>
      <c r="K2068" s="1" t="s">
        <v>2865</v>
      </c>
      <c r="L2068" s="14">
        <f>24*(TblTimeSheet[[#This Row],[End Date and Time]]-TblTimeSheet[[#This Row],[Start Date and Time]])</f>
        <v>0.49999999988358468</v>
      </c>
      <c r="M20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8" s="14">
        <f>--(0&gt;(TblTimeSheet[[#This Row],[End Date and Time]]-TblTimeSheet[[#This Row],[Start Date and Time]]))</f>
        <v>0</v>
      </c>
    </row>
    <row r="2069" spans="1:14" x14ac:dyDescent="0.25">
      <c r="A2069" s="1"/>
      <c r="B2069" s="2" t="s">
        <v>917</v>
      </c>
      <c r="C2069" s="2" t="s">
        <v>116</v>
      </c>
      <c r="D2069" s="2" t="s">
        <v>32</v>
      </c>
      <c r="E2069" s="7" t="s">
        <v>3114</v>
      </c>
      <c r="F2069" s="37">
        <v>42470.4375</v>
      </c>
      <c r="G2069" s="37">
        <v>42470.458333333336</v>
      </c>
      <c r="H2069" s="1" t="s">
        <v>6</v>
      </c>
      <c r="I2069" s="1" t="s">
        <v>38</v>
      </c>
      <c r="J2069" s="1">
        <v>42471.406319444446</v>
      </c>
      <c r="K2069" s="1" t="s">
        <v>39</v>
      </c>
      <c r="L2069" s="14">
        <f>24*(TblTimeSheet[[#This Row],[End Date and Time]]-TblTimeSheet[[#This Row],[Start Date and Time]])</f>
        <v>0.50000000005820766</v>
      </c>
      <c r="M20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69" s="14">
        <f>--(0&gt;(TblTimeSheet[[#This Row],[End Date and Time]]-TblTimeSheet[[#This Row],[Start Date and Time]]))</f>
        <v>0</v>
      </c>
    </row>
    <row r="2070" spans="1:14" x14ac:dyDescent="0.25">
      <c r="A2070" s="1"/>
      <c r="B2070" s="2" t="s">
        <v>2870</v>
      </c>
      <c r="C2070" s="2" t="s">
        <v>116</v>
      </c>
      <c r="D2070" s="2" t="s">
        <v>32</v>
      </c>
      <c r="E2070" s="7" t="s">
        <v>3115</v>
      </c>
      <c r="F2070" s="37">
        <v>42470.46875</v>
      </c>
      <c r="G2070" s="37">
        <v>42470.489583333336</v>
      </c>
      <c r="H2070" s="1" t="s">
        <v>6</v>
      </c>
      <c r="I2070" s="1" t="s">
        <v>38</v>
      </c>
      <c r="J2070" s="1">
        <v>42471.407025462962</v>
      </c>
      <c r="K2070" s="1" t="s">
        <v>39</v>
      </c>
      <c r="L2070" s="14">
        <f>24*(TblTimeSheet[[#This Row],[End Date and Time]]-TblTimeSheet[[#This Row],[Start Date and Time]])</f>
        <v>0.50000000005820766</v>
      </c>
      <c r="M20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0" s="14">
        <f>--(0&gt;(TblTimeSheet[[#This Row],[End Date and Time]]-TblTimeSheet[[#This Row],[Start Date and Time]]))</f>
        <v>0</v>
      </c>
    </row>
    <row r="2071" spans="1:14" x14ac:dyDescent="0.25">
      <c r="A2071" s="1"/>
      <c r="B2071" s="2" t="s">
        <v>915</v>
      </c>
      <c r="C2071" s="2" t="s">
        <v>1117</v>
      </c>
      <c r="D2071" s="2" t="s">
        <v>33</v>
      </c>
      <c r="E2071" s="7" t="s">
        <v>3734</v>
      </c>
      <c r="F2071" s="37">
        <v>42471.375</v>
      </c>
      <c r="G2071" s="37">
        <v>42471.4375</v>
      </c>
      <c r="H2071" s="1" t="s">
        <v>6</v>
      </c>
      <c r="I2071" s="1" t="s">
        <v>38</v>
      </c>
      <c r="J2071" s="1">
        <v>42471.438599537039</v>
      </c>
      <c r="K2071" s="1" t="s">
        <v>2865</v>
      </c>
      <c r="L2071" s="14">
        <f>24*(TblTimeSheet[[#This Row],[End Date and Time]]-TblTimeSheet[[#This Row],[Start Date and Time]])</f>
        <v>1.5</v>
      </c>
      <c r="M20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1" s="14">
        <f>--(0&gt;(TblTimeSheet[[#This Row],[End Date and Time]]-TblTimeSheet[[#This Row],[Start Date and Time]]))</f>
        <v>0</v>
      </c>
    </row>
    <row r="2072" spans="1:14" x14ac:dyDescent="0.25">
      <c r="A2072" s="1"/>
      <c r="B2072" s="2" t="s">
        <v>917</v>
      </c>
      <c r="C2072" s="2" t="s">
        <v>118</v>
      </c>
      <c r="D2072" s="2" t="s">
        <v>32</v>
      </c>
      <c r="E2072" s="7" t="s">
        <v>1225</v>
      </c>
      <c r="F2072" s="37">
        <v>42471.395833333336</v>
      </c>
      <c r="G2072" s="37">
        <v>42471.427083333336</v>
      </c>
      <c r="H2072" s="1" t="s">
        <v>6</v>
      </c>
      <c r="I2072" s="1" t="s">
        <v>38</v>
      </c>
      <c r="J2072" s="1">
        <v>42471.535578703704</v>
      </c>
      <c r="K2072" s="1" t="s">
        <v>118</v>
      </c>
      <c r="L2072" s="14">
        <f>24*(TblTimeSheet[[#This Row],[End Date and Time]]-TblTimeSheet[[#This Row],[Start Date and Time]])</f>
        <v>0.75</v>
      </c>
      <c r="M20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2" s="14">
        <f>--(0&gt;(TblTimeSheet[[#This Row],[End Date and Time]]-TblTimeSheet[[#This Row],[Start Date and Time]]))</f>
        <v>0</v>
      </c>
    </row>
    <row r="2073" spans="1:14" x14ac:dyDescent="0.25">
      <c r="A2073" s="1"/>
      <c r="B2073" s="2" t="s">
        <v>915</v>
      </c>
      <c r="C2073" s="2" t="s">
        <v>116</v>
      </c>
      <c r="D2073" s="2" t="s">
        <v>34</v>
      </c>
      <c r="E2073" s="7" t="s">
        <v>3116</v>
      </c>
      <c r="F2073" s="37">
        <v>42471.583333333336</v>
      </c>
      <c r="G2073" s="37">
        <v>42471.6875</v>
      </c>
      <c r="H2073" s="1" t="s">
        <v>6</v>
      </c>
      <c r="I2073" s="1" t="s">
        <v>38</v>
      </c>
      <c r="J2073" s="1">
        <v>42471.72488425926</v>
      </c>
      <c r="K2073" s="1" t="s">
        <v>1026</v>
      </c>
      <c r="L2073" s="14">
        <f>24*(TblTimeSheet[[#This Row],[End Date and Time]]-TblTimeSheet[[#This Row],[Start Date and Time]])</f>
        <v>2.4999999999417923</v>
      </c>
      <c r="M20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3" s="14">
        <f>--(0&gt;(TblTimeSheet[[#This Row],[End Date and Time]]-TblTimeSheet[[#This Row],[Start Date and Time]]))</f>
        <v>0</v>
      </c>
    </row>
    <row r="2074" spans="1:14" x14ac:dyDescent="0.25">
      <c r="A2074" s="1"/>
      <c r="B2074" s="2" t="s">
        <v>2874</v>
      </c>
      <c r="C2074" s="2" t="s">
        <v>43</v>
      </c>
      <c r="D2074" s="2" t="s">
        <v>19</v>
      </c>
      <c r="E2074" s="7" t="s">
        <v>1704</v>
      </c>
      <c r="F2074" s="37">
        <v>42472.416666666664</v>
      </c>
      <c r="G2074" s="37">
        <v>42472.430555555555</v>
      </c>
      <c r="H2074" s="1" t="s">
        <v>6</v>
      </c>
      <c r="I2074" s="1" t="s">
        <v>38</v>
      </c>
      <c r="J2074" s="1">
        <v>42472.430671296293</v>
      </c>
      <c r="K2074" s="1" t="s">
        <v>43</v>
      </c>
      <c r="L2074" s="14">
        <f>24*(TblTimeSheet[[#This Row],[End Date and Time]]-TblTimeSheet[[#This Row],[Start Date and Time]])</f>
        <v>0.33333333337213844</v>
      </c>
      <c r="M20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4" s="14">
        <f>--(0&gt;(TblTimeSheet[[#This Row],[End Date and Time]]-TblTimeSheet[[#This Row],[Start Date and Time]]))</f>
        <v>0</v>
      </c>
    </row>
    <row r="2075" spans="1:14" x14ac:dyDescent="0.25">
      <c r="A2075" s="1"/>
      <c r="B2075" s="2" t="s">
        <v>2874</v>
      </c>
      <c r="C2075" s="2" t="s">
        <v>1469</v>
      </c>
      <c r="D2075" s="2" t="s">
        <v>19</v>
      </c>
      <c r="E2075" s="7" t="s">
        <v>3735</v>
      </c>
      <c r="F2075" s="37">
        <v>42472.416666666664</v>
      </c>
      <c r="G2075" s="37">
        <v>42472.430555555555</v>
      </c>
      <c r="H2075" s="1" t="s">
        <v>6</v>
      </c>
      <c r="I2075" s="1" t="s">
        <v>38</v>
      </c>
      <c r="J2075" s="1">
        <v>42472.432546296295</v>
      </c>
      <c r="K2075" s="1" t="s">
        <v>1469</v>
      </c>
      <c r="L2075" s="14">
        <f>24*(TblTimeSheet[[#This Row],[End Date and Time]]-TblTimeSheet[[#This Row],[Start Date and Time]])</f>
        <v>0.33333333337213844</v>
      </c>
      <c r="M20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5" s="14">
        <f>--(0&gt;(TblTimeSheet[[#This Row],[End Date and Time]]-TblTimeSheet[[#This Row],[Start Date and Time]]))</f>
        <v>0</v>
      </c>
    </row>
    <row r="2076" spans="1:14" x14ac:dyDescent="0.25">
      <c r="A2076" s="1"/>
      <c r="B2076" s="2" t="s">
        <v>917</v>
      </c>
      <c r="C2076" s="2" t="s">
        <v>118</v>
      </c>
      <c r="D2076" s="2" t="s">
        <v>32</v>
      </c>
      <c r="E2076" s="7" t="s">
        <v>1008</v>
      </c>
      <c r="F2076" s="37">
        <v>42471.6875</v>
      </c>
      <c r="G2076" s="37">
        <v>42471.708333333336</v>
      </c>
      <c r="H2076" s="1" t="s">
        <v>6</v>
      </c>
      <c r="I2076" s="1" t="s">
        <v>38</v>
      </c>
      <c r="J2076" s="1">
        <v>42472.436006944445</v>
      </c>
      <c r="K2076" s="1" t="s">
        <v>118</v>
      </c>
      <c r="L2076" s="14">
        <f>24*(TblTimeSheet[[#This Row],[End Date and Time]]-TblTimeSheet[[#This Row],[Start Date and Time]])</f>
        <v>0.50000000005820766</v>
      </c>
      <c r="M20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6" s="14">
        <f>--(0&gt;(TblTimeSheet[[#This Row],[End Date and Time]]-TblTimeSheet[[#This Row],[Start Date and Time]]))</f>
        <v>0</v>
      </c>
    </row>
    <row r="2077" spans="1:14" x14ac:dyDescent="0.25">
      <c r="A2077" s="1"/>
      <c r="B2077" s="2" t="s">
        <v>917</v>
      </c>
      <c r="C2077" s="2" t="s">
        <v>43</v>
      </c>
      <c r="D2077" s="2" t="s">
        <v>32</v>
      </c>
      <c r="E2077" s="7" t="s">
        <v>3117</v>
      </c>
      <c r="F2077" s="37">
        <v>42471.6875</v>
      </c>
      <c r="G2077" s="37">
        <v>42471.708333333336</v>
      </c>
      <c r="H2077" s="1" t="s">
        <v>6</v>
      </c>
      <c r="I2077" s="1" t="s">
        <v>38</v>
      </c>
      <c r="J2077" s="1">
        <v>42472.437164351853</v>
      </c>
      <c r="K2077" s="1" t="s">
        <v>43</v>
      </c>
      <c r="L2077" s="14">
        <f>24*(TblTimeSheet[[#This Row],[End Date and Time]]-TblTimeSheet[[#This Row],[Start Date and Time]])</f>
        <v>0.50000000005820766</v>
      </c>
      <c r="M20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7" s="14">
        <f>--(0&gt;(TblTimeSheet[[#This Row],[End Date and Time]]-TblTimeSheet[[#This Row],[Start Date and Time]]))</f>
        <v>0</v>
      </c>
    </row>
    <row r="2078" spans="1:14" x14ac:dyDescent="0.25">
      <c r="A2078" s="1"/>
      <c r="B2078" s="2" t="s">
        <v>2874</v>
      </c>
      <c r="C2078" s="2" t="s">
        <v>1117</v>
      </c>
      <c r="D2078" s="2" t="s">
        <v>19</v>
      </c>
      <c r="E2078" s="7" t="s">
        <v>3118</v>
      </c>
      <c r="F2078" s="37">
        <v>42472.416666666664</v>
      </c>
      <c r="G2078" s="37">
        <v>42472.430555555555</v>
      </c>
      <c r="H2078" s="1" t="s">
        <v>6</v>
      </c>
      <c r="I2078" s="1" t="s">
        <v>38</v>
      </c>
      <c r="J2078" s="1">
        <v>42472.437627314815</v>
      </c>
      <c r="K2078" s="1" t="s">
        <v>2865</v>
      </c>
      <c r="L2078" s="14">
        <f>24*(TblTimeSheet[[#This Row],[End Date and Time]]-TblTimeSheet[[#This Row],[Start Date and Time]])</f>
        <v>0.33333333337213844</v>
      </c>
      <c r="M20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8" s="14">
        <f>--(0&gt;(TblTimeSheet[[#This Row],[End Date and Time]]-TblTimeSheet[[#This Row],[Start Date and Time]]))</f>
        <v>0</v>
      </c>
    </row>
    <row r="2079" spans="1:14" x14ac:dyDescent="0.25">
      <c r="A2079" s="1"/>
      <c r="B2079" s="2" t="s">
        <v>915</v>
      </c>
      <c r="C2079" s="2" t="s">
        <v>36</v>
      </c>
      <c r="D2079" s="2" t="s">
        <v>34</v>
      </c>
      <c r="E2079" s="7" t="s">
        <v>3119</v>
      </c>
      <c r="F2079" s="37">
        <v>42472.4375</v>
      </c>
      <c r="G2079" s="37">
        <v>42472.447916666664</v>
      </c>
      <c r="H2079" s="1" t="s">
        <v>6</v>
      </c>
      <c r="I2079" s="1" t="s">
        <v>38</v>
      </c>
      <c r="J2079" s="1">
        <v>42472.447083333333</v>
      </c>
      <c r="K2079" s="1" t="s">
        <v>36</v>
      </c>
      <c r="L2079" s="14">
        <f>24*(TblTimeSheet[[#This Row],[End Date and Time]]-TblTimeSheet[[#This Row],[Start Date and Time]])</f>
        <v>0.24999999994179234</v>
      </c>
      <c r="M20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79" s="14">
        <f>--(0&gt;(TblTimeSheet[[#This Row],[End Date and Time]]-TblTimeSheet[[#This Row],[Start Date and Time]]))</f>
        <v>0</v>
      </c>
    </row>
    <row r="2080" spans="1:14" x14ac:dyDescent="0.25">
      <c r="A2080" s="1"/>
      <c r="B2080" s="2" t="s">
        <v>917</v>
      </c>
      <c r="C2080" s="2" t="s">
        <v>116</v>
      </c>
      <c r="D2080" s="2" t="s">
        <v>32</v>
      </c>
      <c r="E2080" s="7" t="s">
        <v>3736</v>
      </c>
      <c r="F2080" s="37">
        <v>42471.458333333336</v>
      </c>
      <c r="G2080" s="37">
        <v>42471.5</v>
      </c>
      <c r="H2080" s="1" t="s">
        <v>6</v>
      </c>
      <c r="I2080" s="1" t="s">
        <v>38</v>
      </c>
      <c r="J2080" s="1">
        <v>42472.447314814817</v>
      </c>
      <c r="K2080" s="1" t="s">
        <v>149</v>
      </c>
      <c r="L2080" s="14">
        <f>24*(TblTimeSheet[[#This Row],[End Date and Time]]-TblTimeSheet[[#This Row],[Start Date and Time]])</f>
        <v>0.99999999994179234</v>
      </c>
      <c r="M20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80" s="14">
        <f>--(0&gt;(TblTimeSheet[[#This Row],[End Date and Time]]-TblTimeSheet[[#This Row],[Start Date and Time]]))</f>
        <v>0</v>
      </c>
    </row>
    <row r="2081" spans="1:14" x14ac:dyDescent="0.25">
      <c r="A2081" s="1"/>
      <c r="B2081" s="2" t="s">
        <v>917</v>
      </c>
      <c r="C2081" s="2" t="s">
        <v>116</v>
      </c>
      <c r="D2081" s="2" t="s">
        <v>32</v>
      </c>
      <c r="E2081" s="7" t="s">
        <v>3737</v>
      </c>
      <c r="F2081" s="37">
        <v>42472.375</v>
      </c>
      <c r="G2081" s="37">
        <v>42472.444444444445</v>
      </c>
      <c r="H2081" s="1" t="s">
        <v>6</v>
      </c>
      <c r="I2081" s="1" t="s">
        <v>38</v>
      </c>
      <c r="J2081" s="1">
        <v>42472.447835648149</v>
      </c>
      <c r="K2081" s="1" t="s">
        <v>149</v>
      </c>
      <c r="L2081" s="14">
        <f>24*(TblTimeSheet[[#This Row],[End Date and Time]]-TblTimeSheet[[#This Row],[Start Date and Time]])</f>
        <v>1.6666666666860692</v>
      </c>
      <c r="M20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1" s="14">
        <f>--(0&gt;(TblTimeSheet[[#This Row],[End Date and Time]]-TblTimeSheet[[#This Row],[Start Date and Time]]))</f>
        <v>0</v>
      </c>
    </row>
    <row r="2082" spans="1:14" x14ac:dyDescent="0.25">
      <c r="A2082" s="1"/>
      <c r="B2082" s="2" t="s">
        <v>915</v>
      </c>
      <c r="C2082" s="2" t="s">
        <v>116</v>
      </c>
      <c r="D2082" s="2" t="s">
        <v>33</v>
      </c>
      <c r="E2082" s="7" t="s">
        <v>3738</v>
      </c>
      <c r="F2082" s="37">
        <v>42471.732638888891</v>
      </c>
      <c r="G2082" s="37">
        <v>42471.739583333336</v>
      </c>
      <c r="H2082" s="1" t="s">
        <v>6</v>
      </c>
      <c r="I2082" s="1" t="s">
        <v>38</v>
      </c>
      <c r="J2082" s="1">
        <v>42472.487060185187</v>
      </c>
      <c r="K2082" s="1" t="s">
        <v>81</v>
      </c>
      <c r="L2082" s="14">
        <f>24*(TblTimeSheet[[#This Row],[End Date and Time]]-TblTimeSheet[[#This Row],[Start Date and Time]])</f>
        <v>0.16666666668606922</v>
      </c>
      <c r="M20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2" s="14">
        <f>--(0&gt;(TblTimeSheet[[#This Row],[End Date and Time]]-TblTimeSheet[[#This Row],[Start Date and Time]]))</f>
        <v>0</v>
      </c>
    </row>
    <row r="2083" spans="1:14" x14ac:dyDescent="0.25">
      <c r="A2083" s="1"/>
      <c r="B2083" s="2" t="s">
        <v>915</v>
      </c>
      <c r="C2083" s="2" t="s">
        <v>116</v>
      </c>
      <c r="D2083" s="2" t="s">
        <v>34</v>
      </c>
      <c r="E2083" s="7" t="s">
        <v>3120</v>
      </c>
      <c r="F2083" s="37">
        <v>42472.4375</v>
      </c>
      <c r="G2083" s="37">
        <v>42472.447916666664</v>
      </c>
      <c r="H2083" s="1" t="s">
        <v>6</v>
      </c>
      <c r="I2083" s="1" t="s">
        <v>38</v>
      </c>
      <c r="J2083" s="1">
        <v>42472.487500000003</v>
      </c>
      <c r="K2083" s="1" t="s">
        <v>1026</v>
      </c>
      <c r="L2083" s="14">
        <f>24*(TblTimeSheet[[#This Row],[End Date and Time]]-TblTimeSheet[[#This Row],[Start Date and Time]])</f>
        <v>0.24999999994179234</v>
      </c>
      <c r="M20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3" s="14">
        <f>--(0&gt;(TblTimeSheet[[#This Row],[End Date and Time]]-TblTimeSheet[[#This Row],[Start Date and Time]]))</f>
        <v>0</v>
      </c>
    </row>
    <row r="2084" spans="1:14" x14ac:dyDescent="0.25">
      <c r="A2084" s="1"/>
      <c r="B2084" s="2" t="s">
        <v>917</v>
      </c>
      <c r="C2084" s="2" t="s">
        <v>171</v>
      </c>
      <c r="D2084" s="2" t="s">
        <v>32</v>
      </c>
      <c r="E2084" s="7" t="s">
        <v>3739</v>
      </c>
      <c r="F2084" s="37">
        <v>42472.583333333336</v>
      </c>
      <c r="G2084" s="37">
        <v>42472.586805555555</v>
      </c>
      <c r="H2084" s="1" t="s">
        <v>6</v>
      </c>
      <c r="I2084" s="1" t="s">
        <v>38</v>
      </c>
      <c r="J2084" s="1">
        <v>42473.676990740743</v>
      </c>
      <c r="K2084" s="1" t="s">
        <v>171</v>
      </c>
      <c r="L2084" s="14">
        <f>24*(TblTimeSheet[[#This Row],[End Date and Time]]-TblTimeSheet[[#This Row],[Start Date and Time]])</f>
        <v>8.3333333255723119E-2</v>
      </c>
      <c r="M20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84" s="14">
        <f>--(0&gt;(TblTimeSheet[[#This Row],[End Date and Time]]-TblTimeSheet[[#This Row],[Start Date and Time]]))</f>
        <v>0</v>
      </c>
    </row>
    <row r="2085" spans="1:14" x14ac:dyDescent="0.25">
      <c r="A2085" s="1"/>
      <c r="B2085" s="2" t="s">
        <v>915</v>
      </c>
      <c r="C2085" s="2" t="s">
        <v>116</v>
      </c>
      <c r="D2085" s="2" t="s">
        <v>33</v>
      </c>
      <c r="E2085" s="7" t="s">
        <v>3740</v>
      </c>
      <c r="F2085" s="37">
        <v>42472.6875</v>
      </c>
      <c r="G2085" s="37">
        <v>42472.732638888891</v>
      </c>
      <c r="H2085" s="1" t="s">
        <v>6</v>
      </c>
      <c r="I2085" s="1" t="s">
        <v>38</v>
      </c>
      <c r="J2085" s="1">
        <v>42472.775208333333</v>
      </c>
      <c r="K2085" s="1" t="s">
        <v>81</v>
      </c>
      <c r="L2085" s="14">
        <f>24*(TblTimeSheet[[#This Row],[End Date and Time]]-TblTimeSheet[[#This Row],[Start Date and Time]])</f>
        <v>1.0833333333721384</v>
      </c>
      <c r="M20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5" s="14">
        <f>--(0&gt;(TblTimeSheet[[#This Row],[End Date and Time]]-TblTimeSheet[[#This Row],[Start Date and Time]]))</f>
        <v>0</v>
      </c>
    </row>
    <row r="2086" spans="1:14" x14ac:dyDescent="0.25">
      <c r="A2086" s="1"/>
      <c r="B2086" s="2" t="s">
        <v>915</v>
      </c>
      <c r="C2086" s="2" t="s">
        <v>116</v>
      </c>
      <c r="D2086" s="2" t="s">
        <v>33</v>
      </c>
      <c r="E2086" s="7" t="s">
        <v>3121</v>
      </c>
      <c r="F2086" s="37">
        <v>42472.6875</v>
      </c>
      <c r="G2086" s="37">
        <v>42472.732638888891</v>
      </c>
      <c r="H2086" s="1" t="s">
        <v>6</v>
      </c>
      <c r="I2086" s="1" t="s">
        <v>38</v>
      </c>
      <c r="J2086" s="1">
        <v>42472.77584490741</v>
      </c>
      <c r="K2086" s="1" t="s">
        <v>701</v>
      </c>
      <c r="L2086" s="14">
        <f>24*(TblTimeSheet[[#This Row],[End Date and Time]]-TblTimeSheet[[#This Row],[Start Date and Time]])</f>
        <v>1.0833333333721384</v>
      </c>
      <c r="M20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6" s="14">
        <f>--(0&gt;(TblTimeSheet[[#This Row],[End Date and Time]]-TblTimeSheet[[#This Row],[Start Date and Time]]))</f>
        <v>0</v>
      </c>
    </row>
    <row r="2087" spans="1:14" x14ac:dyDescent="0.25">
      <c r="A2087" s="1"/>
      <c r="B2087" s="2" t="s">
        <v>915</v>
      </c>
      <c r="C2087" s="2" t="s">
        <v>116</v>
      </c>
      <c r="D2087" s="2" t="s">
        <v>33</v>
      </c>
      <c r="E2087" s="7" t="s">
        <v>3122</v>
      </c>
      <c r="F2087" s="37">
        <v>42472.736111111109</v>
      </c>
      <c r="G2087" s="37">
        <v>42472.770833333336</v>
      </c>
      <c r="H2087" s="1" t="s">
        <v>6</v>
      </c>
      <c r="I2087" s="1" t="s">
        <v>38</v>
      </c>
      <c r="J2087" s="1">
        <v>42472.776458333334</v>
      </c>
      <c r="K2087" s="1" t="s">
        <v>701</v>
      </c>
      <c r="L2087" s="14">
        <f>24*(TblTimeSheet[[#This Row],[End Date and Time]]-TblTimeSheet[[#This Row],[Start Date and Time]])</f>
        <v>0.8333333334303461</v>
      </c>
      <c r="M20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87" s="14">
        <f>--(0&gt;(TblTimeSheet[[#This Row],[End Date and Time]]-TblTimeSheet[[#This Row],[Start Date and Time]]))</f>
        <v>0</v>
      </c>
    </row>
    <row r="2088" spans="1:14" x14ac:dyDescent="0.25">
      <c r="A2088" s="1"/>
      <c r="B2088" s="2" t="s">
        <v>915</v>
      </c>
      <c r="C2088" s="2" t="s">
        <v>116</v>
      </c>
      <c r="D2088" s="2" t="s">
        <v>33</v>
      </c>
      <c r="E2088" s="7" t="s">
        <v>3123</v>
      </c>
      <c r="F2088" s="37">
        <v>42471.732638888891</v>
      </c>
      <c r="G2088" s="37">
        <v>42471.739583333336</v>
      </c>
      <c r="H2088" s="1" t="s">
        <v>6</v>
      </c>
      <c r="I2088" s="1" t="s">
        <v>38</v>
      </c>
      <c r="J2088" s="1">
        <v>42472.778229166666</v>
      </c>
      <c r="K2088" s="1" t="s">
        <v>701</v>
      </c>
      <c r="L2088" s="14">
        <f>24*(TblTimeSheet[[#This Row],[End Date and Time]]-TblTimeSheet[[#This Row],[Start Date and Time]])</f>
        <v>0.16666666668606922</v>
      </c>
      <c r="M20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88" s="14">
        <f>--(0&gt;(TblTimeSheet[[#This Row],[End Date and Time]]-TblTimeSheet[[#This Row],[Start Date and Time]]))</f>
        <v>0</v>
      </c>
    </row>
    <row r="2089" spans="1:14" x14ac:dyDescent="0.25">
      <c r="A2089" s="1"/>
      <c r="B2089" s="2" t="s">
        <v>917</v>
      </c>
      <c r="C2089" s="2" t="s">
        <v>171</v>
      </c>
      <c r="D2089" s="2" t="s">
        <v>32</v>
      </c>
      <c r="E2089" s="7" t="s">
        <v>3741</v>
      </c>
      <c r="F2089" s="37">
        <v>42472.625</v>
      </c>
      <c r="G2089" s="37">
        <v>42472.708333333336</v>
      </c>
      <c r="H2089" s="1" t="s">
        <v>6</v>
      </c>
      <c r="I2089" s="1" t="s">
        <v>38</v>
      </c>
      <c r="J2089" s="1">
        <v>42473.409849537034</v>
      </c>
      <c r="K2089" s="1" t="s">
        <v>171</v>
      </c>
      <c r="L2089" s="14">
        <f>24*(TblTimeSheet[[#This Row],[End Date and Time]]-TblTimeSheet[[#This Row],[Start Date and Time]])</f>
        <v>2.0000000000582077</v>
      </c>
      <c r="M20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89" s="14">
        <f>--(0&gt;(TblTimeSheet[[#This Row],[End Date and Time]]-TblTimeSheet[[#This Row],[Start Date and Time]]))</f>
        <v>0</v>
      </c>
    </row>
    <row r="2090" spans="1:14" x14ac:dyDescent="0.25">
      <c r="A2090" s="1"/>
      <c r="B2090" s="2" t="s">
        <v>2874</v>
      </c>
      <c r="C2090" s="2" t="s">
        <v>116</v>
      </c>
      <c r="D2090" s="2" t="s">
        <v>19</v>
      </c>
      <c r="E2090" s="7" t="s">
        <v>3124</v>
      </c>
      <c r="F2090" s="37">
        <v>42473.395833333336</v>
      </c>
      <c r="G2090" s="37">
        <v>42473.409722222219</v>
      </c>
      <c r="H2090" s="1" t="s">
        <v>6</v>
      </c>
      <c r="I2090" s="1" t="s">
        <v>38</v>
      </c>
      <c r="J2090" s="1">
        <v>42473.427557870367</v>
      </c>
      <c r="K2090" s="1" t="s">
        <v>701</v>
      </c>
      <c r="L2090" s="14">
        <f>24*(TblTimeSheet[[#This Row],[End Date and Time]]-TblTimeSheet[[#This Row],[Start Date and Time]])</f>
        <v>0.33333333319751546</v>
      </c>
      <c r="M20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90" s="14">
        <f>--(0&gt;(TblTimeSheet[[#This Row],[End Date and Time]]-TblTimeSheet[[#This Row],[Start Date and Time]]))</f>
        <v>0</v>
      </c>
    </row>
    <row r="2091" spans="1:14" x14ac:dyDescent="0.25">
      <c r="A2091" s="1"/>
      <c r="B2091" s="2" t="s">
        <v>2874</v>
      </c>
      <c r="C2091" s="2" t="s">
        <v>43</v>
      </c>
      <c r="D2091" s="2" t="s">
        <v>19</v>
      </c>
      <c r="E2091" s="7" t="s">
        <v>3125</v>
      </c>
      <c r="F2091" s="37">
        <v>42473.395833333336</v>
      </c>
      <c r="G2091" s="37">
        <v>42473.409722222219</v>
      </c>
      <c r="H2091" s="1" t="s">
        <v>6</v>
      </c>
      <c r="I2091" s="1" t="s">
        <v>38</v>
      </c>
      <c r="J2091" s="1">
        <v>42473.440416666665</v>
      </c>
      <c r="K2091" s="1" t="s">
        <v>43</v>
      </c>
      <c r="L2091" s="14">
        <f>24*(TblTimeSheet[[#This Row],[End Date and Time]]-TblTimeSheet[[#This Row],[Start Date and Time]])</f>
        <v>0.33333333319751546</v>
      </c>
      <c r="M20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1" s="14">
        <f>--(0&gt;(TblTimeSheet[[#This Row],[End Date and Time]]-TblTimeSheet[[#This Row],[Start Date and Time]]))</f>
        <v>0</v>
      </c>
    </row>
    <row r="2092" spans="1:14" x14ac:dyDescent="0.25">
      <c r="A2092" s="1"/>
      <c r="B2092" s="2" t="s">
        <v>2874</v>
      </c>
      <c r="C2092" s="2" t="s">
        <v>43</v>
      </c>
      <c r="D2092" s="2" t="s">
        <v>19</v>
      </c>
      <c r="E2092" s="7" t="s">
        <v>3126</v>
      </c>
      <c r="F2092" s="37">
        <v>42473.413194444445</v>
      </c>
      <c r="G2092" s="37">
        <v>42473.427083333336</v>
      </c>
      <c r="H2092" s="1" t="s">
        <v>6</v>
      </c>
      <c r="I2092" s="1" t="s">
        <v>38</v>
      </c>
      <c r="J2092" s="1">
        <v>42473.441030092596</v>
      </c>
      <c r="K2092" s="1" t="s">
        <v>43</v>
      </c>
      <c r="L2092" s="14">
        <f>24*(TblTimeSheet[[#This Row],[End Date and Time]]-TblTimeSheet[[#This Row],[Start Date and Time]])</f>
        <v>0.33333333337213844</v>
      </c>
      <c r="M20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2" s="14">
        <f>--(0&gt;(TblTimeSheet[[#This Row],[End Date and Time]]-TblTimeSheet[[#This Row],[Start Date and Time]]))</f>
        <v>0</v>
      </c>
    </row>
    <row r="2093" spans="1:14" x14ac:dyDescent="0.25">
      <c r="A2093" s="1"/>
      <c r="B2093" s="2" t="s">
        <v>2874</v>
      </c>
      <c r="C2093" s="2" t="s">
        <v>116</v>
      </c>
      <c r="D2093" s="2" t="s">
        <v>19</v>
      </c>
      <c r="E2093" s="7" t="s">
        <v>3127</v>
      </c>
      <c r="F2093" s="37">
        <v>42469.5</v>
      </c>
      <c r="G2093" s="37">
        <v>42469.513888888891</v>
      </c>
      <c r="H2093" s="1" t="s">
        <v>6</v>
      </c>
      <c r="I2093" s="1" t="s">
        <v>38</v>
      </c>
      <c r="J2093" s="1">
        <v>42473.462962962964</v>
      </c>
      <c r="K2093" s="1" t="s">
        <v>701</v>
      </c>
      <c r="L2093" s="14">
        <f>24*(TblTimeSheet[[#This Row],[End Date and Time]]-TblTimeSheet[[#This Row],[Start Date and Time]])</f>
        <v>0.33333333337213844</v>
      </c>
      <c r="M20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3" s="14">
        <f>--(0&gt;(TblTimeSheet[[#This Row],[End Date and Time]]-TblTimeSheet[[#This Row],[Start Date and Time]]))</f>
        <v>0</v>
      </c>
    </row>
    <row r="2094" spans="1:14" x14ac:dyDescent="0.25">
      <c r="A2094" s="1"/>
      <c r="B2094" s="2" t="s">
        <v>2870</v>
      </c>
      <c r="C2094" s="2" t="s">
        <v>118</v>
      </c>
      <c r="D2094" s="2" t="s">
        <v>32</v>
      </c>
      <c r="E2094" s="7" t="s">
        <v>3128</v>
      </c>
      <c r="F2094" s="37">
        <v>42473.385416666664</v>
      </c>
      <c r="G2094" s="37">
        <v>42473.40625</v>
      </c>
      <c r="H2094" s="1" t="s">
        <v>6</v>
      </c>
      <c r="I2094" s="1" t="s">
        <v>38</v>
      </c>
      <c r="J2094" s="1">
        <v>42473.466087962966</v>
      </c>
      <c r="K2094" s="1" t="s">
        <v>118</v>
      </c>
      <c r="L2094" s="14">
        <f>24*(TblTimeSheet[[#This Row],[End Date and Time]]-TblTimeSheet[[#This Row],[Start Date and Time]])</f>
        <v>0.50000000005820766</v>
      </c>
      <c r="M20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4" s="14">
        <f>--(0&gt;(TblTimeSheet[[#This Row],[End Date and Time]]-TblTimeSheet[[#This Row],[Start Date and Time]]))</f>
        <v>0</v>
      </c>
    </row>
    <row r="2095" spans="1:14" x14ac:dyDescent="0.25">
      <c r="A2095" s="1"/>
      <c r="B2095" s="2" t="s">
        <v>2874</v>
      </c>
      <c r="C2095" s="2" t="s">
        <v>43</v>
      </c>
      <c r="D2095" s="2" t="s">
        <v>19</v>
      </c>
      <c r="E2095" s="7" t="s">
        <v>3742</v>
      </c>
      <c r="F2095" s="37">
        <v>42473.458333333336</v>
      </c>
      <c r="G2095" s="37">
        <v>42473.472222222219</v>
      </c>
      <c r="H2095" s="1" t="s">
        <v>6</v>
      </c>
      <c r="I2095" s="1" t="s">
        <v>38</v>
      </c>
      <c r="J2095" s="1">
        <v>42473.474143518521</v>
      </c>
      <c r="K2095" s="1" t="s">
        <v>43</v>
      </c>
      <c r="L2095" s="14">
        <f>24*(TblTimeSheet[[#This Row],[End Date and Time]]-TblTimeSheet[[#This Row],[Start Date and Time]])</f>
        <v>0.33333333319751546</v>
      </c>
      <c r="M20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5" s="14">
        <f>--(0&gt;(TblTimeSheet[[#This Row],[End Date and Time]]-TblTimeSheet[[#This Row],[Start Date and Time]]))</f>
        <v>0</v>
      </c>
    </row>
    <row r="2096" spans="1:14" x14ac:dyDescent="0.25">
      <c r="A2096" s="1"/>
      <c r="B2096" s="2" t="s">
        <v>2874</v>
      </c>
      <c r="C2096" s="2" t="s">
        <v>116</v>
      </c>
      <c r="D2096" s="2" t="s">
        <v>19</v>
      </c>
      <c r="E2096" s="7" t="s">
        <v>3129</v>
      </c>
      <c r="F2096" s="37">
        <v>42473.447916666664</v>
      </c>
      <c r="G2096" s="37">
        <v>42473.475694444445</v>
      </c>
      <c r="H2096" s="1" t="s">
        <v>6</v>
      </c>
      <c r="I2096" s="1" t="s">
        <v>38</v>
      </c>
      <c r="J2096" s="1">
        <v>42473.474490740744</v>
      </c>
      <c r="K2096" s="1" t="s">
        <v>701</v>
      </c>
      <c r="L2096" s="14">
        <f>24*(TblTimeSheet[[#This Row],[End Date and Time]]-TblTimeSheet[[#This Row],[Start Date and Time]])</f>
        <v>0.66666666674427688</v>
      </c>
      <c r="M20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96" s="14">
        <f>--(0&gt;(TblTimeSheet[[#This Row],[End Date and Time]]-TblTimeSheet[[#This Row],[Start Date and Time]]))</f>
        <v>0</v>
      </c>
    </row>
    <row r="2097" spans="1:14" x14ac:dyDescent="0.25">
      <c r="A2097" s="1"/>
      <c r="B2097" s="2" t="s">
        <v>2874</v>
      </c>
      <c r="C2097" s="2" t="s">
        <v>1469</v>
      </c>
      <c r="D2097" s="2" t="s">
        <v>19</v>
      </c>
      <c r="E2097" s="7" t="s">
        <v>3130</v>
      </c>
      <c r="F2097" s="37">
        <v>42473.458333333336</v>
      </c>
      <c r="G2097" s="37">
        <v>42473.472222222219</v>
      </c>
      <c r="H2097" s="1" t="s">
        <v>6</v>
      </c>
      <c r="I2097" s="1" t="s">
        <v>38</v>
      </c>
      <c r="J2097" s="1">
        <v>42473.476967592593</v>
      </c>
      <c r="K2097" s="1" t="s">
        <v>1469</v>
      </c>
      <c r="L2097" s="14">
        <f>24*(TblTimeSheet[[#This Row],[End Date and Time]]-TblTimeSheet[[#This Row],[Start Date and Time]])</f>
        <v>0.33333333319751546</v>
      </c>
      <c r="M20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7" s="14">
        <f>--(0&gt;(TblTimeSheet[[#This Row],[End Date and Time]]-TblTimeSheet[[#This Row],[Start Date and Time]]))</f>
        <v>0</v>
      </c>
    </row>
    <row r="2098" spans="1:14" x14ac:dyDescent="0.25">
      <c r="A2098" s="1"/>
      <c r="B2098" s="2" t="s">
        <v>2874</v>
      </c>
      <c r="C2098" s="2" t="s">
        <v>1117</v>
      </c>
      <c r="D2098" s="2" t="s">
        <v>19</v>
      </c>
      <c r="E2098" s="7" t="s">
        <v>1753</v>
      </c>
      <c r="F2098" s="37">
        <v>42473.458333333336</v>
      </c>
      <c r="G2098" s="37">
        <v>42473.472222222219</v>
      </c>
      <c r="H2098" s="1" t="s">
        <v>6</v>
      </c>
      <c r="I2098" s="1" t="s">
        <v>38</v>
      </c>
      <c r="J2098" s="1">
        <v>42473.48333333333</v>
      </c>
      <c r="K2098" s="1" t="s">
        <v>2865</v>
      </c>
      <c r="L2098" s="14">
        <f>24*(TblTimeSheet[[#This Row],[End Date and Time]]-TblTimeSheet[[#This Row],[Start Date and Time]])</f>
        <v>0.33333333319751546</v>
      </c>
      <c r="M20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098" s="14">
        <f>--(0&gt;(TblTimeSheet[[#This Row],[End Date and Time]]-TblTimeSheet[[#This Row],[Start Date and Time]]))</f>
        <v>0</v>
      </c>
    </row>
    <row r="2099" spans="1:14" x14ac:dyDescent="0.25">
      <c r="A2099" s="1"/>
      <c r="B2099" s="2" t="s">
        <v>2874</v>
      </c>
      <c r="C2099" s="2" t="s">
        <v>116</v>
      </c>
      <c r="D2099" s="2" t="s">
        <v>19</v>
      </c>
      <c r="E2099" s="7" t="s">
        <v>3131</v>
      </c>
      <c r="F2099" s="37">
        <v>42473.475694444445</v>
      </c>
      <c r="G2099" s="37">
        <v>42473.486111111109</v>
      </c>
      <c r="H2099" s="1" t="s">
        <v>6</v>
      </c>
      <c r="I2099" s="1" t="s">
        <v>38</v>
      </c>
      <c r="J2099" s="1">
        <v>42473.483391203707</v>
      </c>
      <c r="K2099" s="1" t="s">
        <v>701</v>
      </c>
      <c r="L2099" s="14">
        <f>24*(TblTimeSheet[[#This Row],[End Date and Time]]-TblTimeSheet[[#This Row],[Start Date and Time]])</f>
        <v>0.24999999994179234</v>
      </c>
      <c r="M20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099" s="14">
        <f>--(0&gt;(TblTimeSheet[[#This Row],[End Date and Time]]-TblTimeSheet[[#This Row],[Start Date and Time]]))</f>
        <v>0</v>
      </c>
    </row>
    <row r="2100" spans="1:14" x14ac:dyDescent="0.25">
      <c r="A2100" s="1"/>
      <c r="B2100" s="2" t="s">
        <v>2874</v>
      </c>
      <c r="C2100" s="2" t="s">
        <v>43</v>
      </c>
      <c r="D2100" s="2" t="s">
        <v>19</v>
      </c>
      <c r="E2100" s="7" t="s">
        <v>1663</v>
      </c>
      <c r="F2100" s="37">
        <v>42473.475694444445</v>
      </c>
      <c r="G2100" s="37">
        <v>42473.486111111109</v>
      </c>
      <c r="H2100" s="1" t="s">
        <v>6</v>
      </c>
      <c r="I2100" s="1" t="s">
        <v>38</v>
      </c>
      <c r="J2100" s="1">
        <v>42473.494745370372</v>
      </c>
      <c r="K2100" s="1" t="s">
        <v>43</v>
      </c>
      <c r="L2100" s="14">
        <f>24*(TblTimeSheet[[#This Row],[End Date and Time]]-TblTimeSheet[[#This Row],[Start Date and Time]])</f>
        <v>0.24999999994179234</v>
      </c>
      <c r="M21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00" s="14">
        <f>--(0&gt;(TblTimeSheet[[#This Row],[End Date and Time]]-TblTimeSheet[[#This Row],[Start Date and Time]]))</f>
        <v>0</v>
      </c>
    </row>
    <row r="2101" spans="1:14" x14ac:dyDescent="0.25">
      <c r="A2101" s="1"/>
      <c r="B2101" s="2" t="s">
        <v>2874</v>
      </c>
      <c r="C2101" s="2" t="s">
        <v>116</v>
      </c>
      <c r="D2101" s="2" t="s">
        <v>19</v>
      </c>
      <c r="E2101" s="7" t="s">
        <v>3132</v>
      </c>
      <c r="F2101" s="37">
        <v>42473.489583333336</v>
      </c>
      <c r="G2101" s="37">
        <v>42473.503472222219</v>
      </c>
      <c r="H2101" s="1" t="s">
        <v>6</v>
      </c>
      <c r="I2101" s="1" t="s">
        <v>38</v>
      </c>
      <c r="J2101" s="1">
        <v>42473.500011574077</v>
      </c>
      <c r="K2101" s="1" t="s">
        <v>701</v>
      </c>
      <c r="L2101" s="14">
        <f>24*(TblTimeSheet[[#This Row],[End Date and Time]]-TblTimeSheet[[#This Row],[Start Date and Time]])</f>
        <v>0.33333333319751546</v>
      </c>
      <c r="M21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1" s="14">
        <f>--(0&gt;(TblTimeSheet[[#This Row],[End Date and Time]]-TblTimeSheet[[#This Row],[Start Date and Time]]))</f>
        <v>0</v>
      </c>
    </row>
    <row r="2102" spans="1:14" x14ac:dyDescent="0.25">
      <c r="A2102" s="1"/>
      <c r="B2102" s="2" t="s">
        <v>2874</v>
      </c>
      <c r="C2102" s="2" t="s">
        <v>1105</v>
      </c>
      <c r="D2102" s="2" t="s">
        <v>19</v>
      </c>
      <c r="E2102" s="7" t="s">
        <v>3133</v>
      </c>
      <c r="F2102" s="37">
        <v>42473.513888888891</v>
      </c>
      <c r="G2102" s="37">
        <v>42473.541666666664</v>
      </c>
      <c r="H2102" s="1" t="s">
        <v>6</v>
      </c>
      <c r="I2102" s="1" t="s">
        <v>38</v>
      </c>
      <c r="J2102" s="1">
        <v>42473.592777777776</v>
      </c>
      <c r="K2102" s="1" t="s">
        <v>2864</v>
      </c>
      <c r="L2102" s="14">
        <f>24*(TblTimeSheet[[#This Row],[End Date and Time]]-TblTimeSheet[[#This Row],[Start Date and Time]])</f>
        <v>0.6666666665696539</v>
      </c>
      <c r="M21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02" s="14">
        <f>--(0&gt;(TblTimeSheet[[#This Row],[End Date and Time]]-TblTimeSheet[[#This Row],[Start Date and Time]]))</f>
        <v>0</v>
      </c>
    </row>
    <row r="2103" spans="1:14" x14ac:dyDescent="0.25">
      <c r="A2103" s="1"/>
      <c r="B2103" s="2" t="s">
        <v>2874</v>
      </c>
      <c r="C2103" s="2" t="s">
        <v>116</v>
      </c>
      <c r="D2103" s="2" t="s">
        <v>19</v>
      </c>
      <c r="E2103" s="7" t="s">
        <v>3134</v>
      </c>
      <c r="F2103" s="37">
        <v>42473.5625</v>
      </c>
      <c r="G2103" s="37">
        <v>42473.583333333336</v>
      </c>
      <c r="H2103" s="1" t="s">
        <v>6</v>
      </c>
      <c r="I2103" s="1" t="s">
        <v>38</v>
      </c>
      <c r="J2103" s="1">
        <v>42473.599618055552</v>
      </c>
      <c r="K2103" s="1" t="s">
        <v>701</v>
      </c>
      <c r="L2103" s="14">
        <f>24*(TblTimeSheet[[#This Row],[End Date and Time]]-TblTimeSheet[[#This Row],[Start Date and Time]])</f>
        <v>0.50000000005820766</v>
      </c>
      <c r="M21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03" s="14">
        <f>--(0&gt;(TblTimeSheet[[#This Row],[End Date and Time]]-TblTimeSheet[[#This Row],[Start Date and Time]]))</f>
        <v>0</v>
      </c>
    </row>
    <row r="2104" spans="1:14" x14ac:dyDescent="0.25">
      <c r="A2104" s="1"/>
      <c r="B2104" s="2" t="s">
        <v>2874</v>
      </c>
      <c r="C2104" s="2" t="s">
        <v>116</v>
      </c>
      <c r="D2104" s="2" t="s">
        <v>19</v>
      </c>
      <c r="E2104" s="7" t="s">
        <v>3743</v>
      </c>
      <c r="F2104" s="37">
        <v>42473.513888888891</v>
      </c>
      <c r="G2104" s="37">
        <v>42473.541666666664</v>
      </c>
      <c r="H2104" s="1" t="s">
        <v>6</v>
      </c>
      <c r="I2104" s="1" t="s">
        <v>38</v>
      </c>
      <c r="J2104" s="1">
        <v>42473.601226851853</v>
      </c>
      <c r="K2104" s="1" t="s">
        <v>701</v>
      </c>
      <c r="L2104" s="14">
        <f>24*(TblTimeSheet[[#This Row],[End Date and Time]]-TblTimeSheet[[#This Row],[Start Date and Time]])</f>
        <v>0.6666666665696539</v>
      </c>
      <c r="M21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4" s="14">
        <f>--(0&gt;(TblTimeSheet[[#This Row],[End Date and Time]]-TblTimeSheet[[#This Row],[Start Date and Time]]))</f>
        <v>0</v>
      </c>
    </row>
    <row r="2105" spans="1:14" x14ac:dyDescent="0.25">
      <c r="A2105" s="1"/>
      <c r="B2105" s="2" t="s">
        <v>2874</v>
      </c>
      <c r="C2105" s="2" t="s">
        <v>116</v>
      </c>
      <c r="D2105" s="2" t="s">
        <v>19</v>
      </c>
      <c r="E2105" s="7" t="s">
        <v>3744</v>
      </c>
      <c r="F2105" s="37">
        <v>42473.583333333336</v>
      </c>
      <c r="G2105" s="37">
        <v>42473.597222222219</v>
      </c>
      <c r="H2105" s="1" t="s">
        <v>6</v>
      </c>
      <c r="I2105" s="1" t="s">
        <v>38</v>
      </c>
      <c r="J2105" s="1">
        <v>42473.602199074077</v>
      </c>
      <c r="K2105" s="1" t="s">
        <v>701</v>
      </c>
      <c r="L2105" s="14">
        <f>24*(TblTimeSheet[[#This Row],[End Date and Time]]-TblTimeSheet[[#This Row],[Start Date and Time]])</f>
        <v>0.33333333319751546</v>
      </c>
      <c r="M21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5" s="14">
        <f>--(0&gt;(TblTimeSheet[[#This Row],[End Date and Time]]-TblTimeSheet[[#This Row],[Start Date and Time]]))</f>
        <v>0</v>
      </c>
    </row>
    <row r="2106" spans="1:14" x14ac:dyDescent="0.25">
      <c r="A2106" s="1"/>
      <c r="B2106" s="2" t="s">
        <v>2874</v>
      </c>
      <c r="C2106" s="2" t="s">
        <v>1105</v>
      </c>
      <c r="D2106" s="2" t="s">
        <v>19</v>
      </c>
      <c r="E2106" s="7" t="s">
        <v>3135</v>
      </c>
      <c r="F2106" s="37">
        <v>42473.59375</v>
      </c>
      <c r="G2106" s="37">
        <v>42473.600694444445</v>
      </c>
      <c r="H2106" s="1" t="s">
        <v>6</v>
      </c>
      <c r="I2106" s="1" t="s">
        <v>38</v>
      </c>
      <c r="J2106" s="1">
        <v>42473.602881944447</v>
      </c>
      <c r="K2106" s="1" t="s">
        <v>2864</v>
      </c>
      <c r="L2106" s="14">
        <f>24*(TblTimeSheet[[#This Row],[End Date and Time]]-TblTimeSheet[[#This Row],[Start Date and Time]])</f>
        <v>0.16666666668606922</v>
      </c>
      <c r="M21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06" s="14">
        <f>--(0&gt;(TblTimeSheet[[#This Row],[End Date and Time]]-TblTimeSheet[[#This Row],[Start Date and Time]]))</f>
        <v>0</v>
      </c>
    </row>
    <row r="2107" spans="1:14" x14ac:dyDescent="0.25">
      <c r="A2107" s="1"/>
      <c r="B2107" s="2" t="s">
        <v>915</v>
      </c>
      <c r="C2107" s="2" t="s">
        <v>116</v>
      </c>
      <c r="D2107" s="2" t="s">
        <v>34</v>
      </c>
      <c r="E2107" s="7" t="s">
        <v>3745</v>
      </c>
      <c r="F2107" s="37">
        <v>42473.381944444445</v>
      </c>
      <c r="G2107" s="37">
        <v>42473.541666666664</v>
      </c>
      <c r="H2107" s="1" t="s">
        <v>6</v>
      </c>
      <c r="I2107" s="1" t="s">
        <v>38</v>
      </c>
      <c r="J2107" s="1">
        <v>42474.456631944442</v>
      </c>
      <c r="K2107" s="1" t="s">
        <v>1026</v>
      </c>
      <c r="L2107" s="14">
        <f>24*(TblTimeSheet[[#This Row],[End Date and Time]]-TblTimeSheet[[#This Row],[Start Date and Time]])</f>
        <v>3.8333333332557231</v>
      </c>
      <c r="M21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7" s="14">
        <f>--(0&gt;(TblTimeSheet[[#This Row],[End Date and Time]]-TblTimeSheet[[#This Row],[Start Date and Time]]))</f>
        <v>0</v>
      </c>
    </row>
    <row r="2108" spans="1:14" x14ac:dyDescent="0.25">
      <c r="A2108" s="1"/>
      <c r="B2108" s="2" t="s">
        <v>915</v>
      </c>
      <c r="C2108" s="2" t="s">
        <v>116</v>
      </c>
      <c r="D2108" s="2" t="s">
        <v>34</v>
      </c>
      <c r="E2108" s="7" t="s">
        <v>3136</v>
      </c>
      <c r="F2108" s="37">
        <v>42473.583333333336</v>
      </c>
      <c r="G2108" s="37">
        <v>42473.708333333336</v>
      </c>
      <c r="H2108" s="1" t="s">
        <v>6</v>
      </c>
      <c r="I2108" s="1" t="s">
        <v>38</v>
      </c>
      <c r="J2108" s="1">
        <v>42474.457719907405</v>
      </c>
      <c r="K2108" s="1" t="s">
        <v>1026</v>
      </c>
      <c r="L2108" s="14">
        <f>24*(TblTimeSheet[[#This Row],[End Date and Time]]-TblTimeSheet[[#This Row],[Start Date and Time]])</f>
        <v>3</v>
      </c>
      <c r="M21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8" s="14">
        <f>--(0&gt;(TblTimeSheet[[#This Row],[End Date and Time]]-TblTimeSheet[[#This Row],[Start Date and Time]]))</f>
        <v>0</v>
      </c>
    </row>
    <row r="2109" spans="1:14" x14ac:dyDescent="0.25">
      <c r="A2109" s="1"/>
      <c r="B2109" s="2" t="s">
        <v>915</v>
      </c>
      <c r="C2109" s="2" t="s">
        <v>116</v>
      </c>
      <c r="D2109" s="2" t="s">
        <v>34</v>
      </c>
      <c r="E2109" s="7" t="s">
        <v>3137</v>
      </c>
      <c r="F2109" s="37">
        <v>42474.479166666664</v>
      </c>
      <c r="G2109" s="37">
        <v>42474.5</v>
      </c>
      <c r="H2109" s="1" t="s">
        <v>6</v>
      </c>
      <c r="I2109" s="1" t="s">
        <v>38</v>
      </c>
      <c r="J2109" s="1">
        <v>42474.508379629631</v>
      </c>
      <c r="K2109" s="1" t="s">
        <v>1026</v>
      </c>
      <c r="L2109" s="14">
        <f>24*(TblTimeSheet[[#This Row],[End Date and Time]]-TblTimeSheet[[#This Row],[Start Date and Time]])</f>
        <v>0.50000000005820766</v>
      </c>
      <c r="M21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09" s="14">
        <f>--(0&gt;(TblTimeSheet[[#This Row],[End Date and Time]]-TblTimeSheet[[#This Row],[Start Date and Time]]))</f>
        <v>0</v>
      </c>
    </row>
    <row r="2110" spans="1:14" ht="30" x14ac:dyDescent="0.25">
      <c r="A2110" s="1"/>
      <c r="B2110" s="2" t="s">
        <v>915</v>
      </c>
      <c r="C2110" s="2" t="s">
        <v>116</v>
      </c>
      <c r="D2110" s="2" t="s">
        <v>34</v>
      </c>
      <c r="E2110" s="7" t="s">
        <v>3746</v>
      </c>
      <c r="F2110" s="37">
        <v>42474.479166666664</v>
      </c>
      <c r="G2110" s="37">
        <v>42474.5</v>
      </c>
      <c r="H2110" s="1" t="s">
        <v>6</v>
      </c>
      <c r="I2110" s="1" t="s">
        <v>38</v>
      </c>
      <c r="J2110" s="1">
        <v>42474.511631944442</v>
      </c>
      <c r="K2110" s="1" t="s">
        <v>81</v>
      </c>
      <c r="L2110" s="14">
        <f>24*(TblTimeSheet[[#This Row],[End Date and Time]]-TblTimeSheet[[#This Row],[Start Date and Time]])</f>
        <v>0.50000000005820766</v>
      </c>
      <c r="M21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10" s="14">
        <f>--(0&gt;(TblTimeSheet[[#This Row],[End Date and Time]]-TblTimeSheet[[#This Row],[Start Date and Time]]))</f>
        <v>0</v>
      </c>
    </row>
    <row r="2111" spans="1:14" ht="30" x14ac:dyDescent="0.25">
      <c r="A2111" s="1"/>
      <c r="B2111" s="2" t="s">
        <v>915</v>
      </c>
      <c r="C2111" s="2" t="s">
        <v>1117</v>
      </c>
      <c r="D2111" s="2" t="s">
        <v>34</v>
      </c>
      <c r="E2111" s="7" t="s">
        <v>3747</v>
      </c>
      <c r="F2111" s="37">
        <v>42474.479166666664</v>
      </c>
      <c r="G2111" s="37">
        <v>42474.5</v>
      </c>
      <c r="H2111" s="1" t="s">
        <v>6</v>
      </c>
      <c r="I2111" s="1" t="s">
        <v>38</v>
      </c>
      <c r="J2111" s="1">
        <v>42474.513668981483</v>
      </c>
      <c r="K2111" s="1" t="s">
        <v>2865</v>
      </c>
      <c r="L2111" s="14">
        <f>24*(TblTimeSheet[[#This Row],[End Date and Time]]-TblTimeSheet[[#This Row],[Start Date and Time]])</f>
        <v>0.50000000005820766</v>
      </c>
      <c r="M21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1" s="14">
        <f>--(0&gt;(TblTimeSheet[[#This Row],[End Date and Time]]-TblTimeSheet[[#This Row],[Start Date and Time]]))</f>
        <v>0</v>
      </c>
    </row>
    <row r="2112" spans="1:14" x14ac:dyDescent="0.25">
      <c r="A2112" s="1"/>
      <c r="B2112" s="2" t="s">
        <v>917</v>
      </c>
      <c r="C2112" s="2" t="s">
        <v>1503</v>
      </c>
      <c r="D2112" s="2" t="s">
        <v>32</v>
      </c>
      <c r="E2112" s="7" t="s">
        <v>3138</v>
      </c>
      <c r="F2112" s="37">
        <v>42474.503472222219</v>
      </c>
      <c r="G2112" s="37">
        <v>42474.513888888891</v>
      </c>
      <c r="H2112" s="1" t="s">
        <v>6</v>
      </c>
      <c r="I2112" s="1" t="s">
        <v>38</v>
      </c>
      <c r="J2112" s="1">
        <v>42474.517118055555</v>
      </c>
      <c r="K2112" s="1" t="s">
        <v>2866</v>
      </c>
      <c r="L2112" s="14">
        <f>24*(TblTimeSheet[[#This Row],[End Date and Time]]-TblTimeSheet[[#This Row],[Start Date and Time]])</f>
        <v>0.25000000011641532</v>
      </c>
      <c r="M21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2" s="14">
        <f>--(0&gt;(TblTimeSheet[[#This Row],[End Date and Time]]-TblTimeSheet[[#This Row],[Start Date and Time]]))</f>
        <v>0</v>
      </c>
    </row>
    <row r="2113" spans="1:14" ht="30" x14ac:dyDescent="0.25">
      <c r="A2113" s="1"/>
      <c r="B2113" s="2" t="s">
        <v>915</v>
      </c>
      <c r="C2113" s="2" t="s">
        <v>116</v>
      </c>
      <c r="D2113" s="2" t="s">
        <v>34</v>
      </c>
      <c r="E2113" s="7" t="s">
        <v>3139</v>
      </c>
      <c r="F2113" s="37">
        <v>42474.479166666664</v>
      </c>
      <c r="G2113" s="37">
        <v>42474.5</v>
      </c>
      <c r="H2113" s="1" t="s">
        <v>6</v>
      </c>
      <c r="I2113" s="1" t="s">
        <v>38</v>
      </c>
      <c r="J2113" s="1">
        <v>42474.520381944443</v>
      </c>
      <c r="K2113" s="1" t="s">
        <v>39</v>
      </c>
      <c r="L2113" s="14">
        <f>24*(TblTimeSheet[[#This Row],[End Date and Time]]-TblTimeSheet[[#This Row],[Start Date and Time]])</f>
        <v>0.50000000005820766</v>
      </c>
      <c r="M21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13" s="14">
        <f>--(0&gt;(TblTimeSheet[[#This Row],[End Date and Time]]-TblTimeSheet[[#This Row],[Start Date and Time]]))</f>
        <v>0</v>
      </c>
    </row>
    <row r="2114" spans="1:14" x14ac:dyDescent="0.25">
      <c r="A2114" s="1"/>
      <c r="B2114" s="2" t="s">
        <v>915</v>
      </c>
      <c r="C2114" s="2" t="s">
        <v>118</v>
      </c>
      <c r="D2114" s="2" t="s">
        <v>34</v>
      </c>
      <c r="E2114" s="7" t="s">
        <v>3140</v>
      </c>
      <c r="F2114" s="37">
        <v>42474.479166666664</v>
      </c>
      <c r="G2114" s="37">
        <v>42474.5</v>
      </c>
      <c r="H2114" s="1" t="s">
        <v>6</v>
      </c>
      <c r="I2114" s="1" t="s">
        <v>38</v>
      </c>
      <c r="J2114" s="1">
        <v>42474.525891203702</v>
      </c>
      <c r="K2114" s="1" t="s">
        <v>118</v>
      </c>
      <c r="L2114" s="14">
        <f>24*(TblTimeSheet[[#This Row],[End Date and Time]]-TblTimeSheet[[#This Row],[Start Date and Time]])</f>
        <v>0.50000000005820766</v>
      </c>
      <c r="M21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4" s="14">
        <f>--(0&gt;(TblTimeSheet[[#This Row],[End Date and Time]]-TblTimeSheet[[#This Row],[Start Date and Time]]))</f>
        <v>0</v>
      </c>
    </row>
    <row r="2115" spans="1:14" x14ac:dyDescent="0.25">
      <c r="A2115" s="1"/>
      <c r="B2115" s="2" t="s">
        <v>917</v>
      </c>
      <c r="C2115" s="2" t="s">
        <v>118</v>
      </c>
      <c r="D2115" s="2" t="s">
        <v>32</v>
      </c>
      <c r="E2115" s="7" t="s">
        <v>3141</v>
      </c>
      <c r="F2115" s="37">
        <v>42474.503472222219</v>
      </c>
      <c r="G2115" s="37">
        <v>42474.513888888891</v>
      </c>
      <c r="H2115" s="1" t="s">
        <v>6</v>
      </c>
      <c r="I2115" s="1" t="s">
        <v>38</v>
      </c>
      <c r="J2115" s="1">
        <v>42474.526967592596</v>
      </c>
      <c r="K2115" s="1" t="s">
        <v>118</v>
      </c>
      <c r="L2115" s="14">
        <f>24*(TblTimeSheet[[#This Row],[End Date and Time]]-TblTimeSheet[[#This Row],[Start Date and Time]])</f>
        <v>0.25000000011641532</v>
      </c>
      <c r="M21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5" s="14">
        <f>--(0&gt;(TblTimeSheet[[#This Row],[End Date and Time]]-TblTimeSheet[[#This Row],[Start Date and Time]]))</f>
        <v>0</v>
      </c>
    </row>
    <row r="2116" spans="1:14" ht="30" x14ac:dyDescent="0.25">
      <c r="A2116" s="1"/>
      <c r="B2116" s="2" t="s">
        <v>917</v>
      </c>
      <c r="C2116" s="2" t="s">
        <v>171</v>
      </c>
      <c r="D2116" s="2" t="s">
        <v>32</v>
      </c>
      <c r="E2116" s="7" t="s">
        <v>3748</v>
      </c>
      <c r="F2116" s="37">
        <v>42474.503472222219</v>
      </c>
      <c r="G2116" s="37">
        <v>42474.513888888891</v>
      </c>
      <c r="H2116" s="1" t="s">
        <v>6</v>
      </c>
      <c r="I2116" s="1" t="s">
        <v>38</v>
      </c>
      <c r="J2116" s="1">
        <v>42474.540659722225</v>
      </c>
      <c r="K2116" s="1" t="s">
        <v>171</v>
      </c>
      <c r="L2116" s="14">
        <f>24*(TblTimeSheet[[#This Row],[End Date and Time]]-TblTimeSheet[[#This Row],[Start Date and Time]])</f>
        <v>0.25000000011641532</v>
      </c>
      <c r="M21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6" s="14">
        <f>--(0&gt;(TblTimeSheet[[#This Row],[End Date and Time]]-TblTimeSheet[[#This Row],[Start Date and Time]]))</f>
        <v>0</v>
      </c>
    </row>
    <row r="2117" spans="1:14" ht="30" x14ac:dyDescent="0.25">
      <c r="A2117" s="1"/>
      <c r="B2117" s="2" t="s">
        <v>917</v>
      </c>
      <c r="C2117" s="2" t="s">
        <v>36</v>
      </c>
      <c r="D2117" s="2" t="s">
        <v>32</v>
      </c>
      <c r="E2117" s="7" t="s">
        <v>3749</v>
      </c>
      <c r="F2117" s="37">
        <v>42474.503472222219</v>
      </c>
      <c r="G2117" s="37">
        <v>42474.513888888891</v>
      </c>
      <c r="H2117" s="1" t="s">
        <v>6</v>
      </c>
      <c r="I2117" s="1" t="s">
        <v>38</v>
      </c>
      <c r="J2117" s="1">
        <v>42474.553425925929</v>
      </c>
      <c r="K2117" s="1" t="s">
        <v>36</v>
      </c>
      <c r="L2117" s="14">
        <f>24*(TblTimeSheet[[#This Row],[End Date and Time]]-TblTimeSheet[[#This Row],[Start Date and Time]])</f>
        <v>0.25000000011641532</v>
      </c>
      <c r="M21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7" s="14">
        <f>--(0&gt;(TblTimeSheet[[#This Row],[End Date and Time]]-TblTimeSheet[[#This Row],[Start Date and Time]]))</f>
        <v>0</v>
      </c>
    </row>
    <row r="2118" spans="1:14" x14ac:dyDescent="0.25">
      <c r="A2118" s="1"/>
      <c r="B2118" s="2" t="s">
        <v>917</v>
      </c>
      <c r="C2118" s="2" t="s">
        <v>176</v>
      </c>
      <c r="D2118" s="2" t="s">
        <v>32</v>
      </c>
      <c r="E2118" s="7" t="s">
        <v>3142</v>
      </c>
      <c r="F2118" s="37">
        <v>42469.625</v>
      </c>
      <c r="G2118" s="37">
        <v>42469.645833333336</v>
      </c>
      <c r="H2118" s="1" t="s">
        <v>6</v>
      </c>
      <c r="I2118" s="1" t="s">
        <v>38</v>
      </c>
      <c r="J2118" s="1">
        <v>42474.593171296299</v>
      </c>
      <c r="K2118" s="1" t="s">
        <v>176</v>
      </c>
      <c r="L2118" s="14">
        <f>24*(TblTimeSheet[[#This Row],[End Date and Time]]-TblTimeSheet[[#This Row],[Start Date and Time]])</f>
        <v>0.50000000005820766</v>
      </c>
      <c r="M21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18" s="14">
        <f>--(0&gt;(TblTimeSheet[[#This Row],[End Date and Time]]-TblTimeSheet[[#This Row],[Start Date and Time]]))</f>
        <v>0</v>
      </c>
    </row>
    <row r="2119" spans="1:14" x14ac:dyDescent="0.25">
      <c r="A2119" s="1"/>
      <c r="B2119" s="2" t="s">
        <v>915</v>
      </c>
      <c r="C2119" s="2" t="s">
        <v>116</v>
      </c>
      <c r="D2119" s="2" t="s">
        <v>34</v>
      </c>
      <c r="E2119" s="7" t="s">
        <v>449</v>
      </c>
      <c r="F2119" s="37">
        <v>42474.479166666664</v>
      </c>
      <c r="G2119" s="37">
        <v>42474.5</v>
      </c>
      <c r="H2119" s="1" t="s">
        <v>6</v>
      </c>
      <c r="I2119" s="1" t="s">
        <v>38</v>
      </c>
      <c r="J2119" s="1">
        <v>42474.654502314814</v>
      </c>
      <c r="K2119" s="1" t="s">
        <v>701</v>
      </c>
      <c r="L2119" s="14">
        <f>24*(TblTimeSheet[[#This Row],[End Date and Time]]-TblTimeSheet[[#This Row],[Start Date and Time]])</f>
        <v>0.50000000005820766</v>
      </c>
      <c r="M21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19" s="14">
        <f>--(0&gt;(TblTimeSheet[[#This Row],[End Date and Time]]-TblTimeSheet[[#This Row],[Start Date and Time]]))</f>
        <v>0</v>
      </c>
    </row>
    <row r="2120" spans="1:14" x14ac:dyDescent="0.25">
      <c r="A2120" s="1"/>
      <c r="B2120" s="2" t="s">
        <v>917</v>
      </c>
      <c r="C2120" s="2" t="s">
        <v>116</v>
      </c>
      <c r="D2120" s="2" t="s">
        <v>32</v>
      </c>
      <c r="E2120" s="7" t="s">
        <v>449</v>
      </c>
      <c r="F2120" s="37">
        <v>42474.503472222219</v>
      </c>
      <c r="G2120" s="37">
        <v>42474.513888888891</v>
      </c>
      <c r="H2120" s="1" t="s">
        <v>6</v>
      </c>
      <c r="I2120" s="1" t="s">
        <v>38</v>
      </c>
      <c r="J2120" s="1">
        <v>42474.654918981483</v>
      </c>
      <c r="K2120" s="1" t="s">
        <v>701</v>
      </c>
      <c r="L2120" s="14">
        <f>24*(TblTimeSheet[[#This Row],[End Date and Time]]-TblTimeSheet[[#This Row],[Start Date and Time]])</f>
        <v>0.25000000011641532</v>
      </c>
      <c r="M21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0" s="14">
        <f>--(0&gt;(TblTimeSheet[[#This Row],[End Date and Time]]-TblTimeSheet[[#This Row],[Start Date and Time]]))</f>
        <v>0</v>
      </c>
    </row>
    <row r="2121" spans="1:14" x14ac:dyDescent="0.25">
      <c r="A2121" s="1"/>
      <c r="B2121" s="2" t="s">
        <v>917</v>
      </c>
      <c r="C2121" s="2" t="s">
        <v>116</v>
      </c>
      <c r="D2121" s="2" t="s">
        <v>32</v>
      </c>
      <c r="E2121" s="7" t="s">
        <v>3143</v>
      </c>
      <c r="F2121" s="37">
        <v>42474.635416666664</v>
      </c>
      <c r="G2121" s="37">
        <v>42474.652777777781</v>
      </c>
      <c r="H2121" s="1" t="s">
        <v>6</v>
      </c>
      <c r="I2121" s="1" t="s">
        <v>38</v>
      </c>
      <c r="J2121" s="1">
        <v>42474.655601851853</v>
      </c>
      <c r="K2121" s="1" t="s">
        <v>701</v>
      </c>
      <c r="L2121" s="14">
        <f>24*(TblTimeSheet[[#This Row],[End Date and Time]]-TblTimeSheet[[#This Row],[Start Date and Time]])</f>
        <v>0.41666666680248454</v>
      </c>
      <c r="M21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1" s="14">
        <f>--(0&gt;(TblTimeSheet[[#This Row],[End Date and Time]]-TblTimeSheet[[#This Row],[Start Date and Time]]))</f>
        <v>0</v>
      </c>
    </row>
    <row r="2122" spans="1:14" x14ac:dyDescent="0.25">
      <c r="A2122" s="1"/>
      <c r="B2122" s="2" t="s">
        <v>917</v>
      </c>
      <c r="C2122" s="2" t="s">
        <v>116</v>
      </c>
      <c r="D2122" s="2" t="s">
        <v>32</v>
      </c>
      <c r="E2122" s="7" t="s">
        <v>3144</v>
      </c>
      <c r="F2122" s="37">
        <v>42474.666666666664</v>
      </c>
      <c r="G2122" s="37">
        <v>42474.677083333336</v>
      </c>
      <c r="H2122" s="1" t="s">
        <v>6</v>
      </c>
      <c r="I2122" s="1" t="s">
        <v>38</v>
      </c>
      <c r="J2122" s="1">
        <v>42474.680127314816</v>
      </c>
      <c r="K2122" s="1" t="s">
        <v>39</v>
      </c>
      <c r="L2122" s="14">
        <f>24*(TblTimeSheet[[#This Row],[End Date and Time]]-TblTimeSheet[[#This Row],[Start Date and Time]])</f>
        <v>0.25000000011641532</v>
      </c>
      <c r="M21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2" s="14">
        <f>--(0&gt;(TblTimeSheet[[#This Row],[End Date and Time]]-TblTimeSheet[[#This Row],[Start Date and Time]]))</f>
        <v>0</v>
      </c>
    </row>
    <row r="2123" spans="1:14" x14ac:dyDescent="0.25">
      <c r="A2123" s="1"/>
      <c r="B2123" s="2" t="s">
        <v>915</v>
      </c>
      <c r="C2123" s="2" t="s">
        <v>1117</v>
      </c>
      <c r="D2123" s="2" t="s">
        <v>34</v>
      </c>
      <c r="E2123" s="7" t="s">
        <v>3145</v>
      </c>
      <c r="F2123" s="37">
        <v>42474.6875</v>
      </c>
      <c r="G2123" s="37">
        <v>42474.708333333336</v>
      </c>
      <c r="H2123" s="1" t="s">
        <v>6</v>
      </c>
      <c r="I2123" s="1" t="s">
        <v>38</v>
      </c>
      <c r="J2123" s="1">
        <v>42474.709699074076</v>
      </c>
      <c r="K2123" s="1" t="s">
        <v>2865</v>
      </c>
      <c r="L2123" s="14">
        <f>24*(TblTimeSheet[[#This Row],[End Date and Time]]-TblTimeSheet[[#This Row],[Start Date and Time]])</f>
        <v>0.50000000005820766</v>
      </c>
      <c r="M21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23" s="14">
        <f>--(0&gt;(TblTimeSheet[[#This Row],[End Date and Time]]-TblTimeSheet[[#This Row],[Start Date and Time]]))</f>
        <v>0</v>
      </c>
    </row>
    <row r="2124" spans="1:14" x14ac:dyDescent="0.25">
      <c r="A2124" s="1"/>
      <c r="B2124" s="2" t="s">
        <v>917</v>
      </c>
      <c r="C2124" s="2" t="s">
        <v>116</v>
      </c>
      <c r="D2124" s="2" t="s">
        <v>32</v>
      </c>
      <c r="E2124" s="7" t="s">
        <v>993</v>
      </c>
      <c r="F2124" s="37">
        <v>42474.697916666664</v>
      </c>
      <c r="G2124" s="37">
        <v>42474.708333333336</v>
      </c>
      <c r="H2124" s="1" t="s">
        <v>6</v>
      </c>
      <c r="I2124" s="1" t="s">
        <v>38</v>
      </c>
      <c r="J2124" s="1">
        <v>42474.711157407408</v>
      </c>
      <c r="K2124" s="1" t="s">
        <v>701</v>
      </c>
      <c r="L2124" s="14">
        <f>24*(TblTimeSheet[[#This Row],[End Date and Time]]-TblTimeSheet[[#This Row],[Start Date and Time]])</f>
        <v>0.25000000011641532</v>
      </c>
      <c r="M21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4" s="14">
        <f>--(0&gt;(TblTimeSheet[[#This Row],[End Date and Time]]-TblTimeSheet[[#This Row],[Start Date and Time]]))</f>
        <v>0</v>
      </c>
    </row>
    <row r="2125" spans="1:14" x14ac:dyDescent="0.25">
      <c r="A2125" s="1"/>
      <c r="B2125" s="2" t="s">
        <v>917</v>
      </c>
      <c r="C2125" s="2" t="s">
        <v>116</v>
      </c>
      <c r="D2125" s="2" t="s">
        <v>32</v>
      </c>
      <c r="E2125" s="7" t="s">
        <v>3146</v>
      </c>
      <c r="F2125" s="37">
        <v>42474.666666666664</v>
      </c>
      <c r="G2125" s="37">
        <v>42474.677083333336</v>
      </c>
      <c r="H2125" s="1" t="s">
        <v>6</v>
      </c>
      <c r="I2125" s="1" t="s">
        <v>38</v>
      </c>
      <c r="J2125" s="1">
        <v>42474.714814814812</v>
      </c>
      <c r="K2125" s="1" t="s">
        <v>701</v>
      </c>
      <c r="L2125" s="14">
        <f>24*(TblTimeSheet[[#This Row],[End Date and Time]]-TblTimeSheet[[#This Row],[Start Date and Time]])</f>
        <v>0.25000000011641532</v>
      </c>
      <c r="M21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5" s="14">
        <f>--(0&gt;(TblTimeSheet[[#This Row],[End Date and Time]]-TblTimeSheet[[#This Row],[Start Date and Time]]))</f>
        <v>0</v>
      </c>
    </row>
    <row r="2126" spans="1:14" x14ac:dyDescent="0.25">
      <c r="A2126" s="1"/>
      <c r="B2126" s="2" t="s">
        <v>917</v>
      </c>
      <c r="C2126" s="2" t="s">
        <v>118</v>
      </c>
      <c r="D2126" s="2" t="s">
        <v>32</v>
      </c>
      <c r="E2126" s="7" t="s">
        <v>993</v>
      </c>
      <c r="F2126" s="37">
        <v>42474.697916666664</v>
      </c>
      <c r="G2126" s="37">
        <v>42474.708333333336</v>
      </c>
      <c r="H2126" s="1" t="s">
        <v>6</v>
      </c>
      <c r="I2126" s="1" t="s">
        <v>38</v>
      </c>
      <c r="J2126" s="1">
        <v>42474.716990740744</v>
      </c>
      <c r="K2126" s="1" t="s">
        <v>118</v>
      </c>
      <c r="L2126" s="14">
        <f>24*(TblTimeSheet[[#This Row],[End Date and Time]]-TblTimeSheet[[#This Row],[Start Date and Time]])</f>
        <v>0.25000000011641532</v>
      </c>
      <c r="M21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26" s="14">
        <f>--(0&gt;(TblTimeSheet[[#This Row],[End Date and Time]]-TblTimeSheet[[#This Row],[Start Date and Time]]))</f>
        <v>0</v>
      </c>
    </row>
    <row r="2127" spans="1:14" x14ac:dyDescent="0.25">
      <c r="A2127" s="1"/>
      <c r="B2127" s="2" t="s">
        <v>917</v>
      </c>
      <c r="C2127" s="2" t="s">
        <v>1503</v>
      </c>
      <c r="D2127" s="2" t="s">
        <v>32</v>
      </c>
      <c r="E2127" s="7" t="s">
        <v>3147</v>
      </c>
      <c r="F2127" s="37">
        <v>42474.625</v>
      </c>
      <c r="G2127" s="37">
        <v>42474.6875</v>
      </c>
      <c r="H2127" s="1" t="s">
        <v>6</v>
      </c>
      <c r="I2127" s="1" t="s">
        <v>38</v>
      </c>
      <c r="J2127" s="1">
        <v>42474.725127314814</v>
      </c>
      <c r="K2127" s="1" t="s">
        <v>2866</v>
      </c>
      <c r="L2127" s="14">
        <f>24*(TblTimeSheet[[#This Row],[End Date and Time]]-TblTimeSheet[[#This Row],[Start Date and Time]])</f>
        <v>1.5</v>
      </c>
      <c r="M21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27" s="14">
        <f>--(0&gt;(TblTimeSheet[[#This Row],[End Date and Time]]-TblTimeSheet[[#This Row],[Start Date and Time]]))</f>
        <v>0</v>
      </c>
    </row>
    <row r="2128" spans="1:14" x14ac:dyDescent="0.25">
      <c r="A2128" s="1"/>
      <c r="B2128" s="2" t="s">
        <v>2874</v>
      </c>
      <c r="C2128" s="2" t="s">
        <v>116</v>
      </c>
      <c r="D2128" s="2" t="s">
        <v>20</v>
      </c>
      <c r="E2128" s="7" t="s">
        <v>705</v>
      </c>
      <c r="F2128" s="37">
        <v>42475.385416666664</v>
      </c>
      <c r="G2128" s="37">
        <v>42475.40625</v>
      </c>
      <c r="H2128" s="1" t="s">
        <v>6</v>
      </c>
      <c r="I2128" s="1" t="s">
        <v>38</v>
      </c>
      <c r="J2128" s="1">
        <v>42475.4141087963</v>
      </c>
      <c r="K2128" s="1" t="s">
        <v>701</v>
      </c>
      <c r="L2128" s="14">
        <f>24*(TblTimeSheet[[#This Row],[End Date and Time]]-TblTimeSheet[[#This Row],[Start Date and Time]])</f>
        <v>0.50000000005820766</v>
      </c>
      <c r="M21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8" s="14">
        <f>--(0&gt;(TblTimeSheet[[#This Row],[End Date and Time]]-TblTimeSheet[[#This Row],[Start Date and Time]]))</f>
        <v>0</v>
      </c>
    </row>
    <row r="2129" spans="1:14" x14ac:dyDescent="0.25">
      <c r="A2129" s="1"/>
      <c r="B2129" s="2" t="s">
        <v>915</v>
      </c>
      <c r="C2129" s="2" t="s">
        <v>116</v>
      </c>
      <c r="D2129" s="2" t="s">
        <v>34</v>
      </c>
      <c r="E2129" s="7" t="s">
        <v>3750</v>
      </c>
      <c r="F2129" s="37">
        <v>42474.708333333336</v>
      </c>
      <c r="G2129" s="37">
        <v>42474.729166666664</v>
      </c>
      <c r="H2129" s="1" t="s">
        <v>6</v>
      </c>
      <c r="I2129" s="1" t="s">
        <v>38</v>
      </c>
      <c r="J2129" s="1">
        <v>42475.419085648151</v>
      </c>
      <c r="K2129" s="1" t="s">
        <v>701</v>
      </c>
      <c r="L2129" s="14">
        <f>24*(TblTimeSheet[[#This Row],[End Date and Time]]-TblTimeSheet[[#This Row],[Start Date and Time]])</f>
        <v>0.49999999988358468</v>
      </c>
      <c r="M21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29" s="14">
        <f>--(0&gt;(TblTimeSheet[[#This Row],[End Date and Time]]-TblTimeSheet[[#This Row],[Start Date and Time]]))</f>
        <v>0</v>
      </c>
    </row>
    <row r="2130" spans="1:14" x14ac:dyDescent="0.25">
      <c r="A2130" s="1"/>
      <c r="B2130" s="2" t="s">
        <v>915</v>
      </c>
      <c r="C2130" s="2" t="s">
        <v>116</v>
      </c>
      <c r="D2130" s="2" t="s">
        <v>34</v>
      </c>
      <c r="E2130" s="7" t="s">
        <v>3148</v>
      </c>
      <c r="F2130" s="37">
        <v>42474.416666666664</v>
      </c>
      <c r="G2130" s="37">
        <v>42474.472222222219</v>
      </c>
      <c r="H2130" s="1" t="s">
        <v>6</v>
      </c>
      <c r="I2130" s="1" t="s">
        <v>38</v>
      </c>
      <c r="J2130" s="1">
        <v>42475.451319444444</v>
      </c>
      <c r="K2130" s="1" t="s">
        <v>1026</v>
      </c>
      <c r="L2130" s="14">
        <f>24*(TblTimeSheet[[#This Row],[End Date and Time]]-TblTimeSheet[[#This Row],[Start Date and Time]])</f>
        <v>1.3333333333139308</v>
      </c>
      <c r="M21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0" s="14">
        <f>--(0&gt;(TblTimeSheet[[#This Row],[End Date and Time]]-TblTimeSheet[[#This Row],[Start Date and Time]]))</f>
        <v>0</v>
      </c>
    </row>
    <row r="2131" spans="1:14" x14ac:dyDescent="0.25">
      <c r="A2131" s="1"/>
      <c r="B2131" s="2" t="s">
        <v>915</v>
      </c>
      <c r="C2131" s="2" t="s">
        <v>116</v>
      </c>
      <c r="D2131" s="2" t="s">
        <v>34</v>
      </c>
      <c r="E2131" s="7" t="s">
        <v>3148</v>
      </c>
      <c r="F2131" s="37">
        <v>42474.506944444445</v>
      </c>
      <c r="G2131" s="37">
        <v>42474.541666666664</v>
      </c>
      <c r="H2131" s="1" t="s">
        <v>6</v>
      </c>
      <c r="I2131" s="1" t="s">
        <v>38</v>
      </c>
      <c r="J2131" s="1">
        <v>42475.452430555553</v>
      </c>
      <c r="K2131" s="1" t="s">
        <v>1026</v>
      </c>
      <c r="L2131" s="14">
        <f>24*(TblTimeSheet[[#This Row],[End Date and Time]]-TblTimeSheet[[#This Row],[Start Date and Time]])</f>
        <v>0.83333333325572312</v>
      </c>
      <c r="M21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31" s="14">
        <f>--(0&gt;(TblTimeSheet[[#This Row],[End Date and Time]]-TblTimeSheet[[#This Row],[Start Date and Time]]))</f>
        <v>0</v>
      </c>
    </row>
    <row r="2132" spans="1:14" x14ac:dyDescent="0.25">
      <c r="A2132" s="1"/>
      <c r="B2132" s="2" t="s">
        <v>915</v>
      </c>
      <c r="C2132" s="2" t="s">
        <v>116</v>
      </c>
      <c r="D2132" s="2" t="s">
        <v>34</v>
      </c>
      <c r="E2132" s="7" t="s">
        <v>3149</v>
      </c>
      <c r="F2132" s="37">
        <v>42474.5625</v>
      </c>
      <c r="G2132" s="37">
        <v>42474.729166666664</v>
      </c>
      <c r="H2132" s="1" t="s">
        <v>6</v>
      </c>
      <c r="I2132" s="1" t="s">
        <v>38</v>
      </c>
      <c r="J2132" s="1">
        <v>42475.453541666669</v>
      </c>
      <c r="K2132" s="1" t="s">
        <v>1026</v>
      </c>
      <c r="L2132" s="14">
        <f>24*(TblTimeSheet[[#This Row],[End Date and Time]]-TblTimeSheet[[#This Row],[Start Date and Time]])</f>
        <v>3.9999999999417923</v>
      </c>
      <c r="M21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32" s="14">
        <f>--(0&gt;(TblTimeSheet[[#This Row],[End Date and Time]]-TblTimeSheet[[#This Row],[Start Date and Time]]))</f>
        <v>0</v>
      </c>
    </row>
    <row r="2133" spans="1:14" x14ac:dyDescent="0.25">
      <c r="A2133" s="1"/>
      <c r="B2133" s="2" t="s">
        <v>915</v>
      </c>
      <c r="C2133" s="2" t="s">
        <v>116</v>
      </c>
      <c r="D2133" s="2" t="s">
        <v>34</v>
      </c>
      <c r="E2133" s="7" t="s">
        <v>3751</v>
      </c>
      <c r="F2133" s="37">
        <v>42475.381944444445</v>
      </c>
      <c r="G2133" s="37">
        <v>42475.4375</v>
      </c>
      <c r="H2133" s="1" t="s">
        <v>6</v>
      </c>
      <c r="I2133" s="1" t="s">
        <v>38</v>
      </c>
      <c r="J2133" s="1">
        <v>42475.458321759259</v>
      </c>
      <c r="K2133" s="1" t="s">
        <v>1026</v>
      </c>
      <c r="L2133" s="14">
        <f>24*(TblTimeSheet[[#This Row],[End Date and Time]]-TblTimeSheet[[#This Row],[Start Date and Time]])</f>
        <v>1.3333333333139308</v>
      </c>
      <c r="M21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3" s="14">
        <f>--(0&gt;(TblTimeSheet[[#This Row],[End Date and Time]]-TblTimeSheet[[#This Row],[Start Date and Time]]))</f>
        <v>0</v>
      </c>
    </row>
    <row r="2134" spans="1:14" x14ac:dyDescent="0.25">
      <c r="A2134" s="1"/>
      <c r="B2134" s="2" t="s">
        <v>915</v>
      </c>
      <c r="C2134" s="2" t="s">
        <v>116</v>
      </c>
      <c r="D2134" s="2" t="s">
        <v>34</v>
      </c>
      <c r="E2134" s="7" t="s">
        <v>3150</v>
      </c>
      <c r="F2134" s="37">
        <v>42475.5</v>
      </c>
      <c r="G2134" s="37">
        <v>42475.520833333336</v>
      </c>
      <c r="H2134" s="1" t="s">
        <v>6</v>
      </c>
      <c r="I2134" s="1" t="s">
        <v>38</v>
      </c>
      <c r="J2134" s="1">
        <v>42475.524085648147</v>
      </c>
      <c r="K2134" s="1" t="s">
        <v>39</v>
      </c>
      <c r="L2134" s="14">
        <f>24*(TblTimeSheet[[#This Row],[End Date and Time]]-TblTimeSheet[[#This Row],[Start Date and Time]])</f>
        <v>0.50000000005820766</v>
      </c>
      <c r="M21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34" s="14">
        <f>--(0&gt;(TblTimeSheet[[#This Row],[End Date and Time]]-TblTimeSheet[[#This Row],[Start Date and Time]]))</f>
        <v>0</v>
      </c>
    </row>
    <row r="2135" spans="1:14" x14ac:dyDescent="0.25">
      <c r="A2135" s="1"/>
      <c r="B2135" s="2" t="s">
        <v>917</v>
      </c>
      <c r="C2135" s="2" t="s">
        <v>1503</v>
      </c>
      <c r="D2135" s="2" t="s">
        <v>32</v>
      </c>
      <c r="E2135" s="7" t="s">
        <v>3151</v>
      </c>
      <c r="F2135" s="37">
        <v>42475.385416666664</v>
      </c>
      <c r="G2135" s="37">
        <v>42475.520833333336</v>
      </c>
      <c r="H2135" s="1" t="s">
        <v>6</v>
      </c>
      <c r="I2135" s="1" t="s">
        <v>38</v>
      </c>
      <c r="J2135" s="1">
        <v>42475.530787037038</v>
      </c>
      <c r="K2135" s="1" t="s">
        <v>2866</v>
      </c>
      <c r="L2135" s="14">
        <f>24*(TblTimeSheet[[#This Row],[End Date and Time]]-TblTimeSheet[[#This Row],[Start Date and Time]])</f>
        <v>3.2500000001164153</v>
      </c>
      <c r="M21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5" s="14">
        <f>--(0&gt;(TblTimeSheet[[#This Row],[End Date and Time]]-TblTimeSheet[[#This Row],[Start Date and Time]]))</f>
        <v>0</v>
      </c>
    </row>
    <row r="2136" spans="1:14" x14ac:dyDescent="0.25">
      <c r="A2136" s="1"/>
      <c r="B2136" s="2" t="s">
        <v>917</v>
      </c>
      <c r="C2136" s="2" t="s">
        <v>171</v>
      </c>
      <c r="D2136" s="2" t="s">
        <v>32</v>
      </c>
      <c r="E2136" s="7" t="s">
        <v>3152</v>
      </c>
      <c r="F2136" s="37">
        <v>42475.5</v>
      </c>
      <c r="G2136" s="37">
        <v>42475.552083333336</v>
      </c>
      <c r="H2136" s="1" t="s">
        <v>6</v>
      </c>
      <c r="I2136" s="1" t="s">
        <v>38</v>
      </c>
      <c r="J2136" s="1">
        <v>42475.556238425925</v>
      </c>
      <c r="K2136" s="1" t="s">
        <v>171</v>
      </c>
      <c r="L2136" s="14">
        <f>24*(TblTimeSheet[[#This Row],[End Date and Time]]-TblTimeSheet[[#This Row],[Start Date and Time]])</f>
        <v>1.2500000000582077</v>
      </c>
      <c r="M21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6" s="14">
        <f>--(0&gt;(TblTimeSheet[[#This Row],[End Date and Time]]-TblTimeSheet[[#This Row],[Start Date and Time]]))</f>
        <v>0</v>
      </c>
    </row>
    <row r="2137" spans="1:14" ht="30" x14ac:dyDescent="0.25">
      <c r="A2137" s="1"/>
      <c r="B2137" s="2" t="s">
        <v>917</v>
      </c>
      <c r="C2137" s="2" t="s">
        <v>171</v>
      </c>
      <c r="D2137" s="2" t="s">
        <v>32</v>
      </c>
      <c r="E2137" s="7" t="s">
        <v>3153</v>
      </c>
      <c r="F2137" s="37">
        <v>42475.590277777781</v>
      </c>
      <c r="G2137" s="37">
        <v>42475.611111111109</v>
      </c>
      <c r="H2137" s="1" t="s">
        <v>6</v>
      </c>
      <c r="I2137" s="1" t="s">
        <v>38</v>
      </c>
      <c r="J2137" s="1">
        <v>42475.610914351855</v>
      </c>
      <c r="K2137" s="1" t="s">
        <v>171</v>
      </c>
      <c r="L2137" s="14">
        <f>24*(TblTimeSheet[[#This Row],[End Date and Time]]-TblTimeSheet[[#This Row],[Start Date and Time]])</f>
        <v>0.49999999988358468</v>
      </c>
      <c r="M21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7" s="14">
        <f>--(0&gt;(TblTimeSheet[[#This Row],[End Date and Time]]-TblTimeSheet[[#This Row],[Start Date and Time]]))</f>
        <v>0</v>
      </c>
    </row>
    <row r="2138" spans="1:14" x14ac:dyDescent="0.25">
      <c r="A2138" s="1"/>
      <c r="B2138" s="2" t="s">
        <v>917</v>
      </c>
      <c r="C2138" s="2" t="s">
        <v>118</v>
      </c>
      <c r="D2138" s="2" t="s">
        <v>32</v>
      </c>
      <c r="E2138" s="7" t="s">
        <v>3154</v>
      </c>
      <c r="F2138" s="37">
        <v>42475.385416666664</v>
      </c>
      <c r="G2138" s="37">
        <v>42475.392361111109</v>
      </c>
      <c r="H2138" s="1" t="s">
        <v>6</v>
      </c>
      <c r="I2138" s="1" t="s">
        <v>38</v>
      </c>
      <c r="J2138" s="1">
        <v>42475.647731481484</v>
      </c>
      <c r="K2138" s="1" t="s">
        <v>118</v>
      </c>
      <c r="L2138" s="14">
        <f>24*(TblTimeSheet[[#This Row],[End Date and Time]]-TblTimeSheet[[#This Row],[Start Date and Time]])</f>
        <v>0.16666666668606922</v>
      </c>
      <c r="M21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8" s="14">
        <f>--(0&gt;(TblTimeSheet[[#This Row],[End Date and Time]]-TblTimeSheet[[#This Row],[Start Date and Time]]))</f>
        <v>0</v>
      </c>
    </row>
    <row r="2139" spans="1:14" x14ac:dyDescent="0.25">
      <c r="A2139" s="1"/>
      <c r="B2139" s="2" t="s">
        <v>917</v>
      </c>
      <c r="C2139" s="2" t="s">
        <v>118</v>
      </c>
      <c r="D2139" s="2" t="s">
        <v>32</v>
      </c>
      <c r="E2139" s="7" t="s">
        <v>3154</v>
      </c>
      <c r="F2139" s="37">
        <v>42475.458333333336</v>
      </c>
      <c r="G2139" s="37">
        <v>42475.472222222219</v>
      </c>
      <c r="H2139" s="1" t="s">
        <v>6</v>
      </c>
      <c r="I2139" s="1" t="s">
        <v>38</v>
      </c>
      <c r="J2139" s="1">
        <v>42475.648032407407</v>
      </c>
      <c r="K2139" s="1" t="s">
        <v>118</v>
      </c>
      <c r="L2139" s="14">
        <f>24*(TblTimeSheet[[#This Row],[End Date and Time]]-TblTimeSheet[[#This Row],[Start Date and Time]])</f>
        <v>0.33333333319751546</v>
      </c>
      <c r="M21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39" s="14">
        <f>--(0&gt;(TblTimeSheet[[#This Row],[End Date and Time]]-TblTimeSheet[[#This Row],[Start Date and Time]]))</f>
        <v>0</v>
      </c>
    </row>
    <row r="2140" spans="1:14" x14ac:dyDescent="0.25">
      <c r="A2140" s="1"/>
      <c r="B2140" s="2" t="s">
        <v>917</v>
      </c>
      <c r="C2140" s="2" t="s">
        <v>118</v>
      </c>
      <c r="D2140" s="2" t="s">
        <v>32</v>
      </c>
      <c r="E2140" s="7" t="s">
        <v>3154</v>
      </c>
      <c r="F2140" s="37">
        <v>42475.520833333336</v>
      </c>
      <c r="G2140" s="37">
        <v>42475.538194444445</v>
      </c>
      <c r="H2140" s="1" t="s">
        <v>6</v>
      </c>
      <c r="I2140" s="1" t="s">
        <v>38</v>
      </c>
      <c r="J2140" s="1">
        <v>42475.648402777777</v>
      </c>
      <c r="K2140" s="1" t="s">
        <v>118</v>
      </c>
      <c r="L2140" s="14">
        <f>24*(TblTimeSheet[[#This Row],[End Date and Time]]-TblTimeSheet[[#This Row],[Start Date and Time]])</f>
        <v>0.41666666662786156</v>
      </c>
      <c r="M21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0" s="14">
        <f>--(0&gt;(TblTimeSheet[[#This Row],[End Date and Time]]-TblTimeSheet[[#This Row],[Start Date and Time]]))</f>
        <v>0</v>
      </c>
    </row>
    <row r="2141" spans="1:14" x14ac:dyDescent="0.25">
      <c r="A2141" s="1"/>
      <c r="B2141" s="2" t="s">
        <v>2872</v>
      </c>
      <c r="C2141" s="2" t="s">
        <v>118</v>
      </c>
      <c r="D2141" s="2" t="s">
        <v>20</v>
      </c>
      <c r="E2141" s="7" t="s">
        <v>3155</v>
      </c>
      <c r="F2141" s="37">
        <v>42475.604166666664</v>
      </c>
      <c r="G2141" s="37">
        <v>42475.635416666664</v>
      </c>
      <c r="H2141" s="1" t="s">
        <v>6</v>
      </c>
      <c r="I2141" s="1" t="s">
        <v>38</v>
      </c>
      <c r="J2141" s="1">
        <v>42475.652858796297</v>
      </c>
      <c r="K2141" s="1" t="s">
        <v>118</v>
      </c>
      <c r="L2141" s="14">
        <f>24*(TblTimeSheet[[#This Row],[End Date and Time]]-TblTimeSheet[[#This Row],[Start Date and Time]])</f>
        <v>0.75</v>
      </c>
      <c r="M21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1" s="14">
        <f>--(0&gt;(TblTimeSheet[[#This Row],[End Date and Time]]-TblTimeSheet[[#This Row],[Start Date and Time]]))</f>
        <v>0</v>
      </c>
    </row>
    <row r="2142" spans="1:14" x14ac:dyDescent="0.25">
      <c r="A2142" s="1"/>
      <c r="B2142" s="2" t="s">
        <v>2870</v>
      </c>
      <c r="C2142" s="2" t="s">
        <v>118</v>
      </c>
      <c r="D2142" s="2" t="s">
        <v>32</v>
      </c>
      <c r="E2142" s="7" t="s">
        <v>3156</v>
      </c>
      <c r="F2142" s="37">
        <v>42475.479166666664</v>
      </c>
      <c r="G2142" s="37">
        <v>42475.5</v>
      </c>
      <c r="H2142" s="1" t="s">
        <v>6</v>
      </c>
      <c r="I2142" s="1" t="s">
        <v>38</v>
      </c>
      <c r="J2142" s="1">
        <v>42475.661076388889</v>
      </c>
      <c r="K2142" s="1" t="s">
        <v>118</v>
      </c>
      <c r="L2142" s="14">
        <f>24*(TblTimeSheet[[#This Row],[End Date and Time]]-TblTimeSheet[[#This Row],[Start Date and Time]])</f>
        <v>0.50000000005820766</v>
      </c>
      <c r="M21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2" s="14">
        <f>--(0&gt;(TblTimeSheet[[#This Row],[End Date and Time]]-TblTimeSheet[[#This Row],[Start Date and Time]]))</f>
        <v>0</v>
      </c>
    </row>
    <row r="2143" spans="1:14" x14ac:dyDescent="0.25">
      <c r="A2143" s="1"/>
      <c r="B2143" s="2" t="s">
        <v>2872</v>
      </c>
      <c r="C2143" s="2" t="s">
        <v>1469</v>
      </c>
      <c r="D2143" s="2" t="s">
        <v>20</v>
      </c>
      <c r="E2143" s="7" t="s">
        <v>3157</v>
      </c>
      <c r="F2143" s="37">
        <v>42475.104166666664</v>
      </c>
      <c r="G2143" s="37">
        <v>42475.635416666664</v>
      </c>
      <c r="H2143" s="1" t="s">
        <v>6</v>
      </c>
      <c r="I2143" s="1" t="s">
        <v>38</v>
      </c>
      <c r="J2143" s="1">
        <v>42475.66479166667</v>
      </c>
      <c r="K2143" s="1" t="s">
        <v>1469</v>
      </c>
      <c r="L2143" s="14">
        <f>24*(TblTimeSheet[[#This Row],[End Date and Time]]-TblTimeSheet[[#This Row],[Start Date and Time]])</f>
        <v>12.75</v>
      </c>
      <c r="M21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3" s="14">
        <f>--(0&gt;(TblTimeSheet[[#This Row],[End Date and Time]]-TblTimeSheet[[#This Row],[Start Date and Time]]))</f>
        <v>0</v>
      </c>
    </row>
    <row r="2144" spans="1:14" x14ac:dyDescent="0.25">
      <c r="A2144" s="1"/>
      <c r="B2144" s="2" t="s">
        <v>2872</v>
      </c>
      <c r="C2144" s="2" t="s">
        <v>1469</v>
      </c>
      <c r="D2144" s="2" t="s">
        <v>20</v>
      </c>
      <c r="E2144" s="7" t="s">
        <v>3158</v>
      </c>
      <c r="F2144" s="37">
        <v>42475.649305555555</v>
      </c>
      <c r="G2144" s="37">
        <v>42475.659722222219</v>
      </c>
      <c r="H2144" s="1" t="s">
        <v>6</v>
      </c>
      <c r="I2144" s="1" t="s">
        <v>38</v>
      </c>
      <c r="J2144" s="1">
        <v>42475.666516203702</v>
      </c>
      <c r="K2144" s="1" t="s">
        <v>1469</v>
      </c>
      <c r="L2144" s="14">
        <f>24*(TblTimeSheet[[#This Row],[End Date and Time]]-TblTimeSheet[[#This Row],[Start Date and Time]])</f>
        <v>0.24999999994179234</v>
      </c>
      <c r="M21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4" s="14">
        <f>--(0&gt;(TblTimeSheet[[#This Row],[End Date and Time]]-TblTimeSheet[[#This Row],[Start Date and Time]]))</f>
        <v>0</v>
      </c>
    </row>
    <row r="2145" spans="1:14" x14ac:dyDescent="0.25">
      <c r="A2145" s="1"/>
      <c r="B2145" s="2" t="s">
        <v>2870</v>
      </c>
      <c r="C2145" s="2" t="s">
        <v>41</v>
      </c>
      <c r="D2145" s="2" t="s">
        <v>32</v>
      </c>
      <c r="E2145" s="7" t="s">
        <v>3159</v>
      </c>
      <c r="F2145" s="37">
        <v>42475.375</v>
      </c>
      <c r="G2145" s="37">
        <v>42475.451388888891</v>
      </c>
      <c r="H2145" s="1" t="s">
        <v>6</v>
      </c>
      <c r="I2145" s="1" t="s">
        <v>38</v>
      </c>
      <c r="J2145" s="1">
        <v>42475.668067129627</v>
      </c>
      <c r="K2145" s="1" t="s">
        <v>41</v>
      </c>
      <c r="L2145" s="14">
        <f>24*(TblTimeSheet[[#This Row],[End Date and Time]]-TblTimeSheet[[#This Row],[Start Date and Time]])</f>
        <v>1.8333333333721384</v>
      </c>
      <c r="M21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5" s="14">
        <f>--(0&gt;(TblTimeSheet[[#This Row],[End Date and Time]]-TblTimeSheet[[#This Row],[Start Date and Time]]))</f>
        <v>0</v>
      </c>
    </row>
    <row r="2146" spans="1:14" x14ac:dyDescent="0.25">
      <c r="A2146" s="1"/>
      <c r="B2146" s="2" t="s">
        <v>2870</v>
      </c>
      <c r="C2146" s="2" t="s">
        <v>41</v>
      </c>
      <c r="D2146" s="2" t="s">
        <v>32</v>
      </c>
      <c r="E2146" s="7" t="s">
        <v>3752</v>
      </c>
      <c r="F2146" s="37">
        <v>42475.458333333336</v>
      </c>
      <c r="G2146" s="37">
        <v>42475.5</v>
      </c>
      <c r="H2146" s="1" t="s">
        <v>6</v>
      </c>
      <c r="I2146" s="1" t="s">
        <v>38</v>
      </c>
      <c r="J2146" s="1">
        <v>42475.669004629628</v>
      </c>
      <c r="K2146" s="1" t="s">
        <v>41</v>
      </c>
      <c r="L2146" s="14">
        <f>24*(TblTimeSheet[[#This Row],[End Date and Time]]-TblTimeSheet[[#This Row],[Start Date and Time]])</f>
        <v>0.99999999994179234</v>
      </c>
      <c r="M21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6" s="14">
        <f>--(0&gt;(TblTimeSheet[[#This Row],[End Date and Time]]-TblTimeSheet[[#This Row],[Start Date and Time]]))</f>
        <v>0</v>
      </c>
    </row>
    <row r="2147" spans="1:14" x14ac:dyDescent="0.25">
      <c r="A2147" s="1"/>
      <c r="B2147" s="2" t="s">
        <v>917</v>
      </c>
      <c r="C2147" s="2" t="s">
        <v>1503</v>
      </c>
      <c r="D2147" s="2" t="s">
        <v>32</v>
      </c>
      <c r="E2147" s="7" t="s">
        <v>3147</v>
      </c>
      <c r="F2147" s="37">
        <v>42475.625</v>
      </c>
      <c r="G2147" s="37">
        <v>42475.677083333336</v>
      </c>
      <c r="H2147" s="1" t="s">
        <v>6</v>
      </c>
      <c r="I2147" s="1" t="s">
        <v>38</v>
      </c>
      <c r="J2147" s="1">
        <v>42475.683611111112</v>
      </c>
      <c r="K2147" s="1" t="s">
        <v>2866</v>
      </c>
      <c r="L2147" s="14">
        <f>24*(TblTimeSheet[[#This Row],[End Date and Time]]-TblTimeSheet[[#This Row],[Start Date and Time]])</f>
        <v>1.2500000000582077</v>
      </c>
      <c r="M21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7" s="14">
        <f>--(0&gt;(TblTimeSheet[[#This Row],[End Date and Time]]-TblTimeSheet[[#This Row],[Start Date and Time]]))</f>
        <v>0</v>
      </c>
    </row>
    <row r="2148" spans="1:14" x14ac:dyDescent="0.25">
      <c r="A2148" s="1"/>
      <c r="B2148" s="2" t="s">
        <v>2872</v>
      </c>
      <c r="C2148" s="2" t="s">
        <v>41</v>
      </c>
      <c r="D2148" s="2" t="s">
        <v>20</v>
      </c>
      <c r="E2148" s="7" t="s">
        <v>3160</v>
      </c>
      <c r="F2148" s="37">
        <v>42475.604166666664</v>
      </c>
      <c r="G2148" s="37">
        <v>42475.635416666664</v>
      </c>
      <c r="H2148" s="1" t="s">
        <v>6</v>
      </c>
      <c r="I2148" s="1" t="s">
        <v>38</v>
      </c>
      <c r="J2148" s="1">
        <v>42475.6872337963</v>
      </c>
      <c r="K2148" s="1" t="s">
        <v>41</v>
      </c>
      <c r="L2148" s="14">
        <f>24*(TblTimeSheet[[#This Row],[End Date and Time]]-TblTimeSheet[[#This Row],[Start Date and Time]])</f>
        <v>0.75</v>
      </c>
      <c r="M21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48" s="14">
        <f>--(0&gt;(TblTimeSheet[[#This Row],[End Date and Time]]-TblTimeSheet[[#This Row],[Start Date and Time]]))</f>
        <v>0</v>
      </c>
    </row>
    <row r="2149" spans="1:14" x14ac:dyDescent="0.25">
      <c r="A2149" s="1"/>
      <c r="B2149" s="2" t="s">
        <v>915</v>
      </c>
      <c r="C2149" s="2" t="s">
        <v>116</v>
      </c>
      <c r="D2149" s="2" t="s">
        <v>34</v>
      </c>
      <c r="E2149" s="7" t="s">
        <v>3161</v>
      </c>
      <c r="F2149" s="37">
        <v>42475.666666666664</v>
      </c>
      <c r="G2149" s="37">
        <v>42475.6875</v>
      </c>
      <c r="H2149" s="1" t="s">
        <v>6</v>
      </c>
      <c r="I2149" s="1" t="s">
        <v>38</v>
      </c>
      <c r="J2149" s="1">
        <v>42475.691840277781</v>
      </c>
      <c r="K2149" s="1" t="s">
        <v>701</v>
      </c>
      <c r="L2149" s="14">
        <f>24*(TblTimeSheet[[#This Row],[End Date and Time]]-TblTimeSheet[[#This Row],[Start Date and Time]])</f>
        <v>0.50000000005820766</v>
      </c>
      <c r="M21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49" s="14">
        <f>--(0&gt;(TblTimeSheet[[#This Row],[End Date and Time]]-TblTimeSheet[[#This Row],[Start Date and Time]]))</f>
        <v>0</v>
      </c>
    </row>
    <row r="2150" spans="1:14" x14ac:dyDescent="0.25">
      <c r="A2150" s="1"/>
      <c r="B2150" s="2" t="s">
        <v>2874</v>
      </c>
      <c r="C2150" s="2" t="s">
        <v>116</v>
      </c>
      <c r="D2150" s="2" t="s">
        <v>20</v>
      </c>
      <c r="E2150" s="7" t="s">
        <v>3753</v>
      </c>
      <c r="F2150" s="37">
        <v>42475.649305555555</v>
      </c>
      <c r="G2150" s="37">
        <v>42475.659722222219</v>
      </c>
      <c r="H2150" s="1" t="s">
        <v>6</v>
      </c>
      <c r="I2150" s="1" t="s">
        <v>38</v>
      </c>
      <c r="J2150" s="1">
        <v>42475.692754629628</v>
      </c>
      <c r="K2150" s="1" t="s">
        <v>701</v>
      </c>
      <c r="L2150" s="14">
        <f>24*(TblTimeSheet[[#This Row],[End Date and Time]]-TblTimeSheet[[#This Row],[Start Date and Time]])</f>
        <v>0.24999999994179234</v>
      </c>
      <c r="M21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50" s="14">
        <f>--(0&gt;(TblTimeSheet[[#This Row],[End Date and Time]]-TblTimeSheet[[#This Row],[Start Date and Time]]))</f>
        <v>0</v>
      </c>
    </row>
    <row r="2151" spans="1:14" x14ac:dyDescent="0.25">
      <c r="A2151" s="1"/>
      <c r="B2151" s="2" t="s">
        <v>915</v>
      </c>
      <c r="C2151" s="2" t="s">
        <v>116</v>
      </c>
      <c r="D2151" s="2" t="s">
        <v>34</v>
      </c>
      <c r="E2151" s="7" t="s">
        <v>3162</v>
      </c>
      <c r="F2151" s="37">
        <v>42475.666666666664</v>
      </c>
      <c r="G2151" s="37">
        <v>42475.6875</v>
      </c>
      <c r="H2151" s="1" t="s">
        <v>6</v>
      </c>
      <c r="I2151" s="1" t="s">
        <v>38</v>
      </c>
      <c r="J2151" s="1">
        <v>42475.716886574075</v>
      </c>
      <c r="K2151" s="1" t="s">
        <v>39</v>
      </c>
      <c r="L2151" s="14">
        <f>24*(TblTimeSheet[[#This Row],[End Date and Time]]-TblTimeSheet[[#This Row],[Start Date and Time]])</f>
        <v>0.50000000005820766</v>
      </c>
      <c r="M21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51" s="14">
        <f>--(0&gt;(TblTimeSheet[[#This Row],[End Date and Time]]-TblTimeSheet[[#This Row],[Start Date and Time]]))</f>
        <v>0</v>
      </c>
    </row>
    <row r="2152" spans="1:14" x14ac:dyDescent="0.25">
      <c r="A2152" s="1"/>
      <c r="B2152" s="2" t="s">
        <v>2874</v>
      </c>
      <c r="C2152" s="2" t="s">
        <v>1117</v>
      </c>
      <c r="D2152" s="2" t="s">
        <v>20</v>
      </c>
      <c r="E2152" s="7" t="s">
        <v>451</v>
      </c>
      <c r="F2152" s="37">
        <v>42475.649305555555</v>
      </c>
      <c r="G2152" s="37">
        <v>42475.659722222219</v>
      </c>
      <c r="H2152" s="1" t="s">
        <v>6</v>
      </c>
      <c r="I2152" s="1" t="s">
        <v>38</v>
      </c>
      <c r="J2152" s="1">
        <v>42475.731840277775</v>
      </c>
      <c r="K2152" s="1" t="s">
        <v>2865</v>
      </c>
      <c r="L2152" s="14">
        <f>24*(TblTimeSheet[[#This Row],[End Date and Time]]-TblTimeSheet[[#This Row],[Start Date and Time]])</f>
        <v>0.24999999994179234</v>
      </c>
      <c r="M21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2" s="14">
        <f>--(0&gt;(TblTimeSheet[[#This Row],[End Date and Time]]-TblTimeSheet[[#This Row],[Start Date and Time]]))</f>
        <v>0</v>
      </c>
    </row>
    <row r="2153" spans="1:14" x14ac:dyDescent="0.25">
      <c r="A2153" s="1"/>
      <c r="B2153" s="2" t="s">
        <v>915</v>
      </c>
      <c r="C2153" s="2" t="s">
        <v>1117</v>
      </c>
      <c r="D2153" s="2" t="s">
        <v>34</v>
      </c>
      <c r="E2153" s="7" t="s">
        <v>3163</v>
      </c>
      <c r="F2153" s="37">
        <v>42475.666666666664</v>
      </c>
      <c r="G2153" s="37">
        <v>42475.6875</v>
      </c>
      <c r="H2153" s="1" t="s">
        <v>6</v>
      </c>
      <c r="I2153" s="1" t="s">
        <v>38</v>
      </c>
      <c r="J2153" s="1">
        <v>42475.732303240744</v>
      </c>
      <c r="K2153" s="1" t="s">
        <v>2865</v>
      </c>
      <c r="L2153" s="14">
        <f>24*(TblTimeSheet[[#This Row],[End Date and Time]]-TblTimeSheet[[#This Row],[Start Date and Time]])</f>
        <v>0.50000000005820766</v>
      </c>
      <c r="M21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3" s="14">
        <f>--(0&gt;(TblTimeSheet[[#This Row],[End Date and Time]]-TblTimeSheet[[#This Row],[Start Date and Time]]))</f>
        <v>0</v>
      </c>
    </row>
    <row r="2154" spans="1:14" x14ac:dyDescent="0.25">
      <c r="A2154" s="1"/>
      <c r="B2154" s="2" t="s">
        <v>2870</v>
      </c>
      <c r="C2154" s="2" t="s">
        <v>1117</v>
      </c>
      <c r="D2154" s="2" t="s">
        <v>32</v>
      </c>
      <c r="E2154" s="7" t="s">
        <v>3164</v>
      </c>
      <c r="F2154" s="37">
        <v>42475.690972222219</v>
      </c>
      <c r="G2154" s="37">
        <v>42475.732638888891</v>
      </c>
      <c r="H2154" s="1" t="s">
        <v>6</v>
      </c>
      <c r="I2154" s="1" t="s">
        <v>38</v>
      </c>
      <c r="J2154" s="1">
        <v>42475.732951388891</v>
      </c>
      <c r="K2154" s="1" t="s">
        <v>2865</v>
      </c>
      <c r="L2154" s="14">
        <f>24*(TblTimeSheet[[#This Row],[End Date and Time]]-TblTimeSheet[[#This Row],[Start Date and Time]])</f>
        <v>1.0000000001164153</v>
      </c>
      <c r="M21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4" s="14">
        <f>--(0&gt;(TblTimeSheet[[#This Row],[End Date and Time]]-TblTimeSheet[[#This Row],[Start Date and Time]]))</f>
        <v>0</v>
      </c>
    </row>
    <row r="2155" spans="1:14" x14ac:dyDescent="0.25">
      <c r="A2155" s="1"/>
      <c r="B2155" s="2" t="s">
        <v>915</v>
      </c>
      <c r="C2155" s="2" t="s">
        <v>116</v>
      </c>
      <c r="D2155" s="2" t="s">
        <v>34</v>
      </c>
      <c r="E2155" s="7" t="s">
        <v>3165</v>
      </c>
      <c r="F2155" s="37">
        <v>42475.444444444445</v>
      </c>
      <c r="G2155" s="37">
        <v>42475.541666666664</v>
      </c>
      <c r="H2155" s="1" t="s">
        <v>6</v>
      </c>
      <c r="I2155" s="1" t="s">
        <v>38</v>
      </c>
      <c r="J2155" s="1">
        <v>42476.392638888887</v>
      </c>
      <c r="K2155" s="1" t="s">
        <v>1026</v>
      </c>
      <c r="L2155" s="14">
        <f>24*(TblTimeSheet[[#This Row],[End Date and Time]]-TblTimeSheet[[#This Row],[Start Date and Time]])</f>
        <v>2.3333333332557231</v>
      </c>
      <c r="M21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5" s="14">
        <f>--(0&gt;(TblTimeSheet[[#This Row],[End Date and Time]]-TblTimeSheet[[#This Row],[Start Date and Time]]))</f>
        <v>0</v>
      </c>
    </row>
    <row r="2156" spans="1:14" x14ac:dyDescent="0.25">
      <c r="A2156" s="1"/>
      <c r="B2156" s="2" t="s">
        <v>915</v>
      </c>
      <c r="C2156" s="2" t="s">
        <v>116</v>
      </c>
      <c r="D2156" s="2" t="s">
        <v>34</v>
      </c>
      <c r="E2156" s="7" t="s">
        <v>3136</v>
      </c>
      <c r="F2156" s="37">
        <v>42475.5625</v>
      </c>
      <c r="G2156" s="37">
        <v>42475.722222222219</v>
      </c>
      <c r="H2156" s="1" t="s">
        <v>6</v>
      </c>
      <c r="I2156" s="1" t="s">
        <v>38</v>
      </c>
      <c r="J2156" s="1">
        <v>42476.393622685187</v>
      </c>
      <c r="K2156" s="1" t="s">
        <v>1026</v>
      </c>
      <c r="L2156" s="14">
        <f>24*(TblTimeSheet[[#This Row],[End Date and Time]]-TblTimeSheet[[#This Row],[Start Date and Time]])</f>
        <v>3.8333333332557231</v>
      </c>
      <c r="M21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6" s="14">
        <f>--(0&gt;(TblTimeSheet[[#This Row],[End Date and Time]]-TblTimeSheet[[#This Row],[Start Date and Time]]))</f>
        <v>0</v>
      </c>
    </row>
    <row r="2157" spans="1:14" x14ac:dyDescent="0.25">
      <c r="A2157" s="1"/>
      <c r="B2157" s="2" t="s">
        <v>917</v>
      </c>
      <c r="C2157" s="2" t="s">
        <v>1503</v>
      </c>
      <c r="D2157" s="2" t="s">
        <v>32</v>
      </c>
      <c r="E2157" s="7" t="s">
        <v>3147</v>
      </c>
      <c r="F2157" s="37">
        <v>42476.385416666664</v>
      </c>
      <c r="G2157" s="37">
        <v>42476.416666666664</v>
      </c>
      <c r="H2157" s="1" t="s">
        <v>6</v>
      </c>
      <c r="I2157" s="1" t="s">
        <v>38</v>
      </c>
      <c r="J2157" s="1">
        <v>42476.419745370367</v>
      </c>
      <c r="K2157" s="1" t="s">
        <v>2866</v>
      </c>
      <c r="L2157" s="14">
        <f>24*(TblTimeSheet[[#This Row],[End Date and Time]]-TblTimeSheet[[#This Row],[Start Date and Time]])</f>
        <v>0.75</v>
      </c>
      <c r="M21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7" s="14">
        <f>--(0&gt;(TblTimeSheet[[#This Row],[End Date and Time]]-TblTimeSheet[[#This Row],[Start Date and Time]]))</f>
        <v>0</v>
      </c>
    </row>
    <row r="2158" spans="1:14" x14ac:dyDescent="0.25">
      <c r="A2158" s="1"/>
      <c r="B2158" s="2" t="s">
        <v>2870</v>
      </c>
      <c r="C2158" s="2" t="s">
        <v>41</v>
      </c>
      <c r="D2158" s="2" t="s">
        <v>32</v>
      </c>
      <c r="E2158" s="7" t="s">
        <v>3166</v>
      </c>
      <c r="F2158" s="37">
        <v>42475.690972222219</v>
      </c>
      <c r="G2158" s="37">
        <v>42475.732638888891</v>
      </c>
      <c r="H2158" s="1" t="s">
        <v>6</v>
      </c>
      <c r="I2158" s="1" t="s">
        <v>38</v>
      </c>
      <c r="J2158" s="1">
        <v>42476.435763888891</v>
      </c>
      <c r="K2158" s="1" t="s">
        <v>41</v>
      </c>
      <c r="L2158" s="14">
        <f>24*(TblTimeSheet[[#This Row],[End Date and Time]]-TblTimeSheet[[#This Row],[Start Date and Time]])</f>
        <v>1.0000000001164153</v>
      </c>
      <c r="M21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8" s="14">
        <f>--(0&gt;(TblTimeSheet[[#This Row],[End Date and Time]]-TblTimeSheet[[#This Row],[Start Date and Time]]))</f>
        <v>0</v>
      </c>
    </row>
    <row r="2159" spans="1:14" x14ac:dyDescent="0.25">
      <c r="A2159" s="1"/>
      <c r="B2159" s="2" t="s">
        <v>2870</v>
      </c>
      <c r="C2159" s="2" t="s">
        <v>41</v>
      </c>
      <c r="D2159" s="2" t="s">
        <v>32</v>
      </c>
      <c r="E2159" s="7" t="s">
        <v>3167</v>
      </c>
      <c r="F2159" s="37">
        <v>42476.416666666664</v>
      </c>
      <c r="G2159" s="37">
        <v>42476.434027777781</v>
      </c>
      <c r="H2159" s="1" t="s">
        <v>6</v>
      </c>
      <c r="I2159" s="1" t="s">
        <v>38</v>
      </c>
      <c r="J2159" s="1">
        <v>42476.436342592591</v>
      </c>
      <c r="K2159" s="1" t="s">
        <v>41</v>
      </c>
      <c r="L2159" s="14">
        <f>24*(TblTimeSheet[[#This Row],[End Date and Time]]-TblTimeSheet[[#This Row],[Start Date and Time]])</f>
        <v>0.41666666680248454</v>
      </c>
      <c r="M21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59" s="14">
        <f>--(0&gt;(TblTimeSheet[[#This Row],[End Date and Time]]-TblTimeSheet[[#This Row],[Start Date and Time]]))</f>
        <v>0</v>
      </c>
    </row>
    <row r="2160" spans="1:14" x14ac:dyDescent="0.25">
      <c r="A2160" s="1"/>
      <c r="B2160" s="2" t="s">
        <v>917</v>
      </c>
      <c r="C2160" s="2" t="s">
        <v>171</v>
      </c>
      <c r="D2160" s="2" t="s">
        <v>32</v>
      </c>
      <c r="E2160" s="7" t="s">
        <v>3754</v>
      </c>
      <c r="F2160" s="37">
        <v>42476.427083333336</v>
      </c>
      <c r="G2160" s="37">
        <v>42476.458333333336</v>
      </c>
      <c r="H2160" s="1" t="s">
        <v>6</v>
      </c>
      <c r="I2160" s="1" t="s">
        <v>38</v>
      </c>
      <c r="J2160" s="1">
        <v>42476.460127314815</v>
      </c>
      <c r="K2160" s="1" t="s">
        <v>171</v>
      </c>
      <c r="L2160" s="14">
        <f>24*(TblTimeSheet[[#This Row],[End Date and Time]]-TblTimeSheet[[#This Row],[Start Date and Time]])</f>
        <v>0.75</v>
      </c>
      <c r="M21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0" s="14">
        <f>--(0&gt;(TblTimeSheet[[#This Row],[End Date and Time]]-TblTimeSheet[[#This Row],[Start Date and Time]]))</f>
        <v>0</v>
      </c>
    </row>
    <row r="2161" spans="1:14" x14ac:dyDescent="0.25">
      <c r="A2161" s="1"/>
      <c r="B2161" s="2" t="s">
        <v>915</v>
      </c>
      <c r="C2161" s="2" t="s">
        <v>118</v>
      </c>
      <c r="D2161" s="2" t="s">
        <v>34</v>
      </c>
      <c r="E2161" s="7" t="s">
        <v>3168</v>
      </c>
      <c r="F2161" s="37">
        <v>42475.666666666664</v>
      </c>
      <c r="G2161" s="37">
        <v>42475.6875</v>
      </c>
      <c r="H2161" s="1" t="s">
        <v>6</v>
      </c>
      <c r="I2161" s="1" t="s">
        <v>38</v>
      </c>
      <c r="J2161" s="1">
        <v>42476.479351851849</v>
      </c>
      <c r="K2161" s="1" t="s">
        <v>118</v>
      </c>
      <c r="L2161" s="14">
        <f>24*(TblTimeSheet[[#This Row],[End Date and Time]]-TblTimeSheet[[#This Row],[Start Date and Time]])</f>
        <v>0.50000000005820766</v>
      </c>
      <c r="M21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1" s="14">
        <f>--(0&gt;(TblTimeSheet[[#This Row],[End Date and Time]]-TblTimeSheet[[#This Row],[Start Date and Time]]))</f>
        <v>0</v>
      </c>
    </row>
    <row r="2162" spans="1:14" x14ac:dyDescent="0.25">
      <c r="A2162" s="1"/>
      <c r="B2162" s="2" t="s">
        <v>917</v>
      </c>
      <c r="C2162" s="2" t="s">
        <v>1503</v>
      </c>
      <c r="D2162" s="2" t="s">
        <v>32</v>
      </c>
      <c r="E2162" s="7" t="s">
        <v>3169</v>
      </c>
      <c r="F2162" s="37">
        <v>42476.458333333336</v>
      </c>
      <c r="G2162" s="37">
        <v>42476.510416666664</v>
      </c>
      <c r="H2162" s="1" t="s">
        <v>6</v>
      </c>
      <c r="I2162" s="1" t="s">
        <v>38</v>
      </c>
      <c r="J2162" s="1">
        <v>42476.512256944443</v>
      </c>
      <c r="K2162" s="1" t="s">
        <v>2866</v>
      </c>
      <c r="L2162" s="14">
        <f>24*(TblTimeSheet[[#This Row],[End Date and Time]]-TblTimeSheet[[#This Row],[Start Date and Time]])</f>
        <v>1.2499999998835847</v>
      </c>
      <c r="M21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2" s="14">
        <f>--(0&gt;(TblTimeSheet[[#This Row],[End Date and Time]]-TblTimeSheet[[#This Row],[Start Date and Time]]))</f>
        <v>0</v>
      </c>
    </row>
    <row r="2163" spans="1:14" ht="30" x14ac:dyDescent="0.25">
      <c r="A2163" s="1"/>
      <c r="B2163" s="2" t="s">
        <v>917</v>
      </c>
      <c r="C2163" s="2" t="s">
        <v>171</v>
      </c>
      <c r="D2163" s="2" t="s">
        <v>32</v>
      </c>
      <c r="E2163" s="7" t="s">
        <v>3755</v>
      </c>
      <c r="F2163" s="37">
        <v>42476.538194444445</v>
      </c>
      <c r="G2163" s="37">
        <v>42476.555555555555</v>
      </c>
      <c r="H2163" s="1" t="s">
        <v>6</v>
      </c>
      <c r="I2163" s="1" t="s">
        <v>38</v>
      </c>
      <c r="J2163" s="1">
        <v>42476.598680555559</v>
      </c>
      <c r="K2163" s="1" t="s">
        <v>171</v>
      </c>
      <c r="L2163" s="14">
        <f>24*(TblTimeSheet[[#This Row],[End Date and Time]]-TblTimeSheet[[#This Row],[Start Date and Time]])</f>
        <v>0.41666666662786156</v>
      </c>
      <c r="M21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3" s="14">
        <f>--(0&gt;(TblTimeSheet[[#This Row],[End Date and Time]]-TblTimeSheet[[#This Row],[Start Date and Time]]))</f>
        <v>0</v>
      </c>
    </row>
    <row r="2164" spans="1:14" x14ac:dyDescent="0.25">
      <c r="A2164" s="1"/>
      <c r="B2164" s="2" t="s">
        <v>915</v>
      </c>
      <c r="C2164" s="2" t="s">
        <v>36</v>
      </c>
      <c r="D2164" s="2" t="s">
        <v>34</v>
      </c>
      <c r="E2164" s="7" t="s">
        <v>3170</v>
      </c>
      <c r="F2164" s="37">
        <v>42476.600694444445</v>
      </c>
      <c r="G2164" s="37">
        <v>42476.607638888891</v>
      </c>
      <c r="H2164" s="1" t="s">
        <v>6</v>
      </c>
      <c r="I2164" s="1" t="s">
        <v>38</v>
      </c>
      <c r="J2164" s="1">
        <v>42476.606979166667</v>
      </c>
      <c r="K2164" s="1" t="s">
        <v>36</v>
      </c>
      <c r="L2164" s="14">
        <f>24*(TblTimeSheet[[#This Row],[End Date and Time]]-TblTimeSheet[[#This Row],[Start Date and Time]])</f>
        <v>0.16666666668606922</v>
      </c>
      <c r="M21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4" s="14">
        <f>--(0&gt;(TblTimeSheet[[#This Row],[End Date and Time]]-TblTimeSheet[[#This Row],[Start Date and Time]]))</f>
        <v>0</v>
      </c>
    </row>
    <row r="2165" spans="1:14" x14ac:dyDescent="0.25">
      <c r="A2165" s="1"/>
      <c r="B2165" s="2" t="s">
        <v>917</v>
      </c>
      <c r="C2165" s="2" t="s">
        <v>116</v>
      </c>
      <c r="D2165" s="2" t="s">
        <v>32</v>
      </c>
      <c r="E2165" s="7" t="s">
        <v>3171</v>
      </c>
      <c r="F2165" s="37">
        <v>42476.53125</v>
      </c>
      <c r="G2165" s="37">
        <v>42476.538194444445</v>
      </c>
      <c r="H2165" s="1" t="s">
        <v>6</v>
      </c>
      <c r="I2165" s="1" t="s">
        <v>38</v>
      </c>
      <c r="J2165" s="1">
        <v>42476.608854166669</v>
      </c>
      <c r="K2165" s="1" t="s">
        <v>39</v>
      </c>
      <c r="L2165" s="14">
        <f>24*(TblTimeSheet[[#This Row],[End Date and Time]]-TblTimeSheet[[#This Row],[Start Date and Time]])</f>
        <v>0.16666666668606922</v>
      </c>
      <c r="M21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5" s="14">
        <f>--(0&gt;(TblTimeSheet[[#This Row],[End Date and Time]]-TblTimeSheet[[#This Row],[Start Date and Time]]))</f>
        <v>0</v>
      </c>
    </row>
    <row r="2166" spans="1:14" x14ac:dyDescent="0.25">
      <c r="A2166" s="1"/>
      <c r="B2166" s="2" t="s">
        <v>917</v>
      </c>
      <c r="C2166" s="2" t="s">
        <v>36</v>
      </c>
      <c r="D2166" s="2" t="s">
        <v>32</v>
      </c>
      <c r="E2166" s="7" t="s">
        <v>3756</v>
      </c>
      <c r="F2166" s="37">
        <v>42476.53125</v>
      </c>
      <c r="G2166" s="37">
        <v>42476.555555555555</v>
      </c>
      <c r="H2166" s="1" t="s">
        <v>6</v>
      </c>
      <c r="I2166" s="1" t="s">
        <v>38</v>
      </c>
      <c r="J2166" s="1">
        <v>42476.608912037038</v>
      </c>
      <c r="K2166" s="1" t="s">
        <v>36</v>
      </c>
      <c r="L2166" s="14">
        <f>24*(TblTimeSheet[[#This Row],[End Date and Time]]-TblTimeSheet[[#This Row],[Start Date and Time]])</f>
        <v>0.58333333331393078</v>
      </c>
      <c r="M21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6" s="14">
        <f>--(0&gt;(TblTimeSheet[[#This Row],[End Date and Time]]-TblTimeSheet[[#This Row],[Start Date and Time]]))</f>
        <v>0</v>
      </c>
    </row>
    <row r="2167" spans="1:14" x14ac:dyDescent="0.25">
      <c r="A2167" s="1"/>
      <c r="B2167" s="2" t="s">
        <v>917</v>
      </c>
      <c r="C2167" s="2" t="s">
        <v>118</v>
      </c>
      <c r="D2167" s="2" t="s">
        <v>32</v>
      </c>
      <c r="E2167" s="7" t="s">
        <v>3757</v>
      </c>
      <c r="F2167" s="37">
        <v>42476.538194444445</v>
      </c>
      <c r="G2167" s="37">
        <v>42476.555555555555</v>
      </c>
      <c r="H2167" s="1" t="s">
        <v>6</v>
      </c>
      <c r="I2167" s="1" t="s">
        <v>38</v>
      </c>
      <c r="J2167" s="1">
        <v>42476.62190972222</v>
      </c>
      <c r="K2167" s="1" t="s">
        <v>118</v>
      </c>
      <c r="L2167" s="14">
        <f>24*(TblTimeSheet[[#This Row],[End Date and Time]]-TblTimeSheet[[#This Row],[Start Date and Time]])</f>
        <v>0.41666666662786156</v>
      </c>
      <c r="M21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7" s="14">
        <f>--(0&gt;(TblTimeSheet[[#This Row],[End Date and Time]]-TblTimeSheet[[#This Row],[Start Date and Time]]))</f>
        <v>0</v>
      </c>
    </row>
    <row r="2168" spans="1:14" x14ac:dyDescent="0.25">
      <c r="A2168" s="1"/>
      <c r="B2168" s="2" t="s">
        <v>2870</v>
      </c>
      <c r="C2168" s="2" t="s">
        <v>118</v>
      </c>
      <c r="D2168" s="2" t="s">
        <v>32</v>
      </c>
      <c r="E2168" s="7" t="s">
        <v>3172</v>
      </c>
      <c r="F2168" s="37">
        <v>42476.625</v>
      </c>
      <c r="G2168" s="37">
        <v>42476.638888888891</v>
      </c>
      <c r="H2168" s="1" t="s">
        <v>6</v>
      </c>
      <c r="I2168" s="1" t="s">
        <v>38</v>
      </c>
      <c r="J2168" s="1">
        <v>42476.639965277776</v>
      </c>
      <c r="K2168" s="1" t="s">
        <v>118</v>
      </c>
      <c r="L2168" s="14">
        <f>24*(TblTimeSheet[[#This Row],[End Date and Time]]-TblTimeSheet[[#This Row],[Start Date and Time]])</f>
        <v>0.33333333337213844</v>
      </c>
      <c r="M21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68" s="14">
        <f>--(0&gt;(TblTimeSheet[[#This Row],[End Date and Time]]-TblTimeSheet[[#This Row],[Start Date and Time]]))</f>
        <v>0</v>
      </c>
    </row>
    <row r="2169" spans="1:14" ht="30" x14ac:dyDescent="0.25">
      <c r="A2169" s="1"/>
      <c r="B2169" s="2" t="s">
        <v>2870</v>
      </c>
      <c r="C2169" s="2" t="s">
        <v>116</v>
      </c>
      <c r="D2169" s="2" t="s">
        <v>32</v>
      </c>
      <c r="E2169" s="7" t="s">
        <v>3173</v>
      </c>
      <c r="F2169" s="37">
        <v>42476.625</v>
      </c>
      <c r="G2169" s="37">
        <v>42476.638888888891</v>
      </c>
      <c r="H2169" s="1" t="s">
        <v>6</v>
      </c>
      <c r="I2169" s="1" t="s">
        <v>38</v>
      </c>
      <c r="J2169" s="1">
        <v>42476.640856481485</v>
      </c>
      <c r="K2169" s="1" t="s">
        <v>39</v>
      </c>
      <c r="L2169" s="14">
        <f>24*(TblTimeSheet[[#This Row],[End Date and Time]]-TblTimeSheet[[#This Row],[Start Date and Time]])</f>
        <v>0.33333333337213844</v>
      </c>
      <c r="M21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69" s="14">
        <f>--(0&gt;(TblTimeSheet[[#This Row],[End Date and Time]]-TblTimeSheet[[#This Row],[Start Date and Time]]))</f>
        <v>0</v>
      </c>
    </row>
    <row r="2170" spans="1:14" x14ac:dyDescent="0.25">
      <c r="A2170" s="1"/>
      <c r="B2170" s="2" t="s">
        <v>2870</v>
      </c>
      <c r="C2170" s="2" t="s">
        <v>116</v>
      </c>
      <c r="D2170" s="2" t="s">
        <v>32</v>
      </c>
      <c r="E2170" s="7" t="s">
        <v>3758</v>
      </c>
      <c r="F2170" s="37">
        <v>42476.625</v>
      </c>
      <c r="G2170" s="37">
        <v>42476.638888888891</v>
      </c>
      <c r="H2170" s="1" t="s">
        <v>6</v>
      </c>
      <c r="I2170" s="1" t="s">
        <v>38</v>
      </c>
      <c r="J2170" s="1">
        <v>42476.644594907404</v>
      </c>
      <c r="K2170" s="1" t="s">
        <v>1026</v>
      </c>
      <c r="L2170" s="14">
        <f>24*(TblTimeSheet[[#This Row],[End Date and Time]]-TblTimeSheet[[#This Row],[Start Date and Time]])</f>
        <v>0.33333333337213844</v>
      </c>
      <c r="M21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70" s="14">
        <f>--(0&gt;(TblTimeSheet[[#This Row],[End Date and Time]]-TblTimeSheet[[#This Row],[Start Date and Time]]))</f>
        <v>0</v>
      </c>
    </row>
    <row r="2171" spans="1:14" ht="30" x14ac:dyDescent="0.25">
      <c r="A2171" s="1"/>
      <c r="B2171" s="2" t="s">
        <v>2870</v>
      </c>
      <c r="C2171" s="2" t="s">
        <v>41</v>
      </c>
      <c r="D2171" s="2" t="s">
        <v>32</v>
      </c>
      <c r="E2171" s="7" t="s">
        <v>3759</v>
      </c>
      <c r="F2171" s="37">
        <v>42476.625</v>
      </c>
      <c r="G2171" s="37">
        <v>42476.638888888891</v>
      </c>
      <c r="H2171" s="1" t="s">
        <v>6</v>
      </c>
      <c r="I2171" s="1" t="s">
        <v>38</v>
      </c>
      <c r="J2171" s="1">
        <v>42476.660636574074</v>
      </c>
      <c r="K2171" s="1" t="s">
        <v>41</v>
      </c>
      <c r="L2171" s="14">
        <f>24*(TblTimeSheet[[#This Row],[End Date and Time]]-TblTimeSheet[[#This Row],[Start Date and Time]])</f>
        <v>0.33333333337213844</v>
      </c>
      <c r="M21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1" s="14">
        <f>--(0&gt;(TblTimeSheet[[#This Row],[End Date and Time]]-TblTimeSheet[[#This Row],[Start Date and Time]]))</f>
        <v>0</v>
      </c>
    </row>
    <row r="2172" spans="1:14" x14ac:dyDescent="0.25">
      <c r="A2172" s="1"/>
      <c r="B2172" s="2" t="s">
        <v>2870</v>
      </c>
      <c r="C2172" s="2" t="s">
        <v>1105</v>
      </c>
      <c r="D2172" s="2" t="s">
        <v>32</v>
      </c>
      <c r="E2172" s="7" t="s">
        <v>3760</v>
      </c>
      <c r="F2172" s="37">
        <v>42476.625</v>
      </c>
      <c r="G2172" s="37">
        <v>42476.638888888891</v>
      </c>
      <c r="H2172" s="1" t="s">
        <v>6</v>
      </c>
      <c r="I2172" s="1" t="s">
        <v>38</v>
      </c>
      <c r="J2172" s="1">
        <v>42476.674004629633</v>
      </c>
      <c r="K2172" s="1" t="s">
        <v>2864</v>
      </c>
      <c r="L2172" s="14">
        <f>24*(TblTimeSheet[[#This Row],[End Date and Time]]-TblTimeSheet[[#This Row],[Start Date and Time]])</f>
        <v>0.33333333337213844</v>
      </c>
      <c r="M21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2" s="14">
        <f>--(0&gt;(TblTimeSheet[[#This Row],[End Date and Time]]-TblTimeSheet[[#This Row],[Start Date and Time]]))</f>
        <v>0</v>
      </c>
    </row>
    <row r="2173" spans="1:14" x14ac:dyDescent="0.25">
      <c r="A2173" s="1"/>
      <c r="B2173" s="2" t="s">
        <v>2874</v>
      </c>
      <c r="C2173" s="2" t="s">
        <v>1105</v>
      </c>
      <c r="D2173" s="2" t="s">
        <v>20</v>
      </c>
      <c r="E2173" s="7" t="s">
        <v>3174</v>
      </c>
      <c r="F2173" s="37">
        <v>42475.416666666664</v>
      </c>
      <c r="G2173" s="37">
        <v>42475.423611111109</v>
      </c>
      <c r="H2173" s="1" t="s">
        <v>6</v>
      </c>
      <c r="I2173" s="1" t="s">
        <v>38</v>
      </c>
      <c r="J2173" s="1">
        <v>42476.675625000003</v>
      </c>
      <c r="K2173" s="1" t="s">
        <v>2864</v>
      </c>
      <c r="L2173" s="14">
        <f>24*(TblTimeSheet[[#This Row],[End Date and Time]]-TblTimeSheet[[#This Row],[Start Date and Time]])</f>
        <v>0.16666666668606922</v>
      </c>
      <c r="M21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3" s="14">
        <f>--(0&gt;(TblTimeSheet[[#This Row],[End Date and Time]]-TblTimeSheet[[#This Row],[Start Date and Time]]))</f>
        <v>0</v>
      </c>
    </row>
    <row r="2174" spans="1:14" ht="30" x14ac:dyDescent="0.25">
      <c r="A2174" s="1"/>
      <c r="B2174" s="2" t="s">
        <v>915</v>
      </c>
      <c r="C2174" s="2" t="s">
        <v>116</v>
      </c>
      <c r="D2174" s="2" t="s">
        <v>34</v>
      </c>
      <c r="E2174" s="7" t="s">
        <v>3761</v>
      </c>
      <c r="F2174" s="37">
        <v>42476.607638888891</v>
      </c>
      <c r="G2174" s="37">
        <v>42476.621527777781</v>
      </c>
      <c r="H2174" s="1" t="s">
        <v>6</v>
      </c>
      <c r="I2174" s="1" t="s">
        <v>38</v>
      </c>
      <c r="J2174" s="1">
        <v>42476.677754629629</v>
      </c>
      <c r="K2174" s="1" t="s">
        <v>1026</v>
      </c>
      <c r="L2174" s="14">
        <f>24*(TblTimeSheet[[#This Row],[End Date and Time]]-TblTimeSheet[[#This Row],[Start Date and Time]])</f>
        <v>0.33333333337213844</v>
      </c>
      <c r="M21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4" s="14">
        <f>--(0&gt;(TblTimeSheet[[#This Row],[End Date and Time]]-TblTimeSheet[[#This Row],[Start Date and Time]]))</f>
        <v>0</v>
      </c>
    </row>
    <row r="2175" spans="1:14" ht="75" x14ac:dyDescent="0.25">
      <c r="A2175" s="1"/>
      <c r="B2175" s="2" t="s">
        <v>915</v>
      </c>
      <c r="C2175" s="2" t="s">
        <v>116</v>
      </c>
      <c r="D2175" s="2" t="s">
        <v>34</v>
      </c>
      <c r="E2175" s="7" t="s">
        <v>3762</v>
      </c>
      <c r="F2175" s="37">
        <v>42476.642361111109</v>
      </c>
      <c r="G2175" s="37">
        <v>42476.670138888891</v>
      </c>
      <c r="H2175" s="1" t="s">
        <v>6</v>
      </c>
      <c r="I2175" s="1" t="s">
        <v>38</v>
      </c>
      <c r="J2175" s="1">
        <v>42476.684837962966</v>
      </c>
      <c r="K2175" s="1" t="s">
        <v>1026</v>
      </c>
      <c r="L2175" s="14">
        <f>24*(TblTimeSheet[[#This Row],[End Date and Time]]-TblTimeSheet[[#This Row],[Start Date and Time]])</f>
        <v>0.66666666674427688</v>
      </c>
      <c r="M21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5" s="14">
        <f>--(0&gt;(TblTimeSheet[[#This Row],[End Date and Time]]-TblTimeSheet[[#This Row],[Start Date and Time]]))</f>
        <v>0</v>
      </c>
    </row>
    <row r="2176" spans="1:14" x14ac:dyDescent="0.25">
      <c r="A2176" s="1"/>
      <c r="B2176" s="2" t="s">
        <v>2870</v>
      </c>
      <c r="C2176" s="2" t="s">
        <v>116</v>
      </c>
      <c r="D2176" s="2" t="s">
        <v>32</v>
      </c>
      <c r="E2176" s="7" t="s">
        <v>3175</v>
      </c>
      <c r="F2176" s="37">
        <v>42476.694444444445</v>
      </c>
      <c r="G2176" s="37">
        <v>42476.715277777781</v>
      </c>
      <c r="H2176" s="1" t="s">
        <v>6</v>
      </c>
      <c r="I2176" s="1" t="s">
        <v>38</v>
      </c>
      <c r="J2176" s="1">
        <v>42476.725439814814</v>
      </c>
      <c r="K2176" s="1" t="s">
        <v>1026</v>
      </c>
      <c r="L2176" s="14">
        <f>24*(TblTimeSheet[[#This Row],[End Date and Time]]-TblTimeSheet[[#This Row],[Start Date and Time]])</f>
        <v>0.50000000005820766</v>
      </c>
      <c r="M21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6" s="14">
        <f>--(0&gt;(TblTimeSheet[[#This Row],[End Date and Time]]-TblTimeSheet[[#This Row],[Start Date and Time]]))</f>
        <v>0</v>
      </c>
    </row>
    <row r="2177" spans="1:14" x14ac:dyDescent="0.25">
      <c r="A2177" s="1"/>
      <c r="B2177" s="2" t="s">
        <v>915</v>
      </c>
      <c r="C2177" s="2" t="s">
        <v>116</v>
      </c>
      <c r="D2177" s="2" t="s">
        <v>34</v>
      </c>
      <c r="E2177" s="7" t="s">
        <v>3176</v>
      </c>
      <c r="F2177" s="37">
        <v>42476.4375</v>
      </c>
      <c r="G2177" s="37">
        <v>42476.479166666664</v>
      </c>
      <c r="H2177" s="1" t="s">
        <v>6</v>
      </c>
      <c r="I2177" s="1" t="s">
        <v>38</v>
      </c>
      <c r="J2177" s="1">
        <v>42476.729733796295</v>
      </c>
      <c r="K2177" s="1" t="s">
        <v>1026</v>
      </c>
      <c r="L2177" s="14">
        <f>24*(TblTimeSheet[[#This Row],[End Date and Time]]-TblTimeSheet[[#This Row],[Start Date and Time]])</f>
        <v>0.99999999994179234</v>
      </c>
      <c r="M21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7" s="14">
        <f>--(0&gt;(TblTimeSheet[[#This Row],[End Date and Time]]-TblTimeSheet[[#This Row],[Start Date and Time]]))</f>
        <v>0</v>
      </c>
    </row>
    <row r="2178" spans="1:14" x14ac:dyDescent="0.25">
      <c r="A2178" s="1"/>
      <c r="B2178" s="2" t="s">
        <v>2874</v>
      </c>
      <c r="C2178" s="2" t="s">
        <v>41</v>
      </c>
      <c r="D2178" s="2" t="s">
        <v>20</v>
      </c>
      <c r="E2178" s="7" t="s">
        <v>3177</v>
      </c>
      <c r="F2178" s="37">
        <v>42478.416666666664</v>
      </c>
      <c r="G2178" s="37">
        <v>42478.427083333336</v>
      </c>
      <c r="H2178" s="1" t="s">
        <v>6</v>
      </c>
      <c r="I2178" s="1" t="s">
        <v>38</v>
      </c>
      <c r="J2178" s="1">
        <v>42478.433437500003</v>
      </c>
      <c r="K2178" s="1" t="s">
        <v>41</v>
      </c>
      <c r="L2178" s="14">
        <f>24*(TblTimeSheet[[#This Row],[End Date and Time]]-TblTimeSheet[[#This Row],[Start Date and Time]])</f>
        <v>0.25000000011641532</v>
      </c>
      <c r="M21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8" s="14">
        <f>--(0&gt;(TblTimeSheet[[#This Row],[End Date and Time]]-TblTimeSheet[[#This Row],[Start Date and Time]]))</f>
        <v>0</v>
      </c>
    </row>
    <row r="2179" spans="1:14" x14ac:dyDescent="0.25">
      <c r="A2179" s="1"/>
      <c r="B2179" s="2" t="s">
        <v>2874</v>
      </c>
      <c r="C2179" s="2" t="s">
        <v>1117</v>
      </c>
      <c r="D2179" s="2" t="s">
        <v>20</v>
      </c>
      <c r="E2179" s="7" t="s">
        <v>3178</v>
      </c>
      <c r="F2179" s="37">
        <v>42478.416666666664</v>
      </c>
      <c r="G2179" s="37">
        <v>42478.427083333336</v>
      </c>
      <c r="H2179" s="1" t="s">
        <v>6</v>
      </c>
      <c r="I2179" s="1" t="s">
        <v>38</v>
      </c>
      <c r="J2179" s="1">
        <v>42478.433715277781</v>
      </c>
      <c r="K2179" s="1" t="s">
        <v>2865</v>
      </c>
      <c r="L2179" s="14">
        <f>24*(TblTimeSheet[[#This Row],[End Date and Time]]-TblTimeSheet[[#This Row],[Start Date and Time]])</f>
        <v>0.25000000011641532</v>
      </c>
      <c r="M21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79" s="14">
        <f>--(0&gt;(TblTimeSheet[[#This Row],[End Date and Time]]-TblTimeSheet[[#This Row],[Start Date and Time]]))</f>
        <v>0</v>
      </c>
    </row>
    <row r="2180" spans="1:14" x14ac:dyDescent="0.25">
      <c r="A2180" s="1"/>
      <c r="B2180" s="2" t="s">
        <v>2874</v>
      </c>
      <c r="C2180" s="2" t="s">
        <v>171</v>
      </c>
      <c r="D2180" s="2" t="s">
        <v>20</v>
      </c>
      <c r="E2180" s="7" t="s">
        <v>1142</v>
      </c>
      <c r="F2180" s="37">
        <v>42478.416666666664</v>
      </c>
      <c r="G2180" s="37">
        <v>42478.427083333336</v>
      </c>
      <c r="H2180" s="1" t="s">
        <v>6</v>
      </c>
      <c r="I2180" s="1" t="s">
        <v>38</v>
      </c>
      <c r="J2180" s="1">
        <v>42478.433969907404</v>
      </c>
      <c r="K2180" s="1" t="s">
        <v>171</v>
      </c>
      <c r="L2180" s="14">
        <f>24*(TblTimeSheet[[#This Row],[End Date and Time]]-TblTimeSheet[[#This Row],[Start Date and Time]])</f>
        <v>0.25000000011641532</v>
      </c>
      <c r="M21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0" s="14">
        <f>--(0&gt;(TblTimeSheet[[#This Row],[End Date and Time]]-TblTimeSheet[[#This Row],[Start Date and Time]]))</f>
        <v>0</v>
      </c>
    </row>
    <row r="2181" spans="1:14" x14ac:dyDescent="0.25">
      <c r="A2181" s="1"/>
      <c r="B2181" s="2" t="s">
        <v>917</v>
      </c>
      <c r="C2181" s="2" t="s">
        <v>116</v>
      </c>
      <c r="D2181" s="2" t="s">
        <v>32</v>
      </c>
      <c r="E2181" s="7" t="s">
        <v>3763</v>
      </c>
      <c r="F2181" s="37">
        <v>42478.381944444445</v>
      </c>
      <c r="G2181" s="37">
        <v>42478.465277777781</v>
      </c>
      <c r="H2181" s="1" t="s">
        <v>6</v>
      </c>
      <c r="I2181" s="1" t="s">
        <v>38</v>
      </c>
      <c r="J2181" s="1">
        <v>42478.465057870373</v>
      </c>
      <c r="K2181" s="1" t="s">
        <v>81</v>
      </c>
      <c r="L2181" s="14">
        <f>24*(TblTimeSheet[[#This Row],[End Date and Time]]-TblTimeSheet[[#This Row],[Start Date and Time]])</f>
        <v>2.0000000000582077</v>
      </c>
      <c r="M21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81" s="14">
        <f>--(0&gt;(TblTimeSheet[[#This Row],[End Date and Time]]-TblTimeSheet[[#This Row],[Start Date and Time]]))</f>
        <v>0</v>
      </c>
    </row>
    <row r="2182" spans="1:14" x14ac:dyDescent="0.25">
      <c r="A2182" s="1"/>
      <c r="B2182" s="2" t="s">
        <v>917</v>
      </c>
      <c r="C2182" s="2" t="s">
        <v>36</v>
      </c>
      <c r="D2182" s="2" t="s">
        <v>32</v>
      </c>
      <c r="E2182" s="7" t="s">
        <v>3764</v>
      </c>
      <c r="F2182" s="37">
        <v>42478.381944444445</v>
      </c>
      <c r="G2182" s="37">
        <v>42478.479166666664</v>
      </c>
      <c r="H2182" s="1" t="s">
        <v>6</v>
      </c>
      <c r="I2182" s="1" t="s">
        <v>38</v>
      </c>
      <c r="J2182" s="1">
        <v>42478.486944444441</v>
      </c>
      <c r="K2182" s="1" t="s">
        <v>36</v>
      </c>
      <c r="L2182" s="14">
        <f>24*(TblTimeSheet[[#This Row],[End Date and Time]]-TblTimeSheet[[#This Row],[Start Date and Time]])</f>
        <v>2.3333333332557231</v>
      </c>
      <c r="M21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2" s="14">
        <f>--(0&gt;(TblTimeSheet[[#This Row],[End Date and Time]]-TblTimeSheet[[#This Row],[Start Date and Time]]))</f>
        <v>0</v>
      </c>
    </row>
    <row r="2183" spans="1:14" x14ac:dyDescent="0.25">
      <c r="A2183" s="1"/>
      <c r="B2183" s="2" t="s">
        <v>2874</v>
      </c>
      <c r="C2183" s="2" t="s">
        <v>116</v>
      </c>
      <c r="D2183" s="2" t="s">
        <v>20</v>
      </c>
      <c r="E2183" s="7" t="s">
        <v>3179</v>
      </c>
      <c r="F2183" s="37">
        <v>42478.479166666664</v>
      </c>
      <c r="G2183" s="37">
        <v>42478.489583333336</v>
      </c>
      <c r="H2183" s="1" t="s">
        <v>6</v>
      </c>
      <c r="I2183" s="1" t="s">
        <v>38</v>
      </c>
      <c r="J2183" s="1">
        <v>42478.489594907405</v>
      </c>
      <c r="K2183" s="1" t="s">
        <v>39</v>
      </c>
      <c r="L2183" s="14">
        <f>24*(TblTimeSheet[[#This Row],[End Date and Time]]-TblTimeSheet[[#This Row],[Start Date and Time]])</f>
        <v>0.25000000011641532</v>
      </c>
      <c r="M21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83" s="14">
        <f>--(0&gt;(TblTimeSheet[[#This Row],[End Date and Time]]-TblTimeSheet[[#This Row],[Start Date and Time]]))</f>
        <v>0</v>
      </c>
    </row>
    <row r="2184" spans="1:14" x14ac:dyDescent="0.25">
      <c r="A2184" s="1"/>
      <c r="B2184" s="2" t="s">
        <v>2874</v>
      </c>
      <c r="C2184" s="2" t="s">
        <v>1469</v>
      </c>
      <c r="D2184" s="2" t="s">
        <v>20</v>
      </c>
      <c r="E2184" s="7" t="s">
        <v>3180</v>
      </c>
      <c r="F2184" s="37">
        <v>42478.479166666664</v>
      </c>
      <c r="G2184" s="37">
        <v>42478.489583333336</v>
      </c>
      <c r="H2184" s="1" t="s">
        <v>6</v>
      </c>
      <c r="I2184" s="1" t="s">
        <v>38</v>
      </c>
      <c r="J2184" s="1">
        <v>42478.491157407407</v>
      </c>
      <c r="K2184" s="1" t="s">
        <v>1469</v>
      </c>
      <c r="L2184" s="14">
        <f>24*(TblTimeSheet[[#This Row],[End Date and Time]]-TblTimeSheet[[#This Row],[Start Date and Time]])</f>
        <v>0.25000000011641532</v>
      </c>
      <c r="M21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4" s="14">
        <f>--(0&gt;(TblTimeSheet[[#This Row],[End Date and Time]]-TblTimeSheet[[#This Row],[Start Date and Time]]))</f>
        <v>0</v>
      </c>
    </row>
    <row r="2185" spans="1:14" x14ac:dyDescent="0.25">
      <c r="A2185" s="1"/>
      <c r="B2185" s="2" t="s">
        <v>917</v>
      </c>
      <c r="C2185" s="2" t="s">
        <v>36</v>
      </c>
      <c r="D2185" s="2" t="s">
        <v>33</v>
      </c>
      <c r="E2185" s="7" t="s">
        <v>3765</v>
      </c>
      <c r="F2185" s="37">
        <v>42478.5</v>
      </c>
      <c r="G2185" s="37">
        <v>42478.53125</v>
      </c>
      <c r="H2185" s="1" t="s">
        <v>6</v>
      </c>
      <c r="I2185" s="1" t="s">
        <v>38</v>
      </c>
      <c r="J2185" s="1">
        <v>42478.531539351854</v>
      </c>
      <c r="K2185" s="1" t="s">
        <v>36</v>
      </c>
      <c r="L2185" s="14">
        <f>24*(TblTimeSheet[[#This Row],[End Date and Time]]-TblTimeSheet[[#This Row],[Start Date and Time]])</f>
        <v>0.75</v>
      </c>
      <c r="M21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5" s="14">
        <f>--(0&gt;(TblTimeSheet[[#This Row],[End Date and Time]]-TblTimeSheet[[#This Row],[Start Date and Time]]))</f>
        <v>0</v>
      </c>
    </row>
    <row r="2186" spans="1:14" x14ac:dyDescent="0.25">
      <c r="A2186" s="1"/>
      <c r="B2186" s="2" t="s">
        <v>915</v>
      </c>
      <c r="C2186" s="2" t="s">
        <v>454</v>
      </c>
      <c r="D2186" s="2" t="s">
        <v>34</v>
      </c>
      <c r="E2186" s="7" t="s">
        <v>3181</v>
      </c>
      <c r="F2186" s="37">
        <v>42478.395833333336</v>
      </c>
      <c r="G2186" s="37">
        <v>42478.4375</v>
      </c>
      <c r="H2186" s="1" t="s">
        <v>6</v>
      </c>
      <c r="I2186" s="1" t="s">
        <v>38</v>
      </c>
      <c r="J2186" s="1">
        <v>42478.604456018518</v>
      </c>
      <c r="K2186" s="1" t="s">
        <v>454</v>
      </c>
      <c r="L2186" s="14">
        <f>24*(TblTimeSheet[[#This Row],[End Date and Time]]-TblTimeSheet[[#This Row],[Start Date and Time]])</f>
        <v>0.99999999994179234</v>
      </c>
      <c r="M21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6" s="14">
        <f>--(0&gt;(TblTimeSheet[[#This Row],[End Date and Time]]-TblTimeSheet[[#This Row],[Start Date and Time]]))</f>
        <v>0</v>
      </c>
    </row>
    <row r="2187" spans="1:14" x14ac:dyDescent="0.25">
      <c r="A2187" s="1"/>
      <c r="B2187" s="2" t="s">
        <v>915</v>
      </c>
      <c r="C2187" s="2" t="s">
        <v>454</v>
      </c>
      <c r="D2187" s="2" t="s">
        <v>34</v>
      </c>
      <c r="E2187" s="7" t="s">
        <v>3182</v>
      </c>
      <c r="F2187" s="37">
        <v>42478.4375</v>
      </c>
      <c r="G2187" s="37">
        <v>42478.458333333336</v>
      </c>
      <c r="H2187" s="1" t="s">
        <v>6</v>
      </c>
      <c r="I2187" s="1" t="s">
        <v>38</v>
      </c>
      <c r="J2187" s="1">
        <v>42478.607094907406</v>
      </c>
      <c r="K2187" s="1" t="s">
        <v>454</v>
      </c>
      <c r="L2187" s="14">
        <f>24*(TblTimeSheet[[#This Row],[End Date and Time]]-TblTimeSheet[[#This Row],[Start Date and Time]])</f>
        <v>0.50000000005820766</v>
      </c>
      <c r="M21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7" s="14">
        <f>--(0&gt;(TblTimeSheet[[#This Row],[End Date and Time]]-TblTimeSheet[[#This Row],[Start Date and Time]]))</f>
        <v>0</v>
      </c>
    </row>
    <row r="2188" spans="1:14" x14ac:dyDescent="0.25">
      <c r="A2188" s="1"/>
      <c r="B2188" s="2" t="s">
        <v>917</v>
      </c>
      <c r="C2188" s="2" t="s">
        <v>36</v>
      </c>
      <c r="D2188" s="2" t="s">
        <v>33</v>
      </c>
      <c r="E2188" s="7" t="s">
        <v>3766</v>
      </c>
      <c r="F2188" s="37">
        <v>42478.583333333336</v>
      </c>
      <c r="G2188" s="37">
        <v>42478.604166666664</v>
      </c>
      <c r="H2188" s="1" t="s">
        <v>6</v>
      </c>
      <c r="I2188" s="1" t="s">
        <v>38</v>
      </c>
      <c r="J2188" s="1">
        <v>42478.607395833336</v>
      </c>
      <c r="K2188" s="1" t="s">
        <v>36</v>
      </c>
      <c r="L2188" s="14">
        <f>24*(TblTimeSheet[[#This Row],[End Date and Time]]-TblTimeSheet[[#This Row],[Start Date and Time]])</f>
        <v>0.49999999988358468</v>
      </c>
      <c r="M21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8" s="14">
        <f>--(0&gt;(TblTimeSheet[[#This Row],[End Date and Time]]-TblTimeSheet[[#This Row],[Start Date and Time]]))</f>
        <v>0</v>
      </c>
    </row>
    <row r="2189" spans="1:14" ht="30" x14ac:dyDescent="0.25">
      <c r="A2189" s="1"/>
      <c r="B2189" s="2" t="s">
        <v>915</v>
      </c>
      <c r="C2189" s="2" t="s">
        <v>454</v>
      </c>
      <c r="D2189" s="2" t="s">
        <v>34</v>
      </c>
      <c r="E2189" s="7" t="s">
        <v>3183</v>
      </c>
      <c r="F2189" s="37">
        <v>42478.458333333336</v>
      </c>
      <c r="G2189" s="37">
        <v>42478.520833333336</v>
      </c>
      <c r="H2189" s="1" t="s">
        <v>6</v>
      </c>
      <c r="I2189" s="1" t="s">
        <v>38</v>
      </c>
      <c r="J2189" s="1">
        <v>42478.610625000001</v>
      </c>
      <c r="K2189" s="1" t="s">
        <v>454</v>
      </c>
      <c r="L2189" s="14">
        <f>24*(TblTimeSheet[[#This Row],[End Date and Time]]-TblTimeSheet[[#This Row],[Start Date and Time]])</f>
        <v>1.5</v>
      </c>
      <c r="M21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89" s="14">
        <f>--(0&gt;(TblTimeSheet[[#This Row],[End Date and Time]]-TblTimeSheet[[#This Row],[Start Date and Time]]))</f>
        <v>0</v>
      </c>
    </row>
    <row r="2190" spans="1:14" x14ac:dyDescent="0.25">
      <c r="A2190" s="1"/>
      <c r="B2190" s="2" t="s">
        <v>915</v>
      </c>
      <c r="C2190" s="2" t="s">
        <v>116</v>
      </c>
      <c r="D2190" s="2" t="s">
        <v>34</v>
      </c>
      <c r="E2190" s="7" t="s">
        <v>3184</v>
      </c>
      <c r="F2190" s="37">
        <v>42478.395833333336</v>
      </c>
      <c r="G2190" s="37">
        <v>42478.4375</v>
      </c>
      <c r="H2190" s="1" t="s">
        <v>6</v>
      </c>
      <c r="I2190" s="1" t="s">
        <v>38</v>
      </c>
      <c r="J2190" s="1">
        <v>42478.626192129632</v>
      </c>
      <c r="K2190" s="1" t="s">
        <v>1026</v>
      </c>
      <c r="L2190" s="14">
        <f>24*(TblTimeSheet[[#This Row],[End Date and Time]]-TblTimeSheet[[#This Row],[Start Date and Time]])</f>
        <v>0.99999999994179234</v>
      </c>
      <c r="M21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90" s="14">
        <f>--(0&gt;(TblTimeSheet[[#This Row],[End Date and Time]]-TblTimeSheet[[#This Row],[Start Date and Time]]))</f>
        <v>0</v>
      </c>
    </row>
    <row r="2191" spans="1:14" x14ac:dyDescent="0.25">
      <c r="A2191" s="1"/>
      <c r="B2191" s="2" t="s">
        <v>915</v>
      </c>
      <c r="C2191" s="2" t="s">
        <v>116</v>
      </c>
      <c r="D2191" s="2" t="s">
        <v>34</v>
      </c>
      <c r="E2191" s="7" t="s">
        <v>3185</v>
      </c>
      <c r="F2191" s="37">
        <v>42478.4375</v>
      </c>
      <c r="G2191" s="37">
        <v>42478.458333333336</v>
      </c>
      <c r="H2191" s="1" t="s">
        <v>6</v>
      </c>
      <c r="I2191" s="1" t="s">
        <v>38</v>
      </c>
      <c r="J2191" s="1">
        <v>42478.627557870372</v>
      </c>
      <c r="K2191" s="1" t="s">
        <v>1026</v>
      </c>
      <c r="L2191" s="14">
        <f>24*(TblTimeSheet[[#This Row],[End Date and Time]]-TblTimeSheet[[#This Row],[Start Date and Time]])</f>
        <v>0.50000000005820766</v>
      </c>
      <c r="M21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91" s="14">
        <f>--(0&gt;(TblTimeSheet[[#This Row],[End Date and Time]]-TblTimeSheet[[#This Row],[Start Date and Time]]))</f>
        <v>0</v>
      </c>
    </row>
    <row r="2192" spans="1:14" ht="45" x14ac:dyDescent="0.25">
      <c r="A2192" s="1"/>
      <c r="B2192" s="2" t="s">
        <v>915</v>
      </c>
      <c r="C2192" s="2" t="s">
        <v>116</v>
      </c>
      <c r="D2192" s="2" t="s">
        <v>34</v>
      </c>
      <c r="E2192" s="7" t="s">
        <v>3767</v>
      </c>
      <c r="F2192" s="37">
        <v>42478.458333333336</v>
      </c>
      <c r="G2192" s="37">
        <v>42478.520833333336</v>
      </c>
      <c r="H2192" s="1" t="s">
        <v>6</v>
      </c>
      <c r="I2192" s="1" t="s">
        <v>38</v>
      </c>
      <c r="J2192" s="1">
        <v>42478.62871527778</v>
      </c>
      <c r="K2192" s="1" t="s">
        <v>1026</v>
      </c>
      <c r="L2192" s="14">
        <f>24*(TblTimeSheet[[#This Row],[End Date and Time]]-TblTimeSheet[[#This Row],[Start Date and Time]])</f>
        <v>1.5</v>
      </c>
      <c r="M21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92" s="14">
        <f>--(0&gt;(TblTimeSheet[[#This Row],[End Date and Time]]-TblTimeSheet[[#This Row],[Start Date and Time]]))</f>
        <v>0</v>
      </c>
    </row>
    <row r="2193" spans="1:14" x14ac:dyDescent="0.25">
      <c r="A2193" s="1"/>
      <c r="B2193" s="2" t="s">
        <v>915</v>
      </c>
      <c r="C2193" s="2" t="s">
        <v>116</v>
      </c>
      <c r="D2193" s="2" t="s">
        <v>34</v>
      </c>
      <c r="E2193" s="7" t="s">
        <v>3186</v>
      </c>
      <c r="F2193" s="37">
        <v>42478.645833333336</v>
      </c>
      <c r="G2193" s="37">
        <v>42478.6875</v>
      </c>
      <c r="H2193" s="1" t="s">
        <v>6</v>
      </c>
      <c r="I2193" s="1" t="s">
        <v>38</v>
      </c>
      <c r="J2193" s="1">
        <v>42478.692071759258</v>
      </c>
      <c r="K2193" s="1" t="s">
        <v>701</v>
      </c>
      <c r="L2193" s="14">
        <f>24*(TblTimeSheet[[#This Row],[End Date and Time]]-TblTimeSheet[[#This Row],[Start Date and Time]])</f>
        <v>0.99999999994179234</v>
      </c>
      <c r="M21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93" s="14">
        <f>--(0&gt;(TblTimeSheet[[#This Row],[End Date and Time]]-TblTimeSheet[[#This Row],[Start Date and Time]]))</f>
        <v>0</v>
      </c>
    </row>
    <row r="2194" spans="1:14" x14ac:dyDescent="0.25">
      <c r="A2194" s="1"/>
      <c r="B2194" s="2" t="s">
        <v>2870</v>
      </c>
      <c r="C2194" s="2" t="s">
        <v>116</v>
      </c>
      <c r="D2194" s="2" t="s">
        <v>32</v>
      </c>
      <c r="E2194" s="7" t="s">
        <v>3768</v>
      </c>
      <c r="F2194" s="37">
        <v>42478.5625</v>
      </c>
      <c r="G2194" s="37">
        <v>42478.6875</v>
      </c>
      <c r="H2194" s="1" t="s">
        <v>6</v>
      </c>
      <c r="I2194" s="1" t="s">
        <v>38</v>
      </c>
      <c r="J2194" s="1">
        <v>42478.696585648147</v>
      </c>
      <c r="K2194" s="1" t="s">
        <v>1026</v>
      </c>
      <c r="L2194" s="14">
        <f>24*(TblTimeSheet[[#This Row],[End Date and Time]]-TblTimeSheet[[#This Row],[Start Date and Time]])</f>
        <v>3</v>
      </c>
      <c r="M21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194" s="14">
        <f>--(0&gt;(TblTimeSheet[[#This Row],[End Date and Time]]-TblTimeSheet[[#This Row],[Start Date and Time]]))</f>
        <v>0</v>
      </c>
    </row>
    <row r="2195" spans="1:14" x14ac:dyDescent="0.25">
      <c r="A2195" s="1"/>
      <c r="B2195" s="2" t="s">
        <v>917</v>
      </c>
      <c r="C2195" s="2" t="s">
        <v>1503</v>
      </c>
      <c r="D2195" s="2" t="s">
        <v>33</v>
      </c>
      <c r="E2195" s="7" t="s">
        <v>3187</v>
      </c>
      <c r="F2195" s="37">
        <v>42478.625</v>
      </c>
      <c r="G2195" s="37">
        <v>42478.711805555555</v>
      </c>
      <c r="H2195" s="1" t="s">
        <v>6</v>
      </c>
      <c r="I2195" s="1" t="s">
        <v>38</v>
      </c>
      <c r="J2195" s="1">
        <v>42478.713067129633</v>
      </c>
      <c r="K2195" s="1" t="s">
        <v>2866</v>
      </c>
      <c r="L2195" s="14">
        <f>24*(TblTimeSheet[[#This Row],[End Date and Time]]-TblTimeSheet[[#This Row],[Start Date and Time]])</f>
        <v>2.0833333333139308</v>
      </c>
      <c r="M21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5" s="14">
        <f>--(0&gt;(TblTimeSheet[[#This Row],[End Date and Time]]-TblTimeSheet[[#This Row],[Start Date and Time]]))</f>
        <v>0</v>
      </c>
    </row>
    <row r="2196" spans="1:14" x14ac:dyDescent="0.25">
      <c r="A2196" s="1"/>
      <c r="B2196" s="2" t="s">
        <v>917</v>
      </c>
      <c r="C2196" s="2" t="s">
        <v>118</v>
      </c>
      <c r="D2196" s="2" t="s">
        <v>33</v>
      </c>
      <c r="E2196" s="7" t="s">
        <v>3188</v>
      </c>
      <c r="F2196" s="37">
        <v>42478.71875</v>
      </c>
      <c r="G2196" s="37">
        <v>42478.725694444445</v>
      </c>
      <c r="H2196" s="1" t="s">
        <v>6</v>
      </c>
      <c r="I2196" s="1" t="s">
        <v>38</v>
      </c>
      <c r="J2196" s="1">
        <v>42478.726956018516</v>
      </c>
      <c r="K2196" s="1" t="s">
        <v>118</v>
      </c>
      <c r="L2196" s="14">
        <f>24*(TblTimeSheet[[#This Row],[End Date and Time]]-TblTimeSheet[[#This Row],[Start Date and Time]])</f>
        <v>0.16666666668606922</v>
      </c>
      <c r="M21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6" s="14">
        <f>--(0&gt;(TblTimeSheet[[#This Row],[End Date and Time]]-TblTimeSheet[[#This Row],[Start Date and Time]]))</f>
        <v>0</v>
      </c>
    </row>
    <row r="2197" spans="1:14" x14ac:dyDescent="0.25">
      <c r="A2197" s="1"/>
      <c r="B2197" s="2" t="s">
        <v>917</v>
      </c>
      <c r="C2197" s="2" t="s">
        <v>171</v>
      </c>
      <c r="D2197" s="2" t="s">
        <v>33</v>
      </c>
      <c r="E2197" s="7" t="s">
        <v>3769</v>
      </c>
      <c r="F2197" s="37">
        <v>42478.71875</v>
      </c>
      <c r="G2197" s="37">
        <v>42478.725694444445</v>
      </c>
      <c r="H2197" s="1" t="s">
        <v>6</v>
      </c>
      <c r="I2197" s="1" t="s">
        <v>38</v>
      </c>
      <c r="J2197" s="1">
        <v>42478.728379629632</v>
      </c>
      <c r="K2197" s="1" t="s">
        <v>171</v>
      </c>
      <c r="L2197" s="14">
        <f>24*(TblTimeSheet[[#This Row],[End Date and Time]]-TblTimeSheet[[#This Row],[Start Date and Time]])</f>
        <v>0.16666666668606922</v>
      </c>
      <c r="M21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7" s="14">
        <f>--(0&gt;(TblTimeSheet[[#This Row],[End Date and Time]]-TblTimeSheet[[#This Row],[Start Date and Time]]))</f>
        <v>0</v>
      </c>
    </row>
    <row r="2198" spans="1:14" x14ac:dyDescent="0.25">
      <c r="A2198" s="1"/>
      <c r="B2198" s="2" t="s">
        <v>917</v>
      </c>
      <c r="C2198" s="2" t="s">
        <v>36</v>
      </c>
      <c r="D2198" s="2" t="s">
        <v>33</v>
      </c>
      <c r="E2198" s="7" t="s">
        <v>3770</v>
      </c>
      <c r="F2198" s="37">
        <v>42478.71875</v>
      </c>
      <c r="G2198" s="37">
        <v>42478.725694444445</v>
      </c>
      <c r="H2198" s="1" t="s">
        <v>6</v>
      </c>
      <c r="I2198" s="1" t="s">
        <v>38</v>
      </c>
      <c r="J2198" s="1">
        <v>42478.732372685183</v>
      </c>
      <c r="K2198" s="1" t="s">
        <v>36</v>
      </c>
      <c r="L2198" s="14">
        <f>24*(TblTimeSheet[[#This Row],[End Date and Time]]-TblTimeSheet[[#This Row],[Start Date and Time]])</f>
        <v>0.16666666668606922</v>
      </c>
      <c r="M21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8" s="14">
        <f>--(0&gt;(TblTimeSheet[[#This Row],[End Date and Time]]-TblTimeSheet[[#This Row],[Start Date and Time]]))</f>
        <v>0</v>
      </c>
    </row>
    <row r="2199" spans="1:14" x14ac:dyDescent="0.25">
      <c r="A2199" s="1"/>
      <c r="B2199" s="2" t="s">
        <v>917</v>
      </c>
      <c r="C2199" s="2" t="s">
        <v>1503</v>
      </c>
      <c r="D2199" s="2" t="s">
        <v>33</v>
      </c>
      <c r="E2199" s="7" t="s">
        <v>3189</v>
      </c>
      <c r="F2199" s="37">
        <v>42478.71875</v>
      </c>
      <c r="G2199" s="37">
        <v>42478.725694444445</v>
      </c>
      <c r="H2199" s="1" t="s">
        <v>6</v>
      </c>
      <c r="I2199" s="1" t="s">
        <v>38</v>
      </c>
      <c r="J2199" s="1">
        <v>42478.732835648145</v>
      </c>
      <c r="K2199" s="1" t="s">
        <v>2866</v>
      </c>
      <c r="L2199" s="14">
        <f>24*(TblTimeSheet[[#This Row],[End Date and Time]]-TblTimeSheet[[#This Row],[Start Date and Time]])</f>
        <v>0.16666666668606922</v>
      </c>
      <c r="M21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199" s="14">
        <f>--(0&gt;(TblTimeSheet[[#This Row],[End Date and Time]]-TblTimeSheet[[#This Row],[Start Date and Time]]))</f>
        <v>0</v>
      </c>
    </row>
    <row r="2200" spans="1:14" x14ac:dyDescent="0.25">
      <c r="A2200" s="1"/>
      <c r="B2200" s="2" t="s">
        <v>915</v>
      </c>
      <c r="C2200" s="2" t="s">
        <v>116</v>
      </c>
      <c r="D2200" s="2" t="s">
        <v>34</v>
      </c>
      <c r="E2200" s="7" t="s">
        <v>3771</v>
      </c>
      <c r="F2200" s="37">
        <v>42478.708333333336</v>
      </c>
      <c r="G2200" s="37">
        <v>42478.770833333336</v>
      </c>
      <c r="H2200" s="1" t="s">
        <v>6</v>
      </c>
      <c r="I2200" s="1" t="s">
        <v>38</v>
      </c>
      <c r="J2200" s="1">
        <v>42478.775208333333</v>
      </c>
      <c r="K2200" s="1" t="s">
        <v>701</v>
      </c>
      <c r="L2200" s="14">
        <f>24*(TblTimeSheet[[#This Row],[End Date and Time]]-TblTimeSheet[[#This Row],[Start Date and Time]])</f>
        <v>1.5</v>
      </c>
      <c r="M22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00" s="14">
        <f>--(0&gt;(TblTimeSheet[[#This Row],[End Date and Time]]-TblTimeSheet[[#This Row],[Start Date and Time]]))</f>
        <v>0</v>
      </c>
    </row>
    <row r="2201" spans="1:14" x14ac:dyDescent="0.25">
      <c r="A2201" s="1"/>
      <c r="B2201" s="2" t="s">
        <v>915</v>
      </c>
      <c r="C2201" s="2" t="s">
        <v>116</v>
      </c>
      <c r="D2201" s="2" t="s">
        <v>34</v>
      </c>
      <c r="E2201" s="7" t="s">
        <v>3190</v>
      </c>
      <c r="F2201" s="37">
        <v>42478.708333333336</v>
      </c>
      <c r="G2201" s="37">
        <v>42478.770833333336</v>
      </c>
      <c r="H2201" s="1" t="s">
        <v>6</v>
      </c>
      <c r="I2201" s="1" t="s">
        <v>38</v>
      </c>
      <c r="J2201" s="1">
        <v>42478.776493055557</v>
      </c>
      <c r="K2201" s="1" t="s">
        <v>81</v>
      </c>
      <c r="L2201" s="14">
        <f>24*(TblTimeSheet[[#This Row],[End Date and Time]]-TblTimeSheet[[#This Row],[Start Date and Time]])</f>
        <v>1.5</v>
      </c>
      <c r="M22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01" s="14">
        <f>--(0&gt;(TblTimeSheet[[#This Row],[End Date and Time]]-TblTimeSheet[[#This Row],[Start Date and Time]]))</f>
        <v>0</v>
      </c>
    </row>
    <row r="2202" spans="1:14" ht="30" x14ac:dyDescent="0.25">
      <c r="A2202" s="1"/>
      <c r="B2202" s="2" t="s">
        <v>917</v>
      </c>
      <c r="C2202" s="2" t="s">
        <v>36</v>
      </c>
      <c r="D2202" s="2" t="s">
        <v>33</v>
      </c>
      <c r="E2202" s="7" t="s">
        <v>3191</v>
      </c>
      <c r="F2202" s="37">
        <v>42479.385416666664</v>
      </c>
      <c r="G2202" s="37">
        <v>42479.399305555555</v>
      </c>
      <c r="H2202" s="1" t="s">
        <v>6</v>
      </c>
      <c r="I2202" s="1" t="s">
        <v>38</v>
      </c>
      <c r="J2202" s="1">
        <v>42479.399652777778</v>
      </c>
      <c r="K2202" s="1" t="s">
        <v>36</v>
      </c>
      <c r="L2202" s="14">
        <f>24*(TblTimeSheet[[#This Row],[End Date and Time]]-TblTimeSheet[[#This Row],[Start Date and Time]])</f>
        <v>0.33333333337213844</v>
      </c>
      <c r="M22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2" s="14">
        <f>--(0&gt;(TblTimeSheet[[#This Row],[End Date and Time]]-TblTimeSheet[[#This Row],[Start Date and Time]]))</f>
        <v>0</v>
      </c>
    </row>
    <row r="2203" spans="1:14" x14ac:dyDescent="0.25">
      <c r="A2203" s="1"/>
      <c r="B2203" s="2" t="s">
        <v>2870</v>
      </c>
      <c r="C2203" s="2" t="s">
        <v>116</v>
      </c>
      <c r="D2203" s="2" t="s">
        <v>32</v>
      </c>
      <c r="E2203" s="7" t="s">
        <v>3192</v>
      </c>
      <c r="F2203" s="37">
        <v>42478.701388888891</v>
      </c>
      <c r="G2203" s="37">
        <v>42478.75</v>
      </c>
      <c r="H2203" s="1" t="s">
        <v>6</v>
      </c>
      <c r="I2203" s="1" t="s">
        <v>38</v>
      </c>
      <c r="J2203" s="1">
        <v>42479.414976851855</v>
      </c>
      <c r="K2203" s="1" t="s">
        <v>1026</v>
      </c>
      <c r="L2203" s="14">
        <f>24*(TblTimeSheet[[#This Row],[End Date and Time]]-TblTimeSheet[[#This Row],[Start Date and Time]])</f>
        <v>1.1666666666278616</v>
      </c>
      <c r="M22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03" s="14">
        <f>--(0&gt;(TblTimeSheet[[#This Row],[End Date and Time]]-TblTimeSheet[[#This Row],[Start Date and Time]]))</f>
        <v>0</v>
      </c>
    </row>
    <row r="2204" spans="1:14" x14ac:dyDescent="0.25">
      <c r="A2204" s="1"/>
      <c r="B2204" s="2" t="s">
        <v>917</v>
      </c>
      <c r="C2204" s="2" t="s">
        <v>176</v>
      </c>
      <c r="D2204" s="2" t="s">
        <v>33</v>
      </c>
      <c r="E2204" s="7" t="s">
        <v>3193</v>
      </c>
      <c r="F2204" s="37">
        <v>42479.427083333336</v>
      </c>
      <c r="G2204" s="37">
        <v>42479.458333333336</v>
      </c>
      <c r="H2204" s="1" t="s">
        <v>6</v>
      </c>
      <c r="I2204" s="1" t="s">
        <v>38</v>
      </c>
      <c r="J2204" s="1">
        <v>42479.472974537035</v>
      </c>
      <c r="K2204" s="1" t="s">
        <v>176</v>
      </c>
      <c r="L2204" s="14">
        <f>24*(TblTimeSheet[[#This Row],[End Date and Time]]-TblTimeSheet[[#This Row],[Start Date and Time]])</f>
        <v>0.75</v>
      </c>
      <c r="M22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4" s="14">
        <f>--(0&gt;(TblTimeSheet[[#This Row],[End Date and Time]]-TblTimeSheet[[#This Row],[Start Date and Time]]))</f>
        <v>0</v>
      </c>
    </row>
    <row r="2205" spans="1:14" x14ac:dyDescent="0.25">
      <c r="A2205" s="1"/>
      <c r="B2205" s="2" t="s">
        <v>917</v>
      </c>
      <c r="C2205" s="2" t="s">
        <v>171</v>
      </c>
      <c r="D2205" s="2" t="s">
        <v>33</v>
      </c>
      <c r="E2205" s="7" t="s">
        <v>3194</v>
      </c>
      <c r="F2205" s="37">
        <v>42479.427083333336</v>
      </c>
      <c r="G2205" s="37">
        <v>42479.458333333336</v>
      </c>
      <c r="H2205" s="1" t="s">
        <v>6</v>
      </c>
      <c r="I2205" s="1" t="s">
        <v>38</v>
      </c>
      <c r="J2205" s="1">
        <v>42479.475752314815</v>
      </c>
      <c r="K2205" s="1" t="s">
        <v>171</v>
      </c>
      <c r="L2205" s="14">
        <f>24*(TblTimeSheet[[#This Row],[End Date and Time]]-TblTimeSheet[[#This Row],[Start Date and Time]])</f>
        <v>0.75</v>
      </c>
      <c r="M22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5" s="14">
        <f>--(0&gt;(TblTimeSheet[[#This Row],[End Date and Time]]-TblTimeSheet[[#This Row],[Start Date and Time]]))</f>
        <v>0</v>
      </c>
    </row>
    <row r="2206" spans="1:14" x14ac:dyDescent="0.25">
      <c r="A2206" s="1"/>
      <c r="B2206" s="2" t="s">
        <v>2870</v>
      </c>
      <c r="C2206" s="2" t="s">
        <v>116</v>
      </c>
      <c r="D2206" s="2" t="s">
        <v>32</v>
      </c>
      <c r="E2206" s="7" t="s">
        <v>3195</v>
      </c>
      <c r="F2206" s="37">
        <v>42479.416666666664</v>
      </c>
      <c r="G2206" s="37">
        <v>42479.534722222219</v>
      </c>
      <c r="H2206" s="1" t="s">
        <v>6</v>
      </c>
      <c r="I2206" s="1" t="s">
        <v>38</v>
      </c>
      <c r="J2206" s="1">
        <v>42479.542500000003</v>
      </c>
      <c r="K2206" s="1" t="s">
        <v>1026</v>
      </c>
      <c r="L2206" s="14">
        <f>24*(TblTimeSheet[[#This Row],[End Date and Time]]-TblTimeSheet[[#This Row],[Start Date and Time]])</f>
        <v>2.8333333333139308</v>
      </c>
      <c r="M22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6" s="14">
        <f>--(0&gt;(TblTimeSheet[[#This Row],[End Date and Time]]-TblTimeSheet[[#This Row],[Start Date and Time]]))</f>
        <v>0</v>
      </c>
    </row>
    <row r="2207" spans="1:14" x14ac:dyDescent="0.25">
      <c r="A2207" s="1"/>
      <c r="B2207" s="2" t="s">
        <v>917</v>
      </c>
      <c r="C2207" s="2" t="s">
        <v>1503</v>
      </c>
      <c r="D2207" s="2" t="s">
        <v>33</v>
      </c>
      <c r="E2207" s="7" t="s">
        <v>1674</v>
      </c>
      <c r="F2207" s="37">
        <v>42479.458333333336</v>
      </c>
      <c r="G2207" s="37">
        <v>42479.541666666664</v>
      </c>
      <c r="H2207" s="1" t="s">
        <v>6</v>
      </c>
      <c r="I2207" s="1" t="s">
        <v>38</v>
      </c>
      <c r="J2207" s="1">
        <v>42479.546446759261</v>
      </c>
      <c r="K2207" s="1" t="s">
        <v>2866</v>
      </c>
      <c r="L2207" s="14">
        <f>24*(TblTimeSheet[[#This Row],[End Date and Time]]-TblTimeSheet[[#This Row],[Start Date and Time]])</f>
        <v>1.9999999998835847</v>
      </c>
      <c r="M22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7" s="14">
        <f>--(0&gt;(TblTimeSheet[[#This Row],[End Date and Time]]-TblTimeSheet[[#This Row],[Start Date and Time]]))</f>
        <v>0</v>
      </c>
    </row>
    <row r="2208" spans="1:14" x14ac:dyDescent="0.25">
      <c r="A2208" s="1"/>
      <c r="B2208" s="2" t="s">
        <v>917</v>
      </c>
      <c r="C2208" s="2" t="s">
        <v>1503</v>
      </c>
      <c r="D2208" s="2" t="s">
        <v>33</v>
      </c>
      <c r="E2208" s="7" t="s">
        <v>3196</v>
      </c>
      <c r="F2208" s="37">
        <v>42479.583333333336</v>
      </c>
      <c r="G2208" s="37">
        <v>42479.635416666664</v>
      </c>
      <c r="H2208" s="1" t="s">
        <v>6</v>
      </c>
      <c r="I2208" s="1" t="s">
        <v>38</v>
      </c>
      <c r="J2208" s="1">
        <v>42479.634953703702</v>
      </c>
      <c r="K2208" s="1" t="s">
        <v>2866</v>
      </c>
      <c r="L2208" s="14">
        <f>24*(TblTimeSheet[[#This Row],[End Date and Time]]-TblTimeSheet[[#This Row],[Start Date and Time]])</f>
        <v>1.2499999998835847</v>
      </c>
      <c r="M22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8" s="14">
        <f>--(0&gt;(TblTimeSheet[[#This Row],[End Date and Time]]-TblTimeSheet[[#This Row],[Start Date and Time]]))</f>
        <v>0</v>
      </c>
    </row>
    <row r="2209" spans="1:14" x14ac:dyDescent="0.25">
      <c r="A2209" s="1"/>
      <c r="B2209" s="2" t="s">
        <v>915</v>
      </c>
      <c r="C2209" s="2" t="s">
        <v>116</v>
      </c>
      <c r="D2209" s="2" t="s">
        <v>35</v>
      </c>
      <c r="E2209" s="7" t="s">
        <v>781</v>
      </c>
      <c r="F2209" s="37">
        <v>42479.604166666664</v>
      </c>
      <c r="G2209" s="37">
        <v>42479.625</v>
      </c>
      <c r="H2209" s="1" t="s">
        <v>6</v>
      </c>
      <c r="I2209" s="1" t="s">
        <v>38</v>
      </c>
      <c r="J2209" s="1">
        <v>42479.662581018521</v>
      </c>
      <c r="K2209" s="1" t="s">
        <v>701</v>
      </c>
      <c r="L2209" s="14">
        <f>24*(TblTimeSheet[[#This Row],[End Date and Time]]-TblTimeSheet[[#This Row],[Start Date and Time]])</f>
        <v>0.50000000005820766</v>
      </c>
      <c r="M22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09" s="14">
        <f>--(0&gt;(TblTimeSheet[[#This Row],[End Date and Time]]-TblTimeSheet[[#This Row],[Start Date and Time]]))</f>
        <v>0</v>
      </c>
    </row>
    <row r="2210" spans="1:14" x14ac:dyDescent="0.25">
      <c r="A2210" s="1"/>
      <c r="B2210" s="2" t="s">
        <v>915</v>
      </c>
      <c r="C2210" s="2" t="s">
        <v>116</v>
      </c>
      <c r="D2210" s="2" t="s">
        <v>35</v>
      </c>
      <c r="E2210" s="7" t="s">
        <v>3197</v>
      </c>
      <c r="F2210" s="37">
        <v>42479.666666666664</v>
      </c>
      <c r="G2210" s="37">
        <v>42479.677083333336</v>
      </c>
      <c r="H2210" s="1" t="s">
        <v>6</v>
      </c>
      <c r="I2210" s="1" t="s">
        <v>38</v>
      </c>
      <c r="J2210" s="1">
        <v>42479.678240740737</v>
      </c>
      <c r="K2210" s="1" t="s">
        <v>701</v>
      </c>
      <c r="L2210" s="14">
        <f>24*(TblTimeSheet[[#This Row],[End Date and Time]]-TblTimeSheet[[#This Row],[Start Date and Time]])</f>
        <v>0.25000000011641532</v>
      </c>
      <c r="M22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0" s="14">
        <f>--(0&gt;(TblTimeSheet[[#This Row],[End Date and Time]]-TblTimeSheet[[#This Row],[Start Date and Time]]))</f>
        <v>0</v>
      </c>
    </row>
    <row r="2211" spans="1:14" x14ac:dyDescent="0.25">
      <c r="A2211" s="1"/>
      <c r="B2211" s="2" t="s">
        <v>917</v>
      </c>
      <c r="C2211" s="2" t="s">
        <v>36</v>
      </c>
      <c r="D2211" s="2" t="s">
        <v>33</v>
      </c>
      <c r="E2211" s="7" t="s">
        <v>3198</v>
      </c>
      <c r="F2211" s="37">
        <v>42479.6875</v>
      </c>
      <c r="G2211" s="37">
        <v>42479.722222222219</v>
      </c>
      <c r="H2211" s="1" t="s">
        <v>6</v>
      </c>
      <c r="I2211" s="1" t="s">
        <v>38</v>
      </c>
      <c r="J2211" s="1">
        <v>42479.725613425922</v>
      </c>
      <c r="K2211" s="1" t="s">
        <v>36</v>
      </c>
      <c r="L2211" s="14">
        <f>24*(TblTimeSheet[[#This Row],[End Date and Time]]-TblTimeSheet[[#This Row],[Start Date and Time]])</f>
        <v>0.83333333325572312</v>
      </c>
      <c r="M22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1" s="14">
        <f>--(0&gt;(TblTimeSheet[[#This Row],[End Date and Time]]-TblTimeSheet[[#This Row],[Start Date and Time]]))</f>
        <v>0</v>
      </c>
    </row>
    <row r="2212" spans="1:14" x14ac:dyDescent="0.25">
      <c r="A2212" s="1"/>
      <c r="B2212" s="2" t="s">
        <v>917</v>
      </c>
      <c r="C2212" s="2" t="s">
        <v>171</v>
      </c>
      <c r="D2212" s="2" t="s">
        <v>33</v>
      </c>
      <c r="E2212" s="7" t="s">
        <v>3198</v>
      </c>
      <c r="F2212" s="37">
        <v>42479.6875</v>
      </c>
      <c r="G2212" s="37">
        <v>42479.715277777781</v>
      </c>
      <c r="H2212" s="1" t="s">
        <v>6</v>
      </c>
      <c r="I2212" s="1" t="s">
        <v>38</v>
      </c>
      <c r="J2212" s="1">
        <v>42479.726631944446</v>
      </c>
      <c r="K2212" s="1" t="s">
        <v>171</v>
      </c>
      <c r="L2212" s="14">
        <f>24*(TblTimeSheet[[#This Row],[End Date and Time]]-TblTimeSheet[[#This Row],[Start Date and Time]])</f>
        <v>0.66666666674427688</v>
      </c>
      <c r="M22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2" s="14">
        <f>--(0&gt;(TblTimeSheet[[#This Row],[End Date and Time]]-TblTimeSheet[[#This Row],[Start Date and Time]]))</f>
        <v>0</v>
      </c>
    </row>
    <row r="2213" spans="1:14" x14ac:dyDescent="0.25">
      <c r="A2213" s="1"/>
      <c r="B2213" s="2" t="s">
        <v>917</v>
      </c>
      <c r="C2213" s="2" t="s">
        <v>144</v>
      </c>
      <c r="D2213" s="2" t="s">
        <v>33</v>
      </c>
      <c r="E2213" s="7" t="s">
        <v>3198</v>
      </c>
      <c r="F2213" s="37">
        <v>42479.6875</v>
      </c>
      <c r="G2213" s="37">
        <v>42479.715277777781</v>
      </c>
      <c r="H2213" s="1" t="s">
        <v>6</v>
      </c>
      <c r="I2213" s="1" t="s">
        <v>38</v>
      </c>
      <c r="J2213" s="1">
        <v>42479.727662037039</v>
      </c>
      <c r="K2213" s="1" t="s">
        <v>144</v>
      </c>
      <c r="L2213" s="14">
        <f>24*(TblTimeSheet[[#This Row],[End Date and Time]]-TblTimeSheet[[#This Row],[Start Date and Time]])</f>
        <v>0.66666666674427688</v>
      </c>
      <c r="M22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3" s="14">
        <f>--(0&gt;(TblTimeSheet[[#This Row],[End Date and Time]]-TblTimeSheet[[#This Row],[Start Date and Time]]))</f>
        <v>0</v>
      </c>
    </row>
    <row r="2214" spans="1:14" x14ac:dyDescent="0.25">
      <c r="A2214" s="1"/>
      <c r="B2214" s="2" t="s">
        <v>917</v>
      </c>
      <c r="C2214" s="2" t="s">
        <v>1503</v>
      </c>
      <c r="D2214" s="2" t="s">
        <v>33</v>
      </c>
      <c r="E2214" s="7" t="s">
        <v>3199</v>
      </c>
      <c r="F2214" s="37">
        <v>42479.6875</v>
      </c>
      <c r="G2214" s="37">
        <v>42479.715277777781</v>
      </c>
      <c r="H2214" s="1" t="s">
        <v>6</v>
      </c>
      <c r="I2214" s="1" t="s">
        <v>38</v>
      </c>
      <c r="J2214" s="1">
        <v>42480.547905092593</v>
      </c>
      <c r="K2214" s="1" t="s">
        <v>2866</v>
      </c>
      <c r="L2214" s="14">
        <f>24*(TblTimeSheet[[#This Row],[End Date and Time]]-TblTimeSheet[[#This Row],[Start Date and Time]])</f>
        <v>0.66666666674427688</v>
      </c>
      <c r="M22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4" s="14">
        <f>--(0&gt;(TblTimeSheet[[#This Row],[End Date and Time]]-TblTimeSheet[[#This Row],[Start Date and Time]]))</f>
        <v>0</v>
      </c>
    </row>
    <row r="2215" spans="1:14" x14ac:dyDescent="0.25">
      <c r="A2215" s="1"/>
      <c r="B2215" s="2" t="s">
        <v>917</v>
      </c>
      <c r="C2215" s="2" t="s">
        <v>118</v>
      </c>
      <c r="D2215" s="2" t="s">
        <v>33</v>
      </c>
      <c r="E2215" s="7" t="s">
        <v>3200</v>
      </c>
      <c r="F2215" s="37">
        <v>42479.6875</v>
      </c>
      <c r="G2215" s="37">
        <v>42479.715277777781</v>
      </c>
      <c r="H2215" s="1" t="s">
        <v>6</v>
      </c>
      <c r="I2215" s="1" t="s">
        <v>38</v>
      </c>
      <c r="J2215" s="1">
        <v>42479.732430555552</v>
      </c>
      <c r="K2215" s="1" t="s">
        <v>118</v>
      </c>
      <c r="L2215" s="14">
        <f>24*(TblTimeSheet[[#This Row],[End Date and Time]]-TblTimeSheet[[#This Row],[Start Date and Time]])</f>
        <v>0.66666666674427688</v>
      </c>
      <c r="M22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5" s="14">
        <f>--(0&gt;(TblTimeSheet[[#This Row],[End Date and Time]]-TblTimeSheet[[#This Row],[Start Date and Time]]))</f>
        <v>0</v>
      </c>
    </row>
    <row r="2216" spans="1:14" x14ac:dyDescent="0.25">
      <c r="A2216" s="1"/>
      <c r="B2216" s="2" t="s">
        <v>917</v>
      </c>
      <c r="C2216" s="2" t="s">
        <v>116</v>
      </c>
      <c r="D2216" s="2" t="s">
        <v>33</v>
      </c>
      <c r="E2216" s="7" t="s">
        <v>3772</v>
      </c>
      <c r="F2216" s="37">
        <v>42480.479166666664</v>
      </c>
      <c r="G2216" s="37">
        <v>42480.506944444445</v>
      </c>
      <c r="H2216" s="1" t="s">
        <v>6</v>
      </c>
      <c r="I2216" s="1" t="s">
        <v>38</v>
      </c>
      <c r="J2216" s="1">
        <v>42480.529097222221</v>
      </c>
      <c r="K2216" s="1" t="s">
        <v>81</v>
      </c>
      <c r="L2216" s="14">
        <f>24*(TblTimeSheet[[#This Row],[End Date and Time]]-TblTimeSheet[[#This Row],[Start Date and Time]])</f>
        <v>0.66666666674427688</v>
      </c>
      <c r="M22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6" s="14">
        <f>--(0&gt;(TblTimeSheet[[#This Row],[End Date and Time]]-TblTimeSheet[[#This Row],[Start Date and Time]]))</f>
        <v>0</v>
      </c>
    </row>
    <row r="2217" spans="1:14" x14ac:dyDescent="0.25">
      <c r="A2217" s="1"/>
      <c r="B2217" s="2" t="s">
        <v>917</v>
      </c>
      <c r="C2217" s="2" t="s">
        <v>36</v>
      </c>
      <c r="D2217" s="2" t="s">
        <v>33</v>
      </c>
      <c r="E2217" s="7" t="s">
        <v>3201</v>
      </c>
      <c r="F2217" s="37">
        <v>42480.479166666664</v>
      </c>
      <c r="G2217" s="37">
        <v>42480.506944444445</v>
      </c>
      <c r="H2217" s="1" t="s">
        <v>6</v>
      </c>
      <c r="I2217" s="1" t="s">
        <v>38</v>
      </c>
      <c r="J2217" s="1">
        <v>42480.53869212963</v>
      </c>
      <c r="K2217" s="1" t="s">
        <v>36</v>
      </c>
      <c r="L2217" s="14">
        <f>24*(TblTimeSheet[[#This Row],[End Date and Time]]-TblTimeSheet[[#This Row],[Start Date and Time]])</f>
        <v>0.66666666674427688</v>
      </c>
      <c r="M22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7" s="14">
        <f>--(0&gt;(TblTimeSheet[[#This Row],[End Date and Time]]-TblTimeSheet[[#This Row],[Start Date and Time]]))</f>
        <v>0</v>
      </c>
    </row>
    <row r="2218" spans="1:14" x14ac:dyDescent="0.25">
      <c r="A2218" s="1"/>
      <c r="B2218" s="2" t="s">
        <v>917</v>
      </c>
      <c r="C2218" s="2" t="s">
        <v>36</v>
      </c>
      <c r="D2218" s="2" t="s">
        <v>33</v>
      </c>
      <c r="E2218" s="7" t="s">
        <v>3202</v>
      </c>
      <c r="F2218" s="37">
        <v>42480.53125</v>
      </c>
      <c r="G2218" s="37">
        <v>42480.534722222219</v>
      </c>
      <c r="H2218" s="1" t="s">
        <v>6</v>
      </c>
      <c r="I2218" s="1" t="s">
        <v>38</v>
      </c>
      <c r="J2218" s="1">
        <v>42481.739664351851</v>
      </c>
      <c r="K2218" s="1" t="s">
        <v>36</v>
      </c>
      <c r="L2218" s="14">
        <f>24*(TblTimeSheet[[#This Row],[End Date and Time]]-TblTimeSheet[[#This Row],[Start Date and Time]])</f>
        <v>8.3333333255723119E-2</v>
      </c>
      <c r="M22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8" s="14">
        <f>--(0&gt;(TblTimeSheet[[#This Row],[End Date and Time]]-TblTimeSheet[[#This Row],[Start Date and Time]]))</f>
        <v>0</v>
      </c>
    </row>
    <row r="2219" spans="1:14" x14ac:dyDescent="0.25">
      <c r="A2219" s="1"/>
      <c r="B2219" s="2" t="s">
        <v>917</v>
      </c>
      <c r="C2219" s="2" t="s">
        <v>36</v>
      </c>
      <c r="D2219" s="2" t="s">
        <v>34</v>
      </c>
      <c r="E2219" s="7" t="s">
        <v>3203</v>
      </c>
      <c r="F2219" s="37">
        <v>42480.583333333336</v>
      </c>
      <c r="G2219" s="37">
        <v>42480.604166666664</v>
      </c>
      <c r="H2219" s="1" t="s">
        <v>6</v>
      </c>
      <c r="I2219" s="1" t="s">
        <v>38</v>
      </c>
      <c r="J2219" s="1">
        <v>42480.603402777779</v>
      </c>
      <c r="K2219" s="1" t="s">
        <v>36</v>
      </c>
      <c r="L2219" s="14">
        <f>24*(TblTimeSheet[[#This Row],[End Date and Time]]-TblTimeSheet[[#This Row],[Start Date and Time]])</f>
        <v>0.49999999988358468</v>
      </c>
      <c r="M22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19" s="14">
        <f>--(0&gt;(TblTimeSheet[[#This Row],[End Date and Time]]-TblTimeSheet[[#This Row],[Start Date and Time]]))</f>
        <v>0</v>
      </c>
    </row>
    <row r="2220" spans="1:14" x14ac:dyDescent="0.25">
      <c r="A2220" s="1"/>
      <c r="B2220" s="2" t="s">
        <v>2870</v>
      </c>
      <c r="C2220" s="2" t="s">
        <v>116</v>
      </c>
      <c r="D2220" s="2" t="s">
        <v>32</v>
      </c>
      <c r="E2220" s="7" t="s">
        <v>3204</v>
      </c>
      <c r="F2220" s="37">
        <v>42480.5625</v>
      </c>
      <c r="G2220" s="37">
        <v>42480.583333333336</v>
      </c>
      <c r="H2220" s="1" t="s">
        <v>6</v>
      </c>
      <c r="I2220" s="1" t="s">
        <v>38</v>
      </c>
      <c r="J2220" s="1">
        <v>42480.611238425925</v>
      </c>
      <c r="K2220" s="1" t="s">
        <v>1026</v>
      </c>
      <c r="L2220" s="14">
        <f>24*(TblTimeSheet[[#This Row],[End Date and Time]]-TblTimeSheet[[#This Row],[Start Date and Time]])</f>
        <v>0.50000000005820766</v>
      </c>
      <c r="M22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0" s="14">
        <f>--(0&gt;(TblTimeSheet[[#This Row],[End Date and Time]]-TblTimeSheet[[#This Row],[Start Date and Time]]))</f>
        <v>0</v>
      </c>
    </row>
    <row r="2221" spans="1:14" x14ac:dyDescent="0.25">
      <c r="A2221" s="1"/>
      <c r="B2221" s="2" t="s">
        <v>2870</v>
      </c>
      <c r="C2221" s="2" t="s">
        <v>176</v>
      </c>
      <c r="D2221" s="2" t="s">
        <v>32</v>
      </c>
      <c r="E2221" s="7" t="s">
        <v>3205</v>
      </c>
      <c r="F2221" s="37">
        <v>42475.6875</v>
      </c>
      <c r="G2221" s="37">
        <v>42475.708333333336</v>
      </c>
      <c r="H2221" s="1" t="s">
        <v>6</v>
      </c>
      <c r="I2221" s="1" t="s">
        <v>38</v>
      </c>
      <c r="J2221" s="1">
        <v>42480.652777777781</v>
      </c>
      <c r="K2221" s="1" t="s">
        <v>176</v>
      </c>
      <c r="L2221" s="14">
        <f>24*(TblTimeSheet[[#This Row],[End Date and Time]]-TblTimeSheet[[#This Row],[Start Date and Time]])</f>
        <v>0.50000000005820766</v>
      </c>
      <c r="M22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1" s="14">
        <f>--(0&gt;(TblTimeSheet[[#This Row],[End Date and Time]]-TblTimeSheet[[#This Row],[Start Date and Time]]))</f>
        <v>0</v>
      </c>
    </row>
    <row r="2222" spans="1:14" x14ac:dyDescent="0.25">
      <c r="A2222" s="1"/>
      <c r="B2222" s="2" t="s">
        <v>917</v>
      </c>
      <c r="C2222" s="2" t="s">
        <v>36</v>
      </c>
      <c r="D2222" s="2" t="s">
        <v>34</v>
      </c>
      <c r="E2222" s="7" t="s">
        <v>3206</v>
      </c>
      <c r="F2222" s="37">
        <v>42480.635416666664</v>
      </c>
      <c r="G2222" s="37">
        <v>42480.645833333336</v>
      </c>
      <c r="H2222" s="1" t="s">
        <v>6</v>
      </c>
      <c r="I2222" s="1" t="s">
        <v>38</v>
      </c>
      <c r="J2222" s="1">
        <v>42480.659097222226</v>
      </c>
      <c r="K2222" s="1" t="s">
        <v>36</v>
      </c>
      <c r="L2222" s="14">
        <f>24*(TblTimeSheet[[#This Row],[End Date and Time]]-TblTimeSheet[[#This Row],[Start Date and Time]])</f>
        <v>0.25000000011641532</v>
      </c>
      <c r="M22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2" s="14">
        <f>--(0&gt;(TblTimeSheet[[#This Row],[End Date and Time]]-TblTimeSheet[[#This Row],[Start Date and Time]]))</f>
        <v>0</v>
      </c>
    </row>
    <row r="2223" spans="1:14" x14ac:dyDescent="0.25">
      <c r="A2223" s="1"/>
      <c r="B2223" s="2" t="s">
        <v>2870</v>
      </c>
      <c r="C2223" s="2" t="s">
        <v>41</v>
      </c>
      <c r="D2223" s="2" t="s">
        <v>32</v>
      </c>
      <c r="E2223" s="7" t="s">
        <v>3773</v>
      </c>
      <c r="F2223" s="37">
        <v>42480.680555555555</v>
      </c>
      <c r="G2223" s="37">
        <v>42480.694444444445</v>
      </c>
      <c r="H2223" s="1" t="s">
        <v>6</v>
      </c>
      <c r="I2223" s="1" t="s">
        <v>38</v>
      </c>
      <c r="J2223" s="1">
        <v>42480.694131944445</v>
      </c>
      <c r="K2223" s="1" t="s">
        <v>41</v>
      </c>
      <c r="L2223" s="14">
        <f>24*(TblTimeSheet[[#This Row],[End Date and Time]]-TblTimeSheet[[#This Row],[Start Date and Time]])</f>
        <v>0.33333333337213844</v>
      </c>
      <c r="M22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3" s="14">
        <f>--(0&gt;(TblTimeSheet[[#This Row],[End Date and Time]]-TblTimeSheet[[#This Row],[Start Date and Time]]))</f>
        <v>0</v>
      </c>
    </row>
    <row r="2224" spans="1:14" x14ac:dyDescent="0.25">
      <c r="A2224" s="1"/>
      <c r="B2224" s="2" t="s">
        <v>2870</v>
      </c>
      <c r="C2224" s="2" t="s">
        <v>118</v>
      </c>
      <c r="D2224" s="2" t="s">
        <v>32</v>
      </c>
      <c r="E2224" s="7" t="s">
        <v>1617</v>
      </c>
      <c r="F2224" s="37">
        <v>42480.680555555555</v>
      </c>
      <c r="G2224" s="37">
        <v>42480.694444444445</v>
      </c>
      <c r="H2224" s="1" t="s">
        <v>6</v>
      </c>
      <c r="I2224" s="1" t="s">
        <v>38</v>
      </c>
      <c r="J2224" s="1">
        <v>42480.695173611108</v>
      </c>
      <c r="K2224" s="1" t="s">
        <v>118</v>
      </c>
      <c r="L2224" s="14">
        <f>24*(TblTimeSheet[[#This Row],[End Date and Time]]-TblTimeSheet[[#This Row],[Start Date and Time]])</f>
        <v>0.33333333337213844</v>
      </c>
      <c r="M22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4" s="14">
        <f>--(0&gt;(TblTimeSheet[[#This Row],[End Date and Time]]-TblTimeSheet[[#This Row],[Start Date and Time]]))</f>
        <v>0</v>
      </c>
    </row>
    <row r="2225" spans="1:14" x14ac:dyDescent="0.25">
      <c r="A2225" s="1"/>
      <c r="B2225" s="2" t="s">
        <v>2870</v>
      </c>
      <c r="C2225" s="2" t="s">
        <v>116</v>
      </c>
      <c r="D2225" s="2" t="s">
        <v>32</v>
      </c>
      <c r="E2225" s="7" t="s">
        <v>3003</v>
      </c>
      <c r="F2225" s="37">
        <v>42480.680555555555</v>
      </c>
      <c r="G2225" s="37">
        <v>42480.694444444445</v>
      </c>
      <c r="H2225" s="1" t="s">
        <v>6</v>
      </c>
      <c r="I2225" s="1" t="s">
        <v>38</v>
      </c>
      <c r="J2225" s="1">
        <v>42480.697314814817</v>
      </c>
      <c r="K2225" s="1" t="s">
        <v>701</v>
      </c>
      <c r="L2225" s="14">
        <f>24*(TblTimeSheet[[#This Row],[End Date and Time]]-TblTimeSheet[[#This Row],[Start Date and Time]])</f>
        <v>0.33333333337213844</v>
      </c>
      <c r="M22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5" s="14">
        <f>--(0&gt;(TblTimeSheet[[#This Row],[End Date and Time]]-TblTimeSheet[[#This Row],[Start Date and Time]]))</f>
        <v>0</v>
      </c>
    </row>
    <row r="2226" spans="1:14" ht="30" x14ac:dyDescent="0.25">
      <c r="A2226" s="1"/>
      <c r="B2226" s="2" t="s">
        <v>2870</v>
      </c>
      <c r="C2226" s="2" t="s">
        <v>1105</v>
      </c>
      <c r="D2226" s="2" t="s">
        <v>32</v>
      </c>
      <c r="E2226" s="7" t="s">
        <v>3774</v>
      </c>
      <c r="F2226" s="37">
        <v>42480.715277777781</v>
      </c>
      <c r="G2226" s="37">
        <v>42480.732638888891</v>
      </c>
      <c r="H2226" s="1" t="s">
        <v>6</v>
      </c>
      <c r="I2226" s="1" t="s">
        <v>38</v>
      </c>
      <c r="J2226" s="1">
        <v>42480.735254629632</v>
      </c>
      <c r="K2226" s="1" t="s">
        <v>2864</v>
      </c>
      <c r="L2226" s="14">
        <f>24*(TblTimeSheet[[#This Row],[End Date and Time]]-TblTimeSheet[[#This Row],[Start Date and Time]])</f>
        <v>0.41666666662786156</v>
      </c>
      <c r="M22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6" s="14">
        <f>--(0&gt;(TblTimeSheet[[#This Row],[End Date and Time]]-TblTimeSheet[[#This Row],[Start Date and Time]]))</f>
        <v>0</v>
      </c>
    </row>
    <row r="2227" spans="1:14" x14ac:dyDescent="0.25">
      <c r="A2227" s="1"/>
      <c r="B2227" s="2" t="s">
        <v>915</v>
      </c>
      <c r="C2227" s="2" t="s">
        <v>116</v>
      </c>
      <c r="D2227" s="2" t="s">
        <v>35</v>
      </c>
      <c r="E2227" s="7" t="s">
        <v>3207</v>
      </c>
      <c r="F2227" s="37">
        <v>42481.427083333336</v>
      </c>
      <c r="G2227" s="37">
        <v>42481.444444444445</v>
      </c>
      <c r="H2227" s="1" t="s">
        <v>6</v>
      </c>
      <c r="I2227" s="1" t="s">
        <v>38</v>
      </c>
      <c r="J2227" s="1">
        <v>42481.450266203705</v>
      </c>
      <c r="K2227" s="1" t="s">
        <v>1026</v>
      </c>
      <c r="L2227" s="14">
        <f>24*(TblTimeSheet[[#This Row],[End Date and Time]]-TblTimeSheet[[#This Row],[Start Date and Time]])</f>
        <v>0.41666666662786156</v>
      </c>
      <c r="M22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27" s="14">
        <f>--(0&gt;(TblTimeSheet[[#This Row],[End Date and Time]]-TblTimeSheet[[#This Row],[Start Date and Time]]))</f>
        <v>0</v>
      </c>
    </row>
    <row r="2228" spans="1:14" x14ac:dyDescent="0.25">
      <c r="A2228" s="1"/>
      <c r="B2228" s="2" t="s">
        <v>915</v>
      </c>
      <c r="C2228" s="2" t="s">
        <v>116</v>
      </c>
      <c r="D2228" s="2" t="s">
        <v>35</v>
      </c>
      <c r="E2228" s="7" t="s">
        <v>3775</v>
      </c>
      <c r="F2228" s="37">
        <v>42481.427083333336</v>
      </c>
      <c r="G2228" s="37">
        <v>42481.444444444445</v>
      </c>
      <c r="H2228" s="1" t="s">
        <v>6</v>
      </c>
      <c r="I2228" s="1" t="s">
        <v>38</v>
      </c>
      <c r="J2228" s="1">
        <v>42481.467222222222</v>
      </c>
      <c r="K2228" s="1" t="s">
        <v>701</v>
      </c>
      <c r="L2228" s="14">
        <f>24*(TblTimeSheet[[#This Row],[End Date and Time]]-TblTimeSheet[[#This Row],[Start Date and Time]])</f>
        <v>0.41666666662786156</v>
      </c>
      <c r="M22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28" s="14">
        <f>--(0&gt;(TblTimeSheet[[#This Row],[End Date and Time]]-TblTimeSheet[[#This Row],[Start Date and Time]]))</f>
        <v>0</v>
      </c>
    </row>
    <row r="2229" spans="1:14" x14ac:dyDescent="0.25">
      <c r="A2229" s="1"/>
      <c r="B2229" s="2" t="s">
        <v>915</v>
      </c>
      <c r="C2229" s="2" t="s">
        <v>454</v>
      </c>
      <c r="D2229" s="2" t="s">
        <v>35</v>
      </c>
      <c r="E2229" s="7" t="s">
        <v>3208</v>
      </c>
      <c r="F2229" s="37">
        <v>42481.427083333336</v>
      </c>
      <c r="G2229" s="37">
        <v>42481.444444444445</v>
      </c>
      <c r="H2229" s="1" t="s">
        <v>6</v>
      </c>
      <c r="I2229" s="1" t="s">
        <v>38</v>
      </c>
      <c r="J2229" s="1">
        <v>42481.481400462966</v>
      </c>
      <c r="K2229" s="1" t="s">
        <v>454</v>
      </c>
      <c r="L2229" s="14">
        <f>24*(TblTimeSheet[[#This Row],[End Date and Time]]-TblTimeSheet[[#This Row],[Start Date and Time]])</f>
        <v>0.41666666662786156</v>
      </c>
      <c r="M22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29" s="14">
        <f>--(0&gt;(TblTimeSheet[[#This Row],[End Date and Time]]-TblTimeSheet[[#This Row],[Start Date and Time]]))</f>
        <v>0</v>
      </c>
    </row>
    <row r="2230" spans="1:14" x14ac:dyDescent="0.25">
      <c r="A2230" s="1"/>
      <c r="B2230" s="2" t="s">
        <v>915</v>
      </c>
      <c r="C2230" s="2" t="s">
        <v>1117</v>
      </c>
      <c r="D2230" s="2" t="s">
        <v>35</v>
      </c>
      <c r="E2230" s="7" t="s">
        <v>3209</v>
      </c>
      <c r="F2230" s="37">
        <v>42481.427083333336</v>
      </c>
      <c r="G2230" s="37">
        <v>42481.444444444445</v>
      </c>
      <c r="H2230" s="1" t="s">
        <v>6</v>
      </c>
      <c r="I2230" s="1" t="s">
        <v>38</v>
      </c>
      <c r="J2230" s="1">
        <v>42481.495405092595</v>
      </c>
      <c r="K2230" s="1" t="s">
        <v>2865</v>
      </c>
      <c r="L2230" s="14">
        <f>24*(TblTimeSheet[[#This Row],[End Date and Time]]-TblTimeSheet[[#This Row],[Start Date and Time]])</f>
        <v>0.41666666662786156</v>
      </c>
      <c r="M22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30" s="14">
        <f>--(0&gt;(TblTimeSheet[[#This Row],[End Date and Time]]-TblTimeSheet[[#This Row],[Start Date and Time]]))</f>
        <v>0</v>
      </c>
    </row>
    <row r="2231" spans="1:14" ht="30" x14ac:dyDescent="0.25">
      <c r="A2231" s="1"/>
      <c r="B2231" s="2" t="s">
        <v>915</v>
      </c>
      <c r="C2231" s="2" t="s">
        <v>116</v>
      </c>
      <c r="D2231" s="2" t="s">
        <v>35</v>
      </c>
      <c r="E2231" s="7" t="s">
        <v>3210</v>
      </c>
      <c r="F2231" s="37">
        <v>42481.427083333336</v>
      </c>
      <c r="G2231" s="37">
        <v>42481.444444444445</v>
      </c>
      <c r="H2231" s="1" t="s">
        <v>6</v>
      </c>
      <c r="I2231" s="1" t="s">
        <v>38</v>
      </c>
      <c r="J2231" s="1">
        <v>42481.497627314813</v>
      </c>
      <c r="K2231" s="1" t="s">
        <v>39</v>
      </c>
      <c r="L2231" s="14">
        <f>24*(TblTimeSheet[[#This Row],[End Date and Time]]-TblTimeSheet[[#This Row],[Start Date and Time]])</f>
        <v>0.41666666662786156</v>
      </c>
      <c r="M22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1" s="14">
        <f>--(0&gt;(TblTimeSheet[[#This Row],[End Date and Time]]-TblTimeSheet[[#This Row],[Start Date and Time]]))</f>
        <v>0</v>
      </c>
    </row>
    <row r="2232" spans="1:14" x14ac:dyDescent="0.25">
      <c r="A2232" s="1"/>
      <c r="B2232" s="2" t="s">
        <v>915</v>
      </c>
      <c r="C2232" s="2" t="s">
        <v>116</v>
      </c>
      <c r="D2232" s="2" t="s">
        <v>35</v>
      </c>
      <c r="E2232" s="7" t="s">
        <v>3211</v>
      </c>
      <c r="F2232" s="37">
        <v>42479.680555555555</v>
      </c>
      <c r="G2232" s="37">
        <v>42479.708333333336</v>
      </c>
      <c r="H2232" s="1" t="s">
        <v>6</v>
      </c>
      <c r="I2232" s="1" t="s">
        <v>38</v>
      </c>
      <c r="J2232" s="1">
        <v>42481.500138888892</v>
      </c>
      <c r="K2232" s="1" t="s">
        <v>701</v>
      </c>
      <c r="L2232" s="14">
        <f>24*(TblTimeSheet[[#This Row],[End Date and Time]]-TblTimeSheet[[#This Row],[Start Date and Time]])</f>
        <v>0.66666666674427688</v>
      </c>
      <c r="M22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2" s="14">
        <f>--(0&gt;(TblTimeSheet[[#This Row],[End Date and Time]]-TblTimeSheet[[#This Row],[Start Date and Time]]))</f>
        <v>0</v>
      </c>
    </row>
    <row r="2233" spans="1:14" x14ac:dyDescent="0.25">
      <c r="A2233" s="1"/>
      <c r="B2233" s="2" t="s">
        <v>915</v>
      </c>
      <c r="C2233" s="2" t="s">
        <v>116</v>
      </c>
      <c r="D2233" s="2" t="s">
        <v>35</v>
      </c>
      <c r="E2233" s="7" t="s">
        <v>3212</v>
      </c>
      <c r="F2233" s="37">
        <v>42481.5</v>
      </c>
      <c r="G2233" s="37">
        <v>42481.510416666664</v>
      </c>
      <c r="H2233" s="1" t="s">
        <v>6</v>
      </c>
      <c r="I2233" s="1" t="s">
        <v>38</v>
      </c>
      <c r="J2233" s="1">
        <v>42481.511400462965</v>
      </c>
      <c r="K2233" s="1" t="s">
        <v>39</v>
      </c>
      <c r="L2233" s="14">
        <f>24*(TblTimeSheet[[#This Row],[End Date and Time]]-TblTimeSheet[[#This Row],[Start Date and Time]])</f>
        <v>0.24999999994179234</v>
      </c>
      <c r="M22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3" s="14">
        <f>--(0&gt;(TblTimeSheet[[#This Row],[End Date and Time]]-TblTimeSheet[[#This Row],[Start Date and Time]]))</f>
        <v>0</v>
      </c>
    </row>
    <row r="2234" spans="1:14" x14ac:dyDescent="0.25">
      <c r="A2234" s="1"/>
      <c r="B2234" s="2" t="s">
        <v>915</v>
      </c>
      <c r="C2234" s="2" t="s">
        <v>116</v>
      </c>
      <c r="D2234" s="2" t="s">
        <v>35</v>
      </c>
      <c r="E2234" s="7" t="s">
        <v>3213</v>
      </c>
      <c r="F2234" s="37">
        <v>42479.680555555555</v>
      </c>
      <c r="G2234" s="37">
        <v>42479.6875</v>
      </c>
      <c r="H2234" s="1" t="s">
        <v>6</v>
      </c>
      <c r="I2234" s="1" t="s">
        <v>38</v>
      </c>
      <c r="J2234" s="1">
        <v>42481.516527777778</v>
      </c>
      <c r="K2234" s="1" t="s">
        <v>39</v>
      </c>
      <c r="L2234" s="14">
        <f>24*(TblTimeSheet[[#This Row],[End Date and Time]]-TblTimeSheet[[#This Row],[Start Date and Time]])</f>
        <v>0.16666666668606922</v>
      </c>
      <c r="M22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4" s="14">
        <f>--(0&gt;(TblTimeSheet[[#This Row],[End Date and Time]]-TblTimeSheet[[#This Row],[Start Date and Time]]))</f>
        <v>0</v>
      </c>
    </row>
    <row r="2235" spans="1:14" x14ac:dyDescent="0.25">
      <c r="A2235" s="1"/>
      <c r="B2235" s="2" t="s">
        <v>915</v>
      </c>
      <c r="C2235" s="2" t="s">
        <v>116</v>
      </c>
      <c r="D2235" s="2" t="s">
        <v>35</v>
      </c>
      <c r="E2235" s="7" t="s">
        <v>3214</v>
      </c>
      <c r="F2235" s="37">
        <v>42481.486111111109</v>
      </c>
      <c r="G2235" s="37">
        <v>42481.493055555555</v>
      </c>
      <c r="H2235" s="1" t="s">
        <v>6</v>
      </c>
      <c r="I2235" s="1" t="s">
        <v>38</v>
      </c>
      <c r="J2235" s="1">
        <v>42481.517974537041</v>
      </c>
      <c r="K2235" s="1" t="s">
        <v>39</v>
      </c>
      <c r="L2235" s="14">
        <f>24*(TblTimeSheet[[#This Row],[End Date and Time]]-TblTimeSheet[[#This Row],[Start Date and Time]])</f>
        <v>0.16666666668606922</v>
      </c>
      <c r="M22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35" s="14">
        <f>--(0&gt;(TblTimeSheet[[#This Row],[End Date and Time]]-TblTimeSheet[[#This Row],[Start Date and Time]]))</f>
        <v>0</v>
      </c>
    </row>
    <row r="2236" spans="1:14" x14ac:dyDescent="0.25">
      <c r="A2236" s="1"/>
      <c r="B2236" s="2" t="s">
        <v>915</v>
      </c>
      <c r="C2236" s="2" t="s">
        <v>116</v>
      </c>
      <c r="D2236" s="2" t="s">
        <v>35</v>
      </c>
      <c r="E2236" s="7" t="s">
        <v>3215</v>
      </c>
      <c r="F2236" s="37">
        <v>42481.5</v>
      </c>
      <c r="G2236" s="37">
        <v>42481.510416666664</v>
      </c>
      <c r="H2236" s="1" t="s">
        <v>6</v>
      </c>
      <c r="I2236" s="1" t="s">
        <v>38</v>
      </c>
      <c r="J2236" s="1">
        <v>42481.520405092589</v>
      </c>
      <c r="K2236" s="1" t="s">
        <v>701</v>
      </c>
      <c r="L2236" s="14">
        <f>24*(TblTimeSheet[[#This Row],[End Date and Time]]-TblTimeSheet[[#This Row],[Start Date and Time]])</f>
        <v>0.24999999994179234</v>
      </c>
      <c r="M22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6" s="14">
        <f>--(0&gt;(TblTimeSheet[[#This Row],[End Date and Time]]-TblTimeSheet[[#This Row],[Start Date and Time]]))</f>
        <v>0</v>
      </c>
    </row>
    <row r="2237" spans="1:14" x14ac:dyDescent="0.25">
      <c r="A2237" s="1"/>
      <c r="B2237" s="2" t="s">
        <v>915</v>
      </c>
      <c r="C2237" s="2" t="s">
        <v>116</v>
      </c>
      <c r="D2237" s="2" t="s">
        <v>35</v>
      </c>
      <c r="E2237" s="7" t="s">
        <v>3776</v>
      </c>
      <c r="F2237" s="37">
        <v>42481.427083333336</v>
      </c>
      <c r="G2237" s="37">
        <v>42481.444444444445</v>
      </c>
      <c r="H2237" s="1" t="s">
        <v>6</v>
      </c>
      <c r="I2237" s="1" t="s">
        <v>38</v>
      </c>
      <c r="J2237" s="1">
        <v>42481.522511574076</v>
      </c>
      <c r="K2237" s="1" t="s">
        <v>81</v>
      </c>
      <c r="L2237" s="14">
        <f>24*(TblTimeSheet[[#This Row],[End Date and Time]]-TblTimeSheet[[#This Row],[Start Date and Time]])</f>
        <v>0.41666666662786156</v>
      </c>
      <c r="M22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37" s="14">
        <f>--(0&gt;(TblTimeSheet[[#This Row],[End Date and Time]]-TblTimeSheet[[#This Row],[Start Date and Time]]))</f>
        <v>0</v>
      </c>
    </row>
    <row r="2238" spans="1:14" x14ac:dyDescent="0.25">
      <c r="A2238" s="1"/>
      <c r="B2238" s="2" t="s">
        <v>915</v>
      </c>
      <c r="C2238" s="2" t="s">
        <v>118</v>
      </c>
      <c r="D2238" s="2" t="s">
        <v>35</v>
      </c>
      <c r="E2238" s="7" t="s">
        <v>3216</v>
      </c>
      <c r="F2238" s="37">
        <v>42481.520833333336</v>
      </c>
      <c r="G2238" s="37">
        <v>42481.527777777781</v>
      </c>
      <c r="H2238" s="1" t="s">
        <v>6</v>
      </c>
      <c r="I2238" s="1" t="s">
        <v>38</v>
      </c>
      <c r="J2238" s="1">
        <v>42481.527013888888</v>
      </c>
      <c r="K2238" s="1" t="s">
        <v>118</v>
      </c>
      <c r="L2238" s="14">
        <f>24*(TblTimeSheet[[#This Row],[End Date and Time]]-TblTimeSheet[[#This Row],[Start Date and Time]])</f>
        <v>0.16666666668606922</v>
      </c>
      <c r="M22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38" s="14">
        <f>--(0&gt;(TblTimeSheet[[#This Row],[End Date and Time]]-TblTimeSheet[[#This Row],[Start Date and Time]]))</f>
        <v>0</v>
      </c>
    </row>
    <row r="2239" spans="1:14" x14ac:dyDescent="0.25">
      <c r="A2239" s="1"/>
      <c r="B2239" s="2" t="s">
        <v>917</v>
      </c>
      <c r="C2239" s="2" t="s">
        <v>144</v>
      </c>
      <c r="D2239" s="2" t="s">
        <v>34</v>
      </c>
      <c r="E2239" s="7" t="s">
        <v>3217</v>
      </c>
      <c r="F2239" s="37">
        <v>42481.416666666664</v>
      </c>
      <c r="G2239" s="37">
        <v>42481.541666666664</v>
      </c>
      <c r="H2239" s="1" t="s">
        <v>6</v>
      </c>
      <c r="I2239" s="1" t="s">
        <v>38</v>
      </c>
      <c r="J2239" s="1">
        <v>42481.726469907408</v>
      </c>
      <c r="K2239" s="1" t="s">
        <v>144</v>
      </c>
      <c r="L2239" s="14">
        <f>24*(TblTimeSheet[[#This Row],[End Date and Time]]-TblTimeSheet[[#This Row],[Start Date and Time]])</f>
        <v>3</v>
      </c>
      <c r="M22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39" s="14">
        <f>--(0&gt;(TblTimeSheet[[#This Row],[End Date and Time]]-TblTimeSheet[[#This Row],[Start Date and Time]]))</f>
        <v>0</v>
      </c>
    </row>
    <row r="2240" spans="1:14" x14ac:dyDescent="0.25">
      <c r="A2240" s="1"/>
      <c r="B2240" s="2" t="s">
        <v>917</v>
      </c>
      <c r="C2240" s="2" t="s">
        <v>144</v>
      </c>
      <c r="D2240" s="2" t="s">
        <v>34</v>
      </c>
      <c r="E2240" s="7" t="s">
        <v>3217</v>
      </c>
      <c r="F2240" s="37">
        <v>42481.625</v>
      </c>
      <c r="G2240" s="37">
        <v>42481.725694444445</v>
      </c>
      <c r="H2240" s="1" t="s">
        <v>6</v>
      </c>
      <c r="I2240" s="1" t="s">
        <v>38</v>
      </c>
      <c r="J2240" s="1">
        <v>42481.725868055553</v>
      </c>
      <c r="K2240" s="1" t="s">
        <v>144</v>
      </c>
      <c r="L2240" s="14">
        <f>24*(TblTimeSheet[[#This Row],[End Date and Time]]-TblTimeSheet[[#This Row],[Start Date and Time]])</f>
        <v>2.4166666666860692</v>
      </c>
      <c r="M22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0" s="14">
        <f>--(0&gt;(TblTimeSheet[[#This Row],[End Date and Time]]-TblTimeSheet[[#This Row],[Start Date and Time]]))</f>
        <v>0</v>
      </c>
    </row>
    <row r="2241" spans="1:14" x14ac:dyDescent="0.25">
      <c r="A2241" s="1"/>
      <c r="B2241" s="2" t="s">
        <v>915</v>
      </c>
      <c r="C2241" s="2" t="s">
        <v>116</v>
      </c>
      <c r="D2241" s="2" t="s">
        <v>35</v>
      </c>
      <c r="E2241" s="7" t="s">
        <v>3777</v>
      </c>
      <c r="F2241" s="37">
        <v>42481.715277777781</v>
      </c>
      <c r="G2241" s="37">
        <v>42481.736111111109</v>
      </c>
      <c r="H2241" s="1" t="s">
        <v>6</v>
      </c>
      <c r="I2241" s="1" t="s">
        <v>38</v>
      </c>
      <c r="J2241" s="1">
        <v>42481.736678240741</v>
      </c>
      <c r="K2241" s="1" t="s">
        <v>81</v>
      </c>
      <c r="L2241" s="14">
        <f>24*(TblTimeSheet[[#This Row],[End Date and Time]]-TblTimeSheet[[#This Row],[Start Date and Time]])</f>
        <v>0.49999999988358468</v>
      </c>
      <c r="M22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41" s="14">
        <f>--(0&gt;(TblTimeSheet[[#This Row],[End Date and Time]]-TblTimeSheet[[#This Row],[Start Date and Time]]))</f>
        <v>0</v>
      </c>
    </row>
    <row r="2242" spans="1:14" x14ac:dyDescent="0.25">
      <c r="A2242" s="1"/>
      <c r="B2242" s="2" t="s">
        <v>915</v>
      </c>
      <c r="C2242" s="2" t="s">
        <v>116</v>
      </c>
      <c r="D2242" s="2" t="s">
        <v>35</v>
      </c>
      <c r="E2242" s="7" t="s">
        <v>3218</v>
      </c>
      <c r="F2242" s="37">
        <v>42481.715277777781</v>
      </c>
      <c r="G2242" s="37">
        <v>42481.736111111109</v>
      </c>
      <c r="H2242" s="1" t="s">
        <v>6</v>
      </c>
      <c r="I2242" s="1" t="s">
        <v>38</v>
      </c>
      <c r="J2242" s="1">
        <v>42481.739236111112</v>
      </c>
      <c r="K2242" s="1" t="s">
        <v>701</v>
      </c>
      <c r="L2242" s="14">
        <f>24*(TblTimeSheet[[#This Row],[End Date and Time]]-TblTimeSheet[[#This Row],[Start Date and Time]])</f>
        <v>0.49999999988358468</v>
      </c>
      <c r="M22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42" s="14">
        <f>--(0&gt;(TblTimeSheet[[#This Row],[End Date and Time]]-TblTimeSheet[[#This Row],[Start Date and Time]]))</f>
        <v>0</v>
      </c>
    </row>
    <row r="2243" spans="1:14" x14ac:dyDescent="0.25">
      <c r="A2243" s="1"/>
      <c r="B2243" s="2" t="s">
        <v>917</v>
      </c>
      <c r="C2243" s="2" t="s">
        <v>143</v>
      </c>
      <c r="D2243" s="2" t="s">
        <v>34</v>
      </c>
      <c r="E2243" s="7" t="s">
        <v>3219</v>
      </c>
      <c r="F2243" s="37">
        <v>42481.732638888891</v>
      </c>
      <c r="G2243" s="37">
        <v>42481.753472222219</v>
      </c>
      <c r="H2243" s="1" t="s">
        <v>6</v>
      </c>
      <c r="I2243" s="1" t="s">
        <v>38</v>
      </c>
      <c r="J2243" s="1">
        <v>42481.760995370372</v>
      </c>
      <c r="K2243" s="1" t="s">
        <v>143</v>
      </c>
      <c r="L2243" s="14">
        <f>24*(TblTimeSheet[[#This Row],[End Date and Time]]-TblTimeSheet[[#This Row],[Start Date and Time]])</f>
        <v>0.49999999988358468</v>
      </c>
      <c r="M22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3" s="14">
        <f>--(0&gt;(TblTimeSheet[[#This Row],[End Date and Time]]-TblTimeSheet[[#This Row],[Start Date and Time]]))</f>
        <v>0</v>
      </c>
    </row>
    <row r="2244" spans="1:14" x14ac:dyDescent="0.25">
      <c r="A2244" s="1"/>
      <c r="B2244" s="2" t="s">
        <v>917</v>
      </c>
      <c r="C2244" s="2" t="s">
        <v>144</v>
      </c>
      <c r="D2244" s="2" t="s">
        <v>34</v>
      </c>
      <c r="E2244" s="7" t="s">
        <v>3220</v>
      </c>
      <c r="F2244" s="37">
        <v>42481.732638888891</v>
      </c>
      <c r="G2244" s="37">
        <v>42481.753472222219</v>
      </c>
      <c r="H2244" s="1" t="s">
        <v>6</v>
      </c>
      <c r="I2244" s="1" t="s">
        <v>38</v>
      </c>
      <c r="J2244" s="1">
        <v>42482.450543981482</v>
      </c>
      <c r="K2244" s="1" t="s">
        <v>144</v>
      </c>
      <c r="L2244" s="14">
        <f>24*(TblTimeSheet[[#This Row],[End Date and Time]]-TblTimeSheet[[#This Row],[Start Date and Time]])</f>
        <v>0.49999999988358468</v>
      </c>
      <c r="M22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4" s="14">
        <f>--(0&gt;(TblTimeSheet[[#This Row],[End Date and Time]]-TblTimeSheet[[#This Row],[Start Date and Time]]))</f>
        <v>0</v>
      </c>
    </row>
    <row r="2245" spans="1:14" x14ac:dyDescent="0.25">
      <c r="A2245" s="1"/>
      <c r="B2245" s="2" t="s">
        <v>915</v>
      </c>
      <c r="C2245" s="2" t="s">
        <v>1117</v>
      </c>
      <c r="D2245" s="2" t="s">
        <v>35</v>
      </c>
      <c r="E2245" s="7" t="s">
        <v>3221</v>
      </c>
      <c r="F2245" s="37">
        <v>42481.770833333336</v>
      </c>
      <c r="G2245" s="37">
        <v>42481.791666666664</v>
      </c>
      <c r="H2245" s="1" t="s">
        <v>6</v>
      </c>
      <c r="I2245" s="1" t="s">
        <v>38</v>
      </c>
      <c r="J2245" s="1">
        <v>42482.407893518517</v>
      </c>
      <c r="K2245" s="1" t="s">
        <v>2865</v>
      </c>
      <c r="L2245" s="14">
        <f>24*(TblTimeSheet[[#This Row],[End Date and Time]]-TblTimeSheet[[#This Row],[Start Date and Time]])</f>
        <v>0.49999999988358468</v>
      </c>
      <c r="M22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5" s="14">
        <f>--(0&gt;(TblTimeSheet[[#This Row],[End Date and Time]]-TblTimeSheet[[#This Row],[Start Date and Time]]))</f>
        <v>0</v>
      </c>
    </row>
    <row r="2246" spans="1:14" x14ac:dyDescent="0.25">
      <c r="A2246" s="1"/>
      <c r="B2246" s="2" t="s">
        <v>917</v>
      </c>
      <c r="C2246" s="2" t="s">
        <v>144</v>
      </c>
      <c r="D2246" s="2" t="s">
        <v>34</v>
      </c>
      <c r="E2246" s="7" t="s">
        <v>3778</v>
      </c>
      <c r="F2246" s="37">
        <v>42482.375</v>
      </c>
      <c r="G2246" s="37">
        <v>42482.409722222219</v>
      </c>
      <c r="H2246" s="1" t="s">
        <v>6</v>
      </c>
      <c r="I2246" s="1" t="s">
        <v>38</v>
      </c>
      <c r="J2246" s="1">
        <v>42482.410081018519</v>
      </c>
      <c r="K2246" s="1" t="s">
        <v>144</v>
      </c>
      <c r="L2246" s="14">
        <f>24*(TblTimeSheet[[#This Row],[End Date and Time]]-TblTimeSheet[[#This Row],[Start Date and Time]])</f>
        <v>0.83333333325572312</v>
      </c>
      <c r="M22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6" s="14">
        <f>--(0&gt;(TblTimeSheet[[#This Row],[End Date and Time]]-TblTimeSheet[[#This Row],[Start Date and Time]]))</f>
        <v>0</v>
      </c>
    </row>
    <row r="2247" spans="1:14" x14ac:dyDescent="0.25">
      <c r="A2247" s="1"/>
      <c r="B2247" s="2" t="s">
        <v>917</v>
      </c>
      <c r="C2247" s="2" t="s">
        <v>143</v>
      </c>
      <c r="D2247" s="2" t="s">
        <v>34</v>
      </c>
      <c r="E2247" s="7" t="s">
        <v>3222</v>
      </c>
      <c r="F2247" s="37">
        <v>42482.375</v>
      </c>
      <c r="G2247" s="37">
        <v>42482.409722222219</v>
      </c>
      <c r="H2247" s="1" t="s">
        <v>6</v>
      </c>
      <c r="I2247" s="1" t="s">
        <v>38</v>
      </c>
      <c r="J2247" s="1">
        <v>42482.41034722222</v>
      </c>
      <c r="K2247" s="1" t="s">
        <v>143</v>
      </c>
      <c r="L2247" s="14">
        <f>24*(TblTimeSheet[[#This Row],[End Date and Time]]-TblTimeSheet[[#This Row],[Start Date and Time]])</f>
        <v>0.83333333325572312</v>
      </c>
      <c r="M22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7" s="14">
        <f>--(0&gt;(TblTimeSheet[[#This Row],[End Date and Time]]-TblTimeSheet[[#This Row],[Start Date and Time]]))</f>
        <v>0</v>
      </c>
    </row>
    <row r="2248" spans="1:14" x14ac:dyDescent="0.25">
      <c r="A2248" s="1"/>
      <c r="B2248" s="2" t="s">
        <v>915</v>
      </c>
      <c r="C2248" s="2" t="s">
        <v>116</v>
      </c>
      <c r="D2248" s="2" t="s">
        <v>35</v>
      </c>
      <c r="E2248" s="7" t="s">
        <v>3223</v>
      </c>
      <c r="F2248" s="37">
        <v>42482.770833333336</v>
      </c>
      <c r="G2248" s="37">
        <v>42482.791666666664</v>
      </c>
      <c r="H2248" s="1" t="s">
        <v>6</v>
      </c>
      <c r="I2248" s="1" t="s">
        <v>38</v>
      </c>
      <c r="J2248" s="1">
        <v>42482.411377314813</v>
      </c>
      <c r="K2248" s="1" t="s">
        <v>39</v>
      </c>
      <c r="L2248" s="14">
        <f>24*(TblTimeSheet[[#This Row],[End Date and Time]]-TblTimeSheet[[#This Row],[Start Date and Time]])</f>
        <v>0.49999999988358468</v>
      </c>
      <c r="M22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8" s="14">
        <f>--(0&gt;(TblTimeSheet[[#This Row],[End Date and Time]]-TblTimeSheet[[#This Row],[Start Date and Time]]))</f>
        <v>0</v>
      </c>
    </row>
    <row r="2249" spans="1:14" x14ac:dyDescent="0.25">
      <c r="A2249" s="1"/>
      <c r="B2249" s="2" t="s">
        <v>915</v>
      </c>
      <c r="C2249" s="2" t="s">
        <v>116</v>
      </c>
      <c r="D2249" s="2" t="s">
        <v>35</v>
      </c>
      <c r="E2249" s="7" t="s">
        <v>3224</v>
      </c>
      <c r="F2249" s="37">
        <v>42481.770833333336</v>
      </c>
      <c r="G2249" s="37">
        <v>42481.791666666664</v>
      </c>
      <c r="H2249" s="1" t="s">
        <v>6</v>
      </c>
      <c r="I2249" s="1" t="s">
        <v>38</v>
      </c>
      <c r="J2249" s="1">
        <v>42482.417847222219</v>
      </c>
      <c r="K2249" s="1" t="s">
        <v>701</v>
      </c>
      <c r="L2249" s="14">
        <f>24*(TblTimeSheet[[#This Row],[End Date and Time]]-TblTimeSheet[[#This Row],[Start Date and Time]])</f>
        <v>0.49999999988358468</v>
      </c>
      <c r="M22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49" s="14">
        <f>--(0&gt;(TblTimeSheet[[#This Row],[End Date and Time]]-TblTimeSheet[[#This Row],[Start Date and Time]]))</f>
        <v>0</v>
      </c>
    </row>
    <row r="2250" spans="1:14" x14ac:dyDescent="0.25">
      <c r="A2250" s="1"/>
      <c r="B2250" s="2" t="s">
        <v>917</v>
      </c>
      <c r="C2250" s="2" t="s">
        <v>144</v>
      </c>
      <c r="D2250" s="2" t="s">
        <v>34</v>
      </c>
      <c r="E2250" s="7" t="s">
        <v>3225</v>
      </c>
      <c r="F2250" s="37">
        <v>42482.416666666664</v>
      </c>
      <c r="G2250" s="37">
        <v>42482.434027777781</v>
      </c>
      <c r="H2250" s="1" t="s">
        <v>6</v>
      </c>
      <c r="I2250" s="1" t="s">
        <v>38</v>
      </c>
      <c r="J2250" s="1">
        <v>42482.435300925928</v>
      </c>
      <c r="K2250" s="1" t="s">
        <v>144</v>
      </c>
      <c r="L2250" s="14">
        <f>24*(TblTimeSheet[[#This Row],[End Date and Time]]-TblTimeSheet[[#This Row],[Start Date and Time]])</f>
        <v>0.41666666680248454</v>
      </c>
      <c r="M22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0" s="14">
        <f>--(0&gt;(TblTimeSheet[[#This Row],[End Date and Time]]-TblTimeSheet[[#This Row],[Start Date and Time]]))</f>
        <v>0</v>
      </c>
    </row>
    <row r="2251" spans="1:14" x14ac:dyDescent="0.25">
      <c r="A2251" s="1"/>
      <c r="B2251" s="2" t="s">
        <v>2870</v>
      </c>
      <c r="C2251" s="2" t="s">
        <v>1105</v>
      </c>
      <c r="D2251" s="2" t="s">
        <v>32</v>
      </c>
      <c r="E2251" s="7" t="s">
        <v>3779</v>
      </c>
      <c r="F2251" s="37">
        <v>42481.395833333336</v>
      </c>
      <c r="G2251" s="37">
        <v>42481.447916666664</v>
      </c>
      <c r="H2251" s="1" t="s">
        <v>6</v>
      </c>
      <c r="I2251" s="1" t="s">
        <v>38</v>
      </c>
      <c r="J2251" s="1">
        <v>42482.514224537037</v>
      </c>
      <c r="K2251" s="1" t="s">
        <v>41</v>
      </c>
      <c r="L2251" s="14">
        <f>24*(TblTimeSheet[[#This Row],[End Date and Time]]-TblTimeSheet[[#This Row],[Start Date and Time]])</f>
        <v>1.2499999998835847</v>
      </c>
      <c r="M22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1" s="14">
        <f>--(0&gt;(TblTimeSheet[[#This Row],[End Date and Time]]-TblTimeSheet[[#This Row],[Start Date and Time]]))</f>
        <v>0</v>
      </c>
    </row>
    <row r="2252" spans="1:14" x14ac:dyDescent="0.25">
      <c r="A2252" s="1"/>
      <c r="B2252" s="2" t="s">
        <v>2870</v>
      </c>
      <c r="C2252" s="2" t="s">
        <v>1105</v>
      </c>
      <c r="D2252" s="2" t="s">
        <v>32</v>
      </c>
      <c r="E2252" s="7" t="s">
        <v>3780</v>
      </c>
      <c r="F2252" s="37">
        <v>42482.451388888891</v>
      </c>
      <c r="G2252" s="37">
        <v>42482.513888888891</v>
      </c>
      <c r="H2252" s="1" t="s">
        <v>6</v>
      </c>
      <c r="I2252" s="1" t="s">
        <v>38</v>
      </c>
      <c r="J2252" s="1">
        <v>42482.516412037039</v>
      </c>
      <c r="K2252" s="1" t="s">
        <v>41</v>
      </c>
      <c r="L2252" s="14">
        <f>24*(TblTimeSheet[[#This Row],[End Date and Time]]-TblTimeSheet[[#This Row],[Start Date and Time]])</f>
        <v>1.5</v>
      </c>
      <c r="M22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2" s="14">
        <f>--(0&gt;(TblTimeSheet[[#This Row],[End Date and Time]]-TblTimeSheet[[#This Row],[Start Date and Time]]))</f>
        <v>0</v>
      </c>
    </row>
    <row r="2253" spans="1:14" x14ac:dyDescent="0.25">
      <c r="A2253" s="1"/>
      <c r="B2253" s="2" t="s">
        <v>2870</v>
      </c>
      <c r="C2253" s="2" t="s">
        <v>1105</v>
      </c>
      <c r="D2253" s="2" t="s">
        <v>32</v>
      </c>
      <c r="E2253" s="7" t="s">
        <v>3781</v>
      </c>
      <c r="F2253" s="37">
        <v>42482.517361111109</v>
      </c>
      <c r="G2253" s="37">
        <v>42482.534722222219</v>
      </c>
      <c r="H2253" s="1" t="s">
        <v>6</v>
      </c>
      <c r="I2253" s="1" t="s">
        <v>38</v>
      </c>
      <c r="J2253" s="1">
        <v>42482.537754629629</v>
      </c>
      <c r="K2253" s="1" t="s">
        <v>2864</v>
      </c>
      <c r="L2253" s="14">
        <f>24*(TblTimeSheet[[#This Row],[End Date and Time]]-TblTimeSheet[[#This Row],[Start Date and Time]])</f>
        <v>0.41666666662786156</v>
      </c>
      <c r="M22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3" s="14">
        <f>--(0&gt;(TblTimeSheet[[#This Row],[End Date and Time]]-TblTimeSheet[[#This Row],[Start Date and Time]]))</f>
        <v>0</v>
      </c>
    </row>
    <row r="2254" spans="1:14" x14ac:dyDescent="0.25">
      <c r="A2254" s="1"/>
      <c r="B2254" s="2" t="s">
        <v>917</v>
      </c>
      <c r="C2254" s="2" t="s">
        <v>143</v>
      </c>
      <c r="D2254" s="2" t="s">
        <v>34</v>
      </c>
      <c r="E2254" s="7" t="s">
        <v>3226</v>
      </c>
      <c r="F2254" s="37">
        <v>42482.597222222219</v>
      </c>
      <c r="G2254" s="37">
        <v>42482.607638888891</v>
      </c>
      <c r="H2254" s="1" t="s">
        <v>6</v>
      </c>
      <c r="I2254" s="1" t="s">
        <v>38</v>
      </c>
      <c r="J2254" s="1">
        <v>42482.620046296295</v>
      </c>
      <c r="K2254" s="1" t="s">
        <v>143</v>
      </c>
      <c r="L2254" s="14">
        <f>24*(TblTimeSheet[[#This Row],[End Date and Time]]-TblTimeSheet[[#This Row],[Start Date and Time]])</f>
        <v>0.25000000011641532</v>
      </c>
      <c r="M22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4" s="14">
        <f>--(0&gt;(TblTimeSheet[[#This Row],[End Date and Time]]-TblTimeSheet[[#This Row],[Start Date and Time]]))</f>
        <v>0</v>
      </c>
    </row>
    <row r="2255" spans="1:14" x14ac:dyDescent="0.25">
      <c r="A2255" s="1"/>
      <c r="B2255" s="2" t="s">
        <v>917</v>
      </c>
      <c r="C2255" s="2" t="s">
        <v>144</v>
      </c>
      <c r="D2255" s="2" t="s">
        <v>34</v>
      </c>
      <c r="E2255" s="7" t="s">
        <v>3227</v>
      </c>
      <c r="F2255" s="37">
        <v>42482.597222222219</v>
      </c>
      <c r="G2255" s="37">
        <v>42482.607638888891</v>
      </c>
      <c r="H2255" s="1" t="s">
        <v>6</v>
      </c>
      <c r="I2255" s="1" t="s">
        <v>38</v>
      </c>
      <c r="J2255" s="1">
        <v>42482.620150462964</v>
      </c>
      <c r="K2255" s="1" t="s">
        <v>144</v>
      </c>
      <c r="L2255" s="14">
        <f>24*(TblTimeSheet[[#This Row],[End Date and Time]]-TblTimeSheet[[#This Row],[Start Date and Time]])</f>
        <v>0.25000000011641532</v>
      </c>
      <c r="M22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5" s="14">
        <f>--(0&gt;(TblTimeSheet[[#This Row],[End Date and Time]]-TblTimeSheet[[#This Row],[Start Date and Time]]))</f>
        <v>0</v>
      </c>
    </row>
    <row r="2256" spans="1:14" x14ac:dyDescent="0.25">
      <c r="A2256" s="1"/>
      <c r="B2256" s="2" t="s">
        <v>917</v>
      </c>
      <c r="C2256" s="2" t="s">
        <v>143</v>
      </c>
      <c r="D2256" s="2" t="s">
        <v>34</v>
      </c>
      <c r="E2256" s="7" t="s">
        <v>3228</v>
      </c>
      <c r="F2256" s="37">
        <v>42482.618055555555</v>
      </c>
      <c r="G2256" s="37">
        <v>42482.625</v>
      </c>
      <c r="H2256" s="1" t="s">
        <v>6</v>
      </c>
      <c r="I2256" s="1" t="s">
        <v>38</v>
      </c>
      <c r="J2256" s="1">
        <v>42482.632418981484</v>
      </c>
      <c r="K2256" s="1" t="s">
        <v>143</v>
      </c>
      <c r="L2256" s="14">
        <f>24*(TblTimeSheet[[#This Row],[End Date and Time]]-TblTimeSheet[[#This Row],[Start Date and Time]])</f>
        <v>0.16666666668606922</v>
      </c>
      <c r="M22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6" s="14">
        <f>--(0&gt;(TblTimeSheet[[#This Row],[End Date and Time]]-TblTimeSheet[[#This Row],[Start Date and Time]]))</f>
        <v>0</v>
      </c>
    </row>
    <row r="2257" spans="1:14" x14ac:dyDescent="0.25">
      <c r="A2257" s="1"/>
      <c r="B2257" s="2" t="s">
        <v>917</v>
      </c>
      <c r="C2257" s="2" t="s">
        <v>144</v>
      </c>
      <c r="D2257" s="2" t="s">
        <v>34</v>
      </c>
      <c r="E2257" s="7" t="s">
        <v>3229</v>
      </c>
      <c r="F2257" s="37">
        <v>42482.611111111109</v>
      </c>
      <c r="G2257" s="37">
        <v>42482.614583333336</v>
      </c>
      <c r="H2257" s="1" t="s">
        <v>6</v>
      </c>
      <c r="I2257" s="1" t="s">
        <v>38</v>
      </c>
      <c r="J2257" s="1">
        <v>42482.635115740741</v>
      </c>
      <c r="K2257" s="1" t="s">
        <v>144</v>
      </c>
      <c r="L2257" s="14">
        <f>24*(TblTimeSheet[[#This Row],[End Date and Time]]-TblTimeSheet[[#This Row],[Start Date and Time]])</f>
        <v>8.3333333430346102E-2</v>
      </c>
      <c r="M22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7" s="14">
        <f>--(0&gt;(TblTimeSheet[[#This Row],[End Date and Time]]-TblTimeSheet[[#This Row],[Start Date and Time]]))</f>
        <v>0</v>
      </c>
    </row>
    <row r="2258" spans="1:14" x14ac:dyDescent="0.25">
      <c r="A2258" s="1"/>
      <c r="B2258" s="2" t="s">
        <v>917</v>
      </c>
      <c r="C2258" s="2" t="s">
        <v>144</v>
      </c>
      <c r="D2258" s="2" t="s">
        <v>34</v>
      </c>
      <c r="E2258" s="7" t="s">
        <v>3230</v>
      </c>
      <c r="F2258" s="37">
        <v>42482.666666666664</v>
      </c>
      <c r="G2258" s="37">
        <v>42482.708333333336</v>
      </c>
      <c r="H2258" s="1" t="s">
        <v>6</v>
      </c>
      <c r="I2258" s="1" t="s">
        <v>38</v>
      </c>
      <c r="J2258" s="1">
        <v>42483.348587962966</v>
      </c>
      <c r="K2258" s="1" t="s">
        <v>144</v>
      </c>
      <c r="L2258" s="14">
        <f>24*(TblTimeSheet[[#This Row],[End Date and Time]]-TblTimeSheet[[#This Row],[Start Date and Time]])</f>
        <v>1.0000000001164153</v>
      </c>
      <c r="M22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8" s="14">
        <f>--(0&gt;(TblTimeSheet[[#This Row],[End Date and Time]]-TblTimeSheet[[#This Row],[Start Date and Time]]))</f>
        <v>0</v>
      </c>
    </row>
    <row r="2259" spans="1:14" ht="30" x14ac:dyDescent="0.25">
      <c r="A2259" s="1"/>
      <c r="B2259" s="2" t="s">
        <v>917</v>
      </c>
      <c r="C2259" s="2" t="s">
        <v>144</v>
      </c>
      <c r="D2259" s="2" t="s">
        <v>34</v>
      </c>
      <c r="E2259" s="7" t="s">
        <v>3231</v>
      </c>
      <c r="F2259" s="37">
        <v>42483.395833333336</v>
      </c>
      <c r="G2259" s="37">
        <v>42483.486111111109</v>
      </c>
      <c r="H2259" s="1" t="s">
        <v>6</v>
      </c>
      <c r="I2259" s="1" t="s">
        <v>38</v>
      </c>
      <c r="J2259" s="1">
        <v>42483.493842592594</v>
      </c>
      <c r="K2259" s="1" t="s">
        <v>144</v>
      </c>
      <c r="L2259" s="14">
        <f>24*(TblTimeSheet[[#This Row],[End Date and Time]]-TblTimeSheet[[#This Row],[Start Date and Time]])</f>
        <v>2.1666666665696539</v>
      </c>
      <c r="M22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59" s="14">
        <f>--(0&gt;(TblTimeSheet[[#This Row],[End Date and Time]]-TblTimeSheet[[#This Row],[Start Date and Time]]))</f>
        <v>0</v>
      </c>
    </row>
    <row r="2260" spans="1:14" x14ac:dyDescent="0.25">
      <c r="A2260" s="1"/>
      <c r="B2260" s="2" t="s">
        <v>917</v>
      </c>
      <c r="C2260" s="2" t="s">
        <v>116</v>
      </c>
      <c r="D2260" s="2" t="s">
        <v>34</v>
      </c>
      <c r="E2260" s="7" t="s">
        <v>3782</v>
      </c>
      <c r="F2260" s="37">
        <v>42483.625</v>
      </c>
      <c r="G2260" s="37">
        <v>42483.666666666664</v>
      </c>
      <c r="H2260" s="1" t="s">
        <v>6</v>
      </c>
      <c r="I2260" s="1" t="s">
        <v>38</v>
      </c>
      <c r="J2260" s="1">
        <v>42483.671365740738</v>
      </c>
      <c r="K2260" s="1" t="s">
        <v>701</v>
      </c>
      <c r="L2260" s="14">
        <f>24*(TblTimeSheet[[#This Row],[End Date and Time]]-TblTimeSheet[[#This Row],[Start Date and Time]])</f>
        <v>0.99999999994179234</v>
      </c>
      <c r="M22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0" s="14">
        <f>--(0&gt;(TblTimeSheet[[#This Row],[End Date and Time]]-TblTimeSheet[[#This Row],[Start Date and Time]]))</f>
        <v>0</v>
      </c>
    </row>
    <row r="2261" spans="1:14" x14ac:dyDescent="0.25">
      <c r="A2261" s="1"/>
      <c r="B2261" s="2" t="s">
        <v>917</v>
      </c>
      <c r="C2261" s="2" t="s">
        <v>144</v>
      </c>
      <c r="D2261" s="2" t="s">
        <v>34</v>
      </c>
      <c r="E2261" s="7" t="s">
        <v>3232</v>
      </c>
      <c r="F2261" s="37">
        <v>42483.604166666664</v>
      </c>
      <c r="G2261" s="37">
        <v>42483.684027777781</v>
      </c>
      <c r="H2261" s="1" t="s">
        <v>6</v>
      </c>
      <c r="I2261" s="1" t="s">
        <v>38</v>
      </c>
      <c r="J2261" s="1">
        <v>42483.690486111111</v>
      </c>
      <c r="K2261" s="1" t="s">
        <v>144</v>
      </c>
      <c r="L2261" s="14">
        <f>24*(TblTimeSheet[[#This Row],[End Date and Time]]-TblTimeSheet[[#This Row],[Start Date and Time]])</f>
        <v>1.9166666668024845</v>
      </c>
      <c r="M22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1" s="14">
        <f>--(0&gt;(TblTimeSheet[[#This Row],[End Date and Time]]-TblTimeSheet[[#This Row],[Start Date and Time]]))</f>
        <v>0</v>
      </c>
    </row>
    <row r="2262" spans="1:14" ht="30" x14ac:dyDescent="0.25">
      <c r="A2262" s="1"/>
      <c r="B2262" s="2" t="s">
        <v>917</v>
      </c>
      <c r="C2262" s="2" t="s">
        <v>144</v>
      </c>
      <c r="D2262" s="2" t="s">
        <v>34</v>
      </c>
      <c r="E2262" s="7" t="s">
        <v>3233</v>
      </c>
      <c r="F2262" s="37">
        <v>42485.375</v>
      </c>
      <c r="G2262" s="37">
        <v>42485.451388888891</v>
      </c>
      <c r="H2262" s="1" t="s">
        <v>6</v>
      </c>
      <c r="I2262" s="1" t="s">
        <v>38</v>
      </c>
      <c r="J2262" s="1">
        <v>42485.454837962963</v>
      </c>
      <c r="K2262" s="1" t="s">
        <v>144</v>
      </c>
      <c r="L2262" s="14">
        <f>24*(TblTimeSheet[[#This Row],[End Date and Time]]-TblTimeSheet[[#This Row],[Start Date and Time]])</f>
        <v>1.8333333333721384</v>
      </c>
      <c r="M22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2" s="14">
        <f>--(0&gt;(TblTimeSheet[[#This Row],[End Date and Time]]-TblTimeSheet[[#This Row],[Start Date and Time]]))</f>
        <v>0</v>
      </c>
    </row>
    <row r="2263" spans="1:14" x14ac:dyDescent="0.25">
      <c r="A2263" s="1"/>
      <c r="B2263" s="2" t="s">
        <v>917</v>
      </c>
      <c r="C2263" s="2" t="s">
        <v>144</v>
      </c>
      <c r="D2263" s="2" t="s">
        <v>34</v>
      </c>
      <c r="E2263" s="7" t="s">
        <v>3783</v>
      </c>
      <c r="F2263" s="37">
        <v>42485.465277777781</v>
      </c>
      <c r="G2263" s="37">
        <v>42485.541666666664</v>
      </c>
      <c r="H2263" s="1" t="s">
        <v>6</v>
      </c>
      <c r="I2263" s="1" t="s">
        <v>38</v>
      </c>
      <c r="J2263" s="1">
        <v>42485.69630787037</v>
      </c>
      <c r="K2263" s="1" t="s">
        <v>144</v>
      </c>
      <c r="L2263" s="14">
        <f>24*(TblTimeSheet[[#This Row],[End Date and Time]]-TblTimeSheet[[#This Row],[Start Date and Time]])</f>
        <v>1.8333333331975155</v>
      </c>
      <c r="M22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3" s="14">
        <f>--(0&gt;(TblTimeSheet[[#This Row],[End Date and Time]]-TblTimeSheet[[#This Row],[Start Date and Time]]))</f>
        <v>0</v>
      </c>
    </row>
    <row r="2264" spans="1:14" x14ac:dyDescent="0.25">
      <c r="A2264" s="1"/>
      <c r="B2264" s="2" t="s">
        <v>917</v>
      </c>
      <c r="C2264" s="2" t="s">
        <v>144</v>
      </c>
      <c r="D2264" s="2" t="s">
        <v>34</v>
      </c>
      <c r="E2264" s="7" t="s">
        <v>3784</v>
      </c>
      <c r="F2264" s="37">
        <v>42485.5625</v>
      </c>
      <c r="G2264" s="37">
        <v>42485.6875</v>
      </c>
      <c r="H2264" s="1" t="s">
        <v>6</v>
      </c>
      <c r="I2264" s="1" t="s">
        <v>38</v>
      </c>
      <c r="J2264" s="1">
        <v>42485.697222222225</v>
      </c>
      <c r="K2264" s="1" t="s">
        <v>144</v>
      </c>
      <c r="L2264" s="14">
        <f>24*(TblTimeSheet[[#This Row],[End Date and Time]]-TblTimeSheet[[#This Row],[Start Date and Time]])</f>
        <v>3</v>
      </c>
      <c r="M22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4" s="14">
        <f>--(0&gt;(TblTimeSheet[[#This Row],[End Date and Time]]-TblTimeSheet[[#This Row],[Start Date and Time]]))</f>
        <v>0</v>
      </c>
    </row>
    <row r="2265" spans="1:14" x14ac:dyDescent="0.25">
      <c r="A2265" s="1"/>
      <c r="B2265" s="2" t="s">
        <v>917</v>
      </c>
      <c r="C2265" s="2" t="s">
        <v>144</v>
      </c>
      <c r="D2265" s="2" t="s">
        <v>34</v>
      </c>
      <c r="E2265" s="7" t="s">
        <v>3785</v>
      </c>
      <c r="F2265" s="37">
        <v>42485.697916666664</v>
      </c>
      <c r="G2265" s="37">
        <v>42485.729166666664</v>
      </c>
      <c r="H2265" s="1" t="s">
        <v>6</v>
      </c>
      <c r="I2265" s="1" t="s">
        <v>38</v>
      </c>
      <c r="J2265" s="1">
        <v>42485.73196759259</v>
      </c>
      <c r="K2265" s="1" t="s">
        <v>144</v>
      </c>
      <c r="L2265" s="14">
        <f>24*(TblTimeSheet[[#This Row],[End Date and Time]]-TblTimeSheet[[#This Row],[Start Date and Time]])</f>
        <v>0.75</v>
      </c>
      <c r="M22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5" s="14">
        <f>--(0&gt;(TblTimeSheet[[#This Row],[End Date and Time]]-TblTimeSheet[[#This Row],[Start Date and Time]]))</f>
        <v>0</v>
      </c>
    </row>
    <row r="2266" spans="1:14" x14ac:dyDescent="0.25">
      <c r="A2266" s="1"/>
      <c r="B2266" s="2" t="s">
        <v>917</v>
      </c>
      <c r="C2266" s="2" t="s">
        <v>144</v>
      </c>
      <c r="D2266" s="2" t="s">
        <v>34</v>
      </c>
      <c r="E2266" s="7" t="s">
        <v>3234</v>
      </c>
      <c r="F2266" s="37">
        <v>42486.375</v>
      </c>
      <c r="G2266" s="37">
        <v>42486.604166666664</v>
      </c>
      <c r="H2266" s="1" t="s">
        <v>6</v>
      </c>
      <c r="I2266" s="1" t="s">
        <v>38</v>
      </c>
      <c r="J2266" s="1">
        <v>42486.641064814816</v>
      </c>
      <c r="K2266" s="1" t="s">
        <v>144</v>
      </c>
      <c r="L2266" s="14">
        <f>24*(TblTimeSheet[[#This Row],[End Date and Time]]-TblTimeSheet[[#This Row],[Start Date and Time]])</f>
        <v>5.4999999999417923</v>
      </c>
      <c r="M22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6" s="14">
        <f>--(0&gt;(TblTimeSheet[[#This Row],[End Date and Time]]-TblTimeSheet[[#This Row],[Start Date and Time]]))</f>
        <v>0</v>
      </c>
    </row>
    <row r="2267" spans="1:14" x14ac:dyDescent="0.25">
      <c r="A2267" s="1"/>
      <c r="B2267" s="2" t="s">
        <v>917</v>
      </c>
      <c r="C2267" s="2" t="s">
        <v>144</v>
      </c>
      <c r="D2267" s="2" t="s">
        <v>34</v>
      </c>
      <c r="E2267" s="7" t="s">
        <v>3235</v>
      </c>
      <c r="F2267" s="37">
        <v>42486.611111111109</v>
      </c>
      <c r="G2267" s="37">
        <v>42486.635416666664</v>
      </c>
      <c r="H2267" s="1" t="s">
        <v>6</v>
      </c>
      <c r="I2267" s="1" t="s">
        <v>38</v>
      </c>
      <c r="J2267" s="1">
        <v>42486.641932870371</v>
      </c>
      <c r="K2267" s="1" t="s">
        <v>144</v>
      </c>
      <c r="L2267" s="14">
        <f>24*(TblTimeSheet[[#This Row],[End Date and Time]]-TblTimeSheet[[#This Row],[Start Date and Time]])</f>
        <v>0.58333333331393078</v>
      </c>
      <c r="M22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7" s="14">
        <f>--(0&gt;(TblTimeSheet[[#This Row],[End Date and Time]]-TblTimeSheet[[#This Row],[Start Date and Time]]))</f>
        <v>0</v>
      </c>
    </row>
    <row r="2268" spans="1:14" x14ac:dyDescent="0.25">
      <c r="A2268" s="1"/>
      <c r="B2268" s="2" t="s">
        <v>917</v>
      </c>
      <c r="C2268" s="2" t="s">
        <v>36</v>
      </c>
      <c r="D2268" s="2" t="s">
        <v>34</v>
      </c>
      <c r="E2268" s="7" t="s">
        <v>3236</v>
      </c>
      <c r="F2268" s="37">
        <v>42486.611111111109</v>
      </c>
      <c r="G2268" s="37">
        <v>42486.635416666664</v>
      </c>
      <c r="H2268" s="1" t="s">
        <v>6</v>
      </c>
      <c r="I2268" s="1" t="s">
        <v>38</v>
      </c>
      <c r="J2268" s="1">
        <v>42486.642881944441</v>
      </c>
      <c r="K2268" s="1" t="s">
        <v>36</v>
      </c>
      <c r="L2268" s="14">
        <f>24*(TblTimeSheet[[#This Row],[End Date and Time]]-TblTimeSheet[[#This Row],[Start Date and Time]])</f>
        <v>0.58333333331393078</v>
      </c>
      <c r="M22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8" s="14">
        <f>--(0&gt;(TblTimeSheet[[#This Row],[End Date and Time]]-TblTimeSheet[[#This Row],[Start Date and Time]]))</f>
        <v>0</v>
      </c>
    </row>
    <row r="2269" spans="1:14" x14ac:dyDescent="0.25">
      <c r="A2269" s="1"/>
      <c r="B2269" s="2" t="s">
        <v>917</v>
      </c>
      <c r="C2269" s="2" t="s">
        <v>144</v>
      </c>
      <c r="D2269" s="2" t="s">
        <v>34</v>
      </c>
      <c r="E2269" s="7" t="s">
        <v>3237</v>
      </c>
      <c r="F2269" s="37">
        <v>42486.645833333336</v>
      </c>
      <c r="G2269" s="37">
        <v>42486.666666666664</v>
      </c>
      <c r="H2269" s="1" t="s">
        <v>6</v>
      </c>
      <c r="I2269" s="1" t="s">
        <v>38</v>
      </c>
      <c r="J2269" s="1">
        <v>42486.670543981483</v>
      </c>
      <c r="K2269" s="1" t="s">
        <v>144</v>
      </c>
      <c r="L2269" s="14">
        <f>24*(TblTimeSheet[[#This Row],[End Date and Time]]-TblTimeSheet[[#This Row],[Start Date and Time]])</f>
        <v>0.49999999988358468</v>
      </c>
      <c r="M22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69" s="14">
        <f>--(0&gt;(TblTimeSheet[[#This Row],[End Date and Time]]-TblTimeSheet[[#This Row],[Start Date and Time]]))</f>
        <v>0</v>
      </c>
    </row>
    <row r="2270" spans="1:14" x14ac:dyDescent="0.25">
      <c r="A2270" s="1"/>
      <c r="B2270" s="2" t="s">
        <v>917</v>
      </c>
      <c r="C2270" s="2" t="s">
        <v>144</v>
      </c>
      <c r="D2270" s="2" t="s">
        <v>34</v>
      </c>
      <c r="E2270" s="7" t="s">
        <v>3238</v>
      </c>
      <c r="F2270" s="37">
        <v>42486.722222222219</v>
      </c>
      <c r="G2270" s="37">
        <v>42486.729166666664</v>
      </c>
      <c r="H2270" s="1" t="s">
        <v>6</v>
      </c>
      <c r="I2270" s="1" t="s">
        <v>38</v>
      </c>
      <c r="J2270" s="1">
        <v>42486.730520833335</v>
      </c>
      <c r="K2270" s="1" t="s">
        <v>144</v>
      </c>
      <c r="L2270" s="14">
        <f>24*(TblTimeSheet[[#This Row],[End Date and Time]]-TblTimeSheet[[#This Row],[Start Date and Time]])</f>
        <v>0.16666666668606922</v>
      </c>
      <c r="M22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0" s="14">
        <f>--(0&gt;(TblTimeSheet[[#This Row],[End Date and Time]]-TblTimeSheet[[#This Row],[Start Date and Time]]))</f>
        <v>0</v>
      </c>
    </row>
    <row r="2271" spans="1:14" x14ac:dyDescent="0.25">
      <c r="A2271" s="1"/>
      <c r="B2271" s="2" t="s">
        <v>917</v>
      </c>
      <c r="C2271" s="2" t="s">
        <v>118</v>
      </c>
      <c r="D2271" s="2" t="s">
        <v>34</v>
      </c>
      <c r="E2271" s="7" t="s">
        <v>3200</v>
      </c>
      <c r="F2271" s="37">
        <v>42486.722222222219</v>
      </c>
      <c r="G2271" s="37">
        <v>42486.729166666664</v>
      </c>
      <c r="H2271" s="1" t="s">
        <v>6</v>
      </c>
      <c r="I2271" s="1" t="s">
        <v>38</v>
      </c>
      <c r="J2271" s="1">
        <v>42486.730567129627</v>
      </c>
      <c r="K2271" s="1" t="s">
        <v>118</v>
      </c>
      <c r="L2271" s="14">
        <f>24*(TblTimeSheet[[#This Row],[End Date and Time]]-TblTimeSheet[[#This Row],[Start Date and Time]])</f>
        <v>0.16666666668606922</v>
      </c>
      <c r="M22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1" s="14">
        <f>--(0&gt;(TblTimeSheet[[#This Row],[End Date and Time]]-TblTimeSheet[[#This Row],[Start Date and Time]]))</f>
        <v>0</v>
      </c>
    </row>
    <row r="2272" spans="1:14" x14ac:dyDescent="0.25">
      <c r="A2272" s="1"/>
      <c r="B2272" s="2" t="s">
        <v>917</v>
      </c>
      <c r="C2272" s="2" t="s">
        <v>1503</v>
      </c>
      <c r="D2272" s="2" t="s">
        <v>34</v>
      </c>
      <c r="E2272" s="7" t="s">
        <v>3199</v>
      </c>
      <c r="F2272" s="37">
        <v>42486.722222222219</v>
      </c>
      <c r="G2272" s="37">
        <v>42486.729166666664</v>
      </c>
      <c r="H2272" s="1" t="s">
        <v>6</v>
      </c>
      <c r="I2272" s="1" t="s">
        <v>38</v>
      </c>
      <c r="J2272" s="1">
        <v>42486.731041666666</v>
      </c>
      <c r="K2272" s="1" t="s">
        <v>2866</v>
      </c>
      <c r="L2272" s="14">
        <f>24*(TblTimeSheet[[#This Row],[End Date and Time]]-TblTimeSheet[[#This Row],[Start Date and Time]])</f>
        <v>0.16666666668606922</v>
      </c>
      <c r="M22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2" s="14">
        <f>--(0&gt;(TblTimeSheet[[#This Row],[End Date and Time]]-TblTimeSheet[[#This Row],[Start Date and Time]]))</f>
        <v>0</v>
      </c>
    </row>
    <row r="2273" spans="1:14" x14ac:dyDescent="0.25">
      <c r="A2273" s="1"/>
      <c r="B2273" s="2" t="s">
        <v>917</v>
      </c>
      <c r="C2273" s="2" t="s">
        <v>144</v>
      </c>
      <c r="D2273" s="2" t="s">
        <v>34</v>
      </c>
      <c r="E2273" s="7" t="s">
        <v>3239</v>
      </c>
      <c r="F2273" s="37">
        <v>42486.732638888891</v>
      </c>
      <c r="G2273" s="37">
        <v>42486.739583333336</v>
      </c>
      <c r="H2273" s="1" t="s">
        <v>6</v>
      </c>
      <c r="I2273" s="1" t="s">
        <v>38</v>
      </c>
      <c r="J2273" s="1">
        <v>42486.742268518516</v>
      </c>
      <c r="K2273" s="1" t="s">
        <v>144</v>
      </c>
      <c r="L2273" s="14">
        <f>24*(TblTimeSheet[[#This Row],[End Date and Time]]-TblTimeSheet[[#This Row],[Start Date and Time]])</f>
        <v>0.16666666668606922</v>
      </c>
      <c r="M22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3" s="14">
        <f>--(0&gt;(TblTimeSheet[[#This Row],[End Date and Time]]-TblTimeSheet[[#This Row],[Start Date and Time]]))</f>
        <v>0</v>
      </c>
    </row>
    <row r="2274" spans="1:14" x14ac:dyDescent="0.25">
      <c r="A2274" s="1"/>
      <c r="B2274" s="2" t="s">
        <v>917</v>
      </c>
      <c r="C2274" s="2" t="s">
        <v>116</v>
      </c>
      <c r="D2274" s="2" t="s">
        <v>34</v>
      </c>
      <c r="E2274" s="7" t="s">
        <v>3786</v>
      </c>
      <c r="F2274" s="37">
        <v>42486.722222222219</v>
      </c>
      <c r="G2274" s="37">
        <v>42486.725694444445</v>
      </c>
      <c r="H2274" s="1" t="s">
        <v>6</v>
      </c>
      <c r="I2274" s="1" t="s">
        <v>38</v>
      </c>
      <c r="J2274" s="1">
        <v>42486.743425925924</v>
      </c>
      <c r="K2274" s="1" t="s">
        <v>81</v>
      </c>
      <c r="L2274" s="14">
        <f>24*(TblTimeSheet[[#This Row],[End Date and Time]]-TblTimeSheet[[#This Row],[Start Date and Time]])</f>
        <v>8.3333333430346102E-2</v>
      </c>
      <c r="M22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74" s="14">
        <f>--(0&gt;(TblTimeSheet[[#This Row],[End Date and Time]]-TblTimeSheet[[#This Row],[Start Date and Time]]))</f>
        <v>0</v>
      </c>
    </row>
    <row r="2275" spans="1:14" x14ac:dyDescent="0.25">
      <c r="A2275" s="1"/>
      <c r="B2275" s="2" t="s">
        <v>917</v>
      </c>
      <c r="C2275" s="2" t="s">
        <v>171</v>
      </c>
      <c r="D2275" s="2" t="s">
        <v>34</v>
      </c>
      <c r="E2275" s="7" t="s">
        <v>3240</v>
      </c>
      <c r="F2275" s="37">
        <v>42486.722222222219</v>
      </c>
      <c r="G2275" s="37">
        <v>42486.729166666664</v>
      </c>
      <c r="H2275" s="1" t="s">
        <v>6</v>
      </c>
      <c r="I2275" s="1" t="s">
        <v>38</v>
      </c>
      <c r="J2275" s="1">
        <v>42486.754502314812</v>
      </c>
      <c r="K2275" s="1" t="s">
        <v>171</v>
      </c>
      <c r="L2275" s="14">
        <f>24*(TblTimeSheet[[#This Row],[End Date and Time]]-TblTimeSheet[[#This Row],[Start Date and Time]])</f>
        <v>0.16666666668606922</v>
      </c>
      <c r="M22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5" s="14">
        <f>--(0&gt;(TblTimeSheet[[#This Row],[End Date and Time]]-TblTimeSheet[[#This Row],[Start Date and Time]]))</f>
        <v>0</v>
      </c>
    </row>
    <row r="2276" spans="1:14" x14ac:dyDescent="0.25">
      <c r="A2276" s="1"/>
      <c r="B2276" s="2" t="s">
        <v>917</v>
      </c>
      <c r="C2276" s="2" t="s">
        <v>36</v>
      </c>
      <c r="D2276" s="2" t="s">
        <v>34</v>
      </c>
      <c r="E2276" s="7" t="s">
        <v>3787</v>
      </c>
      <c r="F2276" s="37">
        <v>42486.722222222219</v>
      </c>
      <c r="G2276" s="37">
        <v>42486.729166666664</v>
      </c>
      <c r="H2276" s="1" t="s">
        <v>6</v>
      </c>
      <c r="I2276" s="1" t="s">
        <v>38</v>
      </c>
      <c r="J2276" s="1">
        <v>42486.769259259258</v>
      </c>
      <c r="K2276" s="1" t="s">
        <v>36</v>
      </c>
      <c r="L2276" s="14">
        <f>24*(TblTimeSheet[[#This Row],[End Date and Time]]-TblTimeSheet[[#This Row],[Start Date and Time]])</f>
        <v>0.16666666668606922</v>
      </c>
      <c r="M22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6" s="14">
        <f>--(0&gt;(TblTimeSheet[[#This Row],[End Date and Time]]-TblTimeSheet[[#This Row],[Start Date and Time]]))</f>
        <v>0</v>
      </c>
    </row>
    <row r="2277" spans="1:14" x14ac:dyDescent="0.25">
      <c r="A2277" s="1"/>
      <c r="B2277" s="2" t="s">
        <v>917</v>
      </c>
      <c r="C2277" s="2" t="s">
        <v>36</v>
      </c>
      <c r="D2277" s="2" t="s">
        <v>34</v>
      </c>
      <c r="E2277" s="7" t="s">
        <v>3788</v>
      </c>
      <c r="F2277" s="37">
        <v>42486.756944444445</v>
      </c>
      <c r="G2277" s="37">
        <v>42486.770833333336</v>
      </c>
      <c r="H2277" s="1" t="s">
        <v>6</v>
      </c>
      <c r="I2277" s="1" t="s">
        <v>38</v>
      </c>
      <c r="J2277" s="1">
        <v>42486.769699074073</v>
      </c>
      <c r="K2277" s="1" t="s">
        <v>36</v>
      </c>
      <c r="L2277" s="14">
        <f>24*(TblTimeSheet[[#This Row],[End Date and Time]]-TblTimeSheet[[#This Row],[Start Date and Time]])</f>
        <v>0.33333333337213844</v>
      </c>
      <c r="M22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7" s="14">
        <f>--(0&gt;(TblTimeSheet[[#This Row],[End Date and Time]]-TblTimeSheet[[#This Row],[Start Date and Time]]))</f>
        <v>0</v>
      </c>
    </row>
    <row r="2278" spans="1:14" ht="30" x14ac:dyDescent="0.25">
      <c r="A2278" s="1"/>
      <c r="B2278" s="2" t="s">
        <v>917</v>
      </c>
      <c r="C2278" s="2" t="s">
        <v>36</v>
      </c>
      <c r="D2278" s="2" t="s">
        <v>34</v>
      </c>
      <c r="E2278" s="7" t="s">
        <v>3789</v>
      </c>
      <c r="F2278" s="37">
        <v>42487.388888888891</v>
      </c>
      <c r="G2278" s="37">
        <v>42487.395833333336</v>
      </c>
      <c r="H2278" s="1" t="s">
        <v>6</v>
      </c>
      <c r="I2278" s="1" t="s">
        <v>38</v>
      </c>
      <c r="J2278" s="1">
        <v>42487.396956018521</v>
      </c>
      <c r="K2278" s="1" t="s">
        <v>36</v>
      </c>
      <c r="L2278" s="14">
        <f>24*(TblTimeSheet[[#This Row],[End Date and Time]]-TblTimeSheet[[#This Row],[Start Date and Time]])</f>
        <v>0.16666666668606922</v>
      </c>
      <c r="M22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8" s="14">
        <f>--(0&gt;(TblTimeSheet[[#This Row],[End Date and Time]]-TblTimeSheet[[#This Row],[Start Date and Time]]))</f>
        <v>0</v>
      </c>
    </row>
    <row r="2279" spans="1:14" x14ac:dyDescent="0.25">
      <c r="A2279" s="1"/>
      <c r="B2279" s="2" t="s">
        <v>917</v>
      </c>
      <c r="C2279" s="2" t="s">
        <v>116</v>
      </c>
      <c r="D2279" s="2" t="s">
        <v>34</v>
      </c>
      <c r="E2279" s="7" t="s">
        <v>3241</v>
      </c>
      <c r="F2279" s="37">
        <v>42487.388888888891</v>
      </c>
      <c r="G2279" s="37">
        <v>42487.395833333336</v>
      </c>
      <c r="H2279" s="1" t="s">
        <v>6</v>
      </c>
      <c r="I2279" s="1" t="s">
        <v>38</v>
      </c>
      <c r="J2279" s="1">
        <v>42487.398298611108</v>
      </c>
      <c r="K2279" s="1" t="s">
        <v>39</v>
      </c>
      <c r="L2279" s="14">
        <f>24*(TblTimeSheet[[#This Row],[End Date and Time]]-TblTimeSheet[[#This Row],[Start Date and Time]])</f>
        <v>0.16666666668606922</v>
      </c>
      <c r="M22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79" s="14">
        <f>--(0&gt;(TblTimeSheet[[#This Row],[End Date and Time]]-TblTimeSheet[[#This Row],[Start Date and Time]]))</f>
        <v>0</v>
      </c>
    </row>
    <row r="2280" spans="1:14" x14ac:dyDescent="0.25">
      <c r="A2280" s="1"/>
      <c r="B2280" s="2" t="s">
        <v>917</v>
      </c>
      <c r="C2280" s="2" t="s">
        <v>116</v>
      </c>
      <c r="D2280" s="2" t="s">
        <v>34</v>
      </c>
      <c r="E2280" s="7" t="s">
        <v>3790</v>
      </c>
      <c r="F2280" s="37">
        <v>42486.722222222219</v>
      </c>
      <c r="G2280" s="37">
        <v>42486.729166666664</v>
      </c>
      <c r="H2280" s="1" t="s">
        <v>6</v>
      </c>
      <c r="I2280" s="1" t="s">
        <v>38</v>
      </c>
      <c r="J2280" s="1">
        <v>42487.402256944442</v>
      </c>
      <c r="K2280" s="1" t="s">
        <v>701</v>
      </c>
      <c r="L2280" s="14">
        <f>24*(TblTimeSheet[[#This Row],[End Date and Time]]-TblTimeSheet[[#This Row],[Start Date and Time]])</f>
        <v>0.16666666668606922</v>
      </c>
      <c r="M22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80" s="14">
        <f>--(0&gt;(TblTimeSheet[[#This Row],[End Date and Time]]-TblTimeSheet[[#This Row],[Start Date and Time]]))</f>
        <v>0</v>
      </c>
    </row>
    <row r="2281" spans="1:14" x14ac:dyDescent="0.25">
      <c r="A2281" s="1"/>
      <c r="B2281" s="2" t="s">
        <v>917</v>
      </c>
      <c r="C2281" s="2" t="s">
        <v>144</v>
      </c>
      <c r="D2281" s="2" t="s">
        <v>34</v>
      </c>
      <c r="E2281" s="7" t="s">
        <v>3242</v>
      </c>
      <c r="F2281" s="37">
        <v>42487.4375</v>
      </c>
      <c r="G2281" s="37">
        <v>42487.444444444445</v>
      </c>
      <c r="H2281" s="1" t="s">
        <v>6</v>
      </c>
      <c r="I2281" s="1" t="s">
        <v>38</v>
      </c>
      <c r="J2281" s="1">
        <v>42487.444722222222</v>
      </c>
      <c r="K2281" s="1" t="s">
        <v>144</v>
      </c>
      <c r="L2281" s="14">
        <f>24*(TblTimeSheet[[#This Row],[End Date and Time]]-TblTimeSheet[[#This Row],[Start Date and Time]])</f>
        <v>0.16666666668606922</v>
      </c>
      <c r="M22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1" s="14">
        <f>--(0&gt;(TblTimeSheet[[#This Row],[End Date and Time]]-TblTimeSheet[[#This Row],[Start Date and Time]]))</f>
        <v>0</v>
      </c>
    </row>
    <row r="2282" spans="1:14" x14ac:dyDescent="0.25">
      <c r="A2282" s="1"/>
      <c r="B2282" s="2" t="s">
        <v>917</v>
      </c>
      <c r="C2282" s="2" t="s">
        <v>116</v>
      </c>
      <c r="D2282" s="2" t="s">
        <v>34</v>
      </c>
      <c r="E2282" s="7" t="s">
        <v>3791</v>
      </c>
      <c r="F2282" s="37">
        <v>42487.458333333336</v>
      </c>
      <c r="G2282" s="37">
        <v>42487.506944444445</v>
      </c>
      <c r="H2282" s="1" t="s">
        <v>6</v>
      </c>
      <c r="I2282" s="1" t="s">
        <v>38</v>
      </c>
      <c r="J2282" s="1">
        <v>42487.508101851854</v>
      </c>
      <c r="K2282" s="1" t="s">
        <v>81</v>
      </c>
      <c r="L2282" s="14">
        <f>24*(TblTimeSheet[[#This Row],[End Date and Time]]-TblTimeSheet[[#This Row],[Start Date and Time]])</f>
        <v>1.1666666666278616</v>
      </c>
      <c r="M22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2" s="14">
        <f>--(0&gt;(TblTimeSheet[[#This Row],[End Date and Time]]-TblTimeSheet[[#This Row],[Start Date and Time]]))</f>
        <v>0</v>
      </c>
    </row>
    <row r="2283" spans="1:14" x14ac:dyDescent="0.25">
      <c r="A2283" s="1"/>
      <c r="B2283" s="2" t="s">
        <v>917</v>
      </c>
      <c r="C2283" s="2" t="s">
        <v>36</v>
      </c>
      <c r="D2283" s="2" t="s">
        <v>34</v>
      </c>
      <c r="E2283" s="7" t="s">
        <v>3243</v>
      </c>
      <c r="F2283" s="37">
        <v>42487.458333333336</v>
      </c>
      <c r="G2283" s="37">
        <v>42487.506944444445</v>
      </c>
      <c r="H2283" s="1" t="s">
        <v>6</v>
      </c>
      <c r="I2283" s="1" t="s">
        <v>38</v>
      </c>
      <c r="J2283" s="1">
        <v>42487.511319444442</v>
      </c>
      <c r="K2283" s="1" t="s">
        <v>36</v>
      </c>
      <c r="L2283" s="14">
        <f>24*(TblTimeSheet[[#This Row],[End Date and Time]]-TblTimeSheet[[#This Row],[Start Date and Time]])</f>
        <v>1.1666666666278616</v>
      </c>
      <c r="M22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3" s="14">
        <f>--(0&gt;(TblTimeSheet[[#This Row],[End Date and Time]]-TblTimeSheet[[#This Row],[Start Date and Time]]))</f>
        <v>0</v>
      </c>
    </row>
    <row r="2284" spans="1:14" x14ac:dyDescent="0.25">
      <c r="A2284" s="1"/>
      <c r="B2284" s="2" t="s">
        <v>917</v>
      </c>
      <c r="C2284" s="2" t="s">
        <v>144</v>
      </c>
      <c r="D2284" s="2" t="s">
        <v>34</v>
      </c>
      <c r="E2284" s="7" t="s">
        <v>3792</v>
      </c>
      <c r="F2284" s="37">
        <v>42487.576388888891</v>
      </c>
      <c r="G2284" s="37">
        <v>42487.611111111109</v>
      </c>
      <c r="H2284" s="1" t="s">
        <v>6</v>
      </c>
      <c r="I2284" s="1" t="s">
        <v>38</v>
      </c>
      <c r="J2284" s="1">
        <v>42487.619201388887</v>
      </c>
      <c r="K2284" s="1" t="s">
        <v>144</v>
      </c>
      <c r="L2284" s="14">
        <f>24*(TblTimeSheet[[#This Row],[End Date and Time]]-TblTimeSheet[[#This Row],[Start Date and Time]])</f>
        <v>0.83333333325572312</v>
      </c>
      <c r="M22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4" s="14">
        <f>--(0&gt;(TblTimeSheet[[#This Row],[End Date and Time]]-TblTimeSheet[[#This Row],[Start Date and Time]]))</f>
        <v>0</v>
      </c>
    </row>
    <row r="2285" spans="1:14" x14ac:dyDescent="0.25">
      <c r="A2285" s="1"/>
      <c r="B2285" s="2" t="s">
        <v>917</v>
      </c>
      <c r="C2285" s="2" t="s">
        <v>36</v>
      </c>
      <c r="D2285" s="2" t="s">
        <v>35</v>
      </c>
      <c r="E2285" s="7" t="s">
        <v>3244</v>
      </c>
      <c r="F2285" s="37">
        <v>42487.638888888891</v>
      </c>
      <c r="G2285" s="37">
        <v>42487.65625</v>
      </c>
      <c r="H2285" s="1" t="s">
        <v>6</v>
      </c>
      <c r="I2285" s="1" t="s">
        <v>38</v>
      </c>
      <c r="J2285" s="1">
        <v>42487.657349537039</v>
      </c>
      <c r="K2285" s="1" t="s">
        <v>36</v>
      </c>
      <c r="L2285" s="14">
        <f>24*(TblTimeSheet[[#This Row],[End Date and Time]]-TblTimeSheet[[#This Row],[Start Date and Time]])</f>
        <v>0.41666666662786156</v>
      </c>
      <c r="M22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5" s="14">
        <f>--(0&gt;(TblTimeSheet[[#This Row],[End Date and Time]]-TblTimeSheet[[#This Row],[Start Date and Time]]))</f>
        <v>0</v>
      </c>
    </row>
    <row r="2286" spans="1:14" x14ac:dyDescent="0.25">
      <c r="A2286" s="1"/>
      <c r="B2286" s="2" t="s">
        <v>917</v>
      </c>
      <c r="C2286" s="2" t="s">
        <v>36</v>
      </c>
      <c r="D2286" s="2" t="s">
        <v>35</v>
      </c>
      <c r="E2286" s="7" t="s">
        <v>3245</v>
      </c>
      <c r="F2286" s="37">
        <v>42487.767361111109</v>
      </c>
      <c r="G2286" s="37">
        <v>42487.784722222219</v>
      </c>
      <c r="H2286" s="1" t="s">
        <v>6</v>
      </c>
      <c r="I2286" s="1" t="s">
        <v>38</v>
      </c>
      <c r="J2286" s="1">
        <v>42487.786979166667</v>
      </c>
      <c r="K2286" s="1" t="s">
        <v>36</v>
      </c>
      <c r="L2286" s="14">
        <f>24*(TblTimeSheet[[#This Row],[End Date and Time]]-TblTimeSheet[[#This Row],[Start Date and Time]])</f>
        <v>0.41666666662786156</v>
      </c>
      <c r="M22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6" s="14">
        <f>--(0&gt;(TblTimeSheet[[#This Row],[End Date and Time]]-TblTimeSheet[[#This Row],[Start Date and Time]]))</f>
        <v>0</v>
      </c>
    </row>
    <row r="2287" spans="1:14" x14ac:dyDescent="0.25">
      <c r="A2287" s="1"/>
      <c r="B2287" s="2" t="s">
        <v>917</v>
      </c>
      <c r="C2287" s="2" t="s">
        <v>36</v>
      </c>
      <c r="D2287" s="2" t="s">
        <v>35</v>
      </c>
      <c r="E2287" s="7" t="s">
        <v>3793</v>
      </c>
      <c r="F2287" s="37">
        <v>42488.458333333336</v>
      </c>
      <c r="G2287" s="37">
        <v>42488.479166666664</v>
      </c>
      <c r="H2287" s="1" t="s">
        <v>6</v>
      </c>
      <c r="I2287" s="1" t="s">
        <v>38</v>
      </c>
      <c r="J2287" s="1">
        <v>42488.479479166665</v>
      </c>
      <c r="K2287" s="1" t="s">
        <v>36</v>
      </c>
      <c r="L2287" s="14">
        <f>24*(TblTimeSheet[[#This Row],[End Date and Time]]-TblTimeSheet[[#This Row],[Start Date and Time]])</f>
        <v>0.49999999988358468</v>
      </c>
      <c r="M22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7" s="14">
        <f>--(0&gt;(TblTimeSheet[[#This Row],[End Date and Time]]-TblTimeSheet[[#This Row],[Start Date and Time]]))</f>
        <v>0</v>
      </c>
    </row>
    <row r="2288" spans="1:14" x14ac:dyDescent="0.25">
      <c r="A2288" s="1"/>
      <c r="B2288" s="2" t="s">
        <v>917</v>
      </c>
      <c r="C2288" s="2" t="s">
        <v>1503</v>
      </c>
      <c r="D2288" s="2" t="s">
        <v>35</v>
      </c>
      <c r="E2288" s="7" t="s">
        <v>3246</v>
      </c>
      <c r="F2288" s="37">
        <v>42488.458333333336</v>
      </c>
      <c r="G2288" s="37">
        <v>42488.479166666664</v>
      </c>
      <c r="H2288" s="1" t="s">
        <v>6</v>
      </c>
      <c r="I2288" s="1" t="s">
        <v>38</v>
      </c>
      <c r="J2288" s="1">
        <v>42488.48332175926</v>
      </c>
      <c r="K2288" s="1" t="s">
        <v>2866</v>
      </c>
      <c r="L2288" s="14">
        <f>24*(TblTimeSheet[[#This Row],[End Date and Time]]-TblTimeSheet[[#This Row],[Start Date and Time]])</f>
        <v>0.49999999988358468</v>
      </c>
      <c r="M22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8" s="14">
        <f>--(0&gt;(TblTimeSheet[[#This Row],[End Date and Time]]-TblTimeSheet[[#This Row],[Start Date and Time]]))</f>
        <v>0</v>
      </c>
    </row>
    <row r="2289" spans="1:14" x14ac:dyDescent="0.25">
      <c r="A2289" s="1"/>
      <c r="B2289" s="2" t="s">
        <v>917</v>
      </c>
      <c r="C2289" s="2" t="s">
        <v>144</v>
      </c>
      <c r="D2289" s="2" t="s">
        <v>35</v>
      </c>
      <c r="E2289" s="7" t="s">
        <v>3247</v>
      </c>
      <c r="F2289" s="37">
        <v>42488.458333333336</v>
      </c>
      <c r="G2289" s="37">
        <v>42488.479166666664</v>
      </c>
      <c r="H2289" s="1" t="s">
        <v>6</v>
      </c>
      <c r="I2289" s="1" t="s">
        <v>38</v>
      </c>
      <c r="J2289" s="1">
        <v>42488.514803240738</v>
      </c>
      <c r="K2289" s="1" t="s">
        <v>144</v>
      </c>
      <c r="L2289" s="14">
        <f>24*(TblTimeSheet[[#This Row],[End Date and Time]]-TblTimeSheet[[#This Row],[Start Date and Time]])</f>
        <v>0.49999999988358468</v>
      </c>
      <c r="M22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89" s="14">
        <f>--(0&gt;(TblTimeSheet[[#This Row],[End Date and Time]]-TblTimeSheet[[#This Row],[Start Date and Time]]))</f>
        <v>0</v>
      </c>
    </row>
    <row r="2290" spans="1:14" x14ac:dyDescent="0.25">
      <c r="A2290" s="1"/>
      <c r="B2290" s="2" t="s">
        <v>917</v>
      </c>
      <c r="C2290" s="2" t="s">
        <v>36</v>
      </c>
      <c r="D2290" s="2" t="s">
        <v>35</v>
      </c>
      <c r="E2290" s="7" t="s">
        <v>3794</v>
      </c>
      <c r="F2290" s="37">
        <v>42488.513888888891</v>
      </c>
      <c r="G2290" s="37">
        <v>42488.534722222219</v>
      </c>
      <c r="H2290" s="1" t="s">
        <v>6</v>
      </c>
      <c r="I2290" s="1" t="s">
        <v>38</v>
      </c>
      <c r="J2290" s="1">
        <v>42488.539074074077</v>
      </c>
      <c r="K2290" s="1" t="s">
        <v>36</v>
      </c>
      <c r="L2290" s="14">
        <f>24*(TblTimeSheet[[#This Row],[End Date and Time]]-TblTimeSheet[[#This Row],[Start Date and Time]])</f>
        <v>0.49999999988358468</v>
      </c>
      <c r="M22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0" s="14">
        <f>--(0&gt;(TblTimeSheet[[#This Row],[End Date and Time]]-TblTimeSheet[[#This Row],[Start Date and Time]]))</f>
        <v>0</v>
      </c>
    </row>
    <row r="2291" spans="1:14" x14ac:dyDescent="0.25">
      <c r="A2291" s="1"/>
      <c r="B2291" s="2" t="s">
        <v>917</v>
      </c>
      <c r="C2291" s="2" t="s">
        <v>118</v>
      </c>
      <c r="D2291" s="2" t="s">
        <v>35</v>
      </c>
      <c r="E2291" s="7" t="s">
        <v>3248</v>
      </c>
      <c r="F2291" s="37">
        <v>42488.458333333336</v>
      </c>
      <c r="G2291" s="37">
        <v>42488.479166666664</v>
      </c>
      <c r="H2291" s="1" t="s">
        <v>6</v>
      </c>
      <c r="I2291" s="1" t="s">
        <v>38</v>
      </c>
      <c r="J2291" s="1">
        <v>42488.601319444446</v>
      </c>
      <c r="K2291" s="1" t="s">
        <v>118</v>
      </c>
      <c r="L2291" s="14">
        <f>24*(TblTimeSheet[[#This Row],[End Date and Time]]-TblTimeSheet[[#This Row],[Start Date and Time]])</f>
        <v>0.49999999988358468</v>
      </c>
      <c r="M22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1" s="14">
        <f>--(0&gt;(TblTimeSheet[[#This Row],[End Date and Time]]-TblTimeSheet[[#This Row],[Start Date and Time]]))</f>
        <v>0</v>
      </c>
    </row>
    <row r="2292" spans="1:14" x14ac:dyDescent="0.25">
      <c r="A2292" s="1"/>
      <c r="B2292" s="2" t="s">
        <v>917</v>
      </c>
      <c r="C2292" s="2" t="s">
        <v>116</v>
      </c>
      <c r="D2292" s="2" t="s">
        <v>35</v>
      </c>
      <c r="E2292" s="7" t="s">
        <v>3795</v>
      </c>
      <c r="F2292" s="37">
        <v>42488.458333333336</v>
      </c>
      <c r="G2292" s="37">
        <v>42488.479166666664</v>
      </c>
      <c r="H2292" s="1" t="s">
        <v>6</v>
      </c>
      <c r="I2292" s="1" t="s">
        <v>38</v>
      </c>
      <c r="J2292" s="1">
        <v>42488.601643518516</v>
      </c>
      <c r="K2292" s="1" t="s">
        <v>81</v>
      </c>
      <c r="L2292" s="14">
        <f>24*(TblTimeSheet[[#This Row],[End Date and Time]]-TblTimeSheet[[#This Row],[Start Date and Time]])</f>
        <v>0.49999999988358468</v>
      </c>
      <c r="M22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92" s="14">
        <f>--(0&gt;(TblTimeSheet[[#This Row],[End Date and Time]]-TblTimeSheet[[#This Row],[Start Date and Time]]))</f>
        <v>0</v>
      </c>
    </row>
    <row r="2293" spans="1:14" x14ac:dyDescent="0.25">
      <c r="A2293" s="1"/>
      <c r="B2293" s="2" t="s">
        <v>917</v>
      </c>
      <c r="C2293" s="2" t="s">
        <v>171</v>
      </c>
      <c r="D2293" s="2" t="s">
        <v>35</v>
      </c>
      <c r="E2293" s="7" t="s">
        <v>3796</v>
      </c>
      <c r="F2293" s="37">
        <v>42488.458333333336</v>
      </c>
      <c r="G2293" s="37">
        <v>42488.479166666664</v>
      </c>
      <c r="H2293" s="1" t="s">
        <v>6</v>
      </c>
      <c r="I2293" s="1" t="s">
        <v>38</v>
      </c>
      <c r="J2293" s="1">
        <v>42488.603125000001</v>
      </c>
      <c r="K2293" s="1" t="s">
        <v>171</v>
      </c>
      <c r="L2293" s="14">
        <f>24*(TblTimeSheet[[#This Row],[End Date and Time]]-TblTimeSheet[[#This Row],[Start Date and Time]])</f>
        <v>0.49999999988358468</v>
      </c>
      <c r="M22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3" s="14">
        <f>--(0&gt;(TblTimeSheet[[#This Row],[End Date and Time]]-TblTimeSheet[[#This Row],[Start Date and Time]]))</f>
        <v>0</v>
      </c>
    </row>
    <row r="2294" spans="1:14" x14ac:dyDescent="0.25">
      <c r="A2294" s="1"/>
      <c r="B2294" s="2" t="s">
        <v>917</v>
      </c>
      <c r="C2294" s="2" t="s">
        <v>43</v>
      </c>
      <c r="D2294" s="2" t="s">
        <v>35</v>
      </c>
      <c r="E2294" s="7" t="s">
        <v>3249</v>
      </c>
      <c r="F2294" s="37">
        <v>42488.458333333336</v>
      </c>
      <c r="G2294" s="37">
        <v>42488.479166666664</v>
      </c>
      <c r="H2294" s="1" t="s">
        <v>6</v>
      </c>
      <c r="I2294" s="1" t="s">
        <v>38</v>
      </c>
      <c r="J2294" s="1">
        <v>42488.607118055559</v>
      </c>
      <c r="K2294" s="1" t="s">
        <v>43</v>
      </c>
      <c r="L2294" s="14">
        <f>24*(TblTimeSheet[[#This Row],[End Date and Time]]-TblTimeSheet[[#This Row],[Start Date and Time]])</f>
        <v>0.49999999988358468</v>
      </c>
      <c r="M22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4" s="14">
        <f>--(0&gt;(TblTimeSheet[[#This Row],[End Date and Time]]-TblTimeSheet[[#This Row],[Start Date and Time]]))</f>
        <v>0</v>
      </c>
    </row>
    <row r="2295" spans="1:14" ht="30" x14ac:dyDescent="0.25">
      <c r="A2295" s="1"/>
      <c r="B2295" s="2" t="s">
        <v>917</v>
      </c>
      <c r="C2295" s="2" t="s">
        <v>116</v>
      </c>
      <c r="D2295" s="2" t="s">
        <v>35</v>
      </c>
      <c r="E2295" s="7" t="s">
        <v>3250</v>
      </c>
      <c r="F2295" s="37">
        <v>42488.604166666664</v>
      </c>
      <c r="G2295" s="37">
        <v>42488.614583333336</v>
      </c>
      <c r="H2295" s="1" t="s">
        <v>6</v>
      </c>
      <c r="I2295" s="1" t="s">
        <v>38</v>
      </c>
      <c r="J2295" s="1">
        <v>42488.617280092592</v>
      </c>
      <c r="K2295" s="1" t="s">
        <v>39</v>
      </c>
      <c r="L2295" s="14">
        <f>24*(TblTimeSheet[[#This Row],[End Date and Time]]-TblTimeSheet[[#This Row],[Start Date and Time]])</f>
        <v>0.25000000011641532</v>
      </c>
      <c r="M22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5" s="14">
        <f>--(0&gt;(TblTimeSheet[[#This Row],[End Date and Time]]-TblTimeSheet[[#This Row],[Start Date and Time]]))</f>
        <v>0</v>
      </c>
    </row>
    <row r="2296" spans="1:14" ht="30" x14ac:dyDescent="0.25">
      <c r="A2296" s="1"/>
      <c r="B2296" s="2" t="s">
        <v>917</v>
      </c>
      <c r="C2296" s="2" t="s">
        <v>36</v>
      </c>
      <c r="D2296" s="2" t="s">
        <v>35</v>
      </c>
      <c r="E2296" s="7" t="s">
        <v>3797</v>
      </c>
      <c r="F2296" s="37">
        <v>42488.604166666664</v>
      </c>
      <c r="G2296" s="37">
        <v>42488.614583333336</v>
      </c>
      <c r="H2296" s="1" t="s">
        <v>6</v>
      </c>
      <c r="I2296" s="1" t="s">
        <v>38</v>
      </c>
      <c r="J2296" s="1">
        <v>42488.728171296294</v>
      </c>
      <c r="K2296" s="1" t="s">
        <v>36</v>
      </c>
      <c r="L2296" s="14">
        <f>24*(TblTimeSheet[[#This Row],[End Date and Time]]-TblTimeSheet[[#This Row],[Start Date and Time]])</f>
        <v>0.25000000011641532</v>
      </c>
      <c r="M22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6" s="14">
        <f>--(0&gt;(TblTimeSheet[[#This Row],[End Date and Time]]-TblTimeSheet[[#This Row],[Start Date and Time]]))</f>
        <v>0</v>
      </c>
    </row>
    <row r="2297" spans="1:14" x14ac:dyDescent="0.25">
      <c r="A2297" s="1"/>
      <c r="B2297" s="2" t="s">
        <v>917</v>
      </c>
      <c r="C2297" s="2" t="s">
        <v>36</v>
      </c>
      <c r="D2297" s="2" t="s">
        <v>35</v>
      </c>
      <c r="E2297" s="7" t="s">
        <v>3251</v>
      </c>
      <c r="F2297" s="37">
        <v>42488.729166666664</v>
      </c>
      <c r="G2297" s="37">
        <v>42488.732638888891</v>
      </c>
      <c r="H2297" s="1" t="s">
        <v>6</v>
      </c>
      <c r="I2297" s="1" t="s">
        <v>38</v>
      </c>
      <c r="J2297" s="1">
        <v>42488.733159722222</v>
      </c>
      <c r="K2297" s="1" t="s">
        <v>36</v>
      </c>
      <c r="L2297" s="14">
        <f>24*(TblTimeSheet[[#This Row],[End Date and Time]]-TblTimeSheet[[#This Row],[Start Date and Time]])</f>
        <v>8.3333333430346102E-2</v>
      </c>
      <c r="M22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7" s="14">
        <f>--(0&gt;(TblTimeSheet[[#This Row],[End Date and Time]]-TblTimeSheet[[#This Row],[Start Date and Time]]))</f>
        <v>0</v>
      </c>
    </row>
    <row r="2298" spans="1:14" x14ac:dyDescent="0.25">
      <c r="A2298" s="1"/>
      <c r="B2298" s="2" t="s">
        <v>917</v>
      </c>
      <c r="C2298" s="2" t="s">
        <v>116</v>
      </c>
      <c r="D2298" s="2" t="s">
        <v>35</v>
      </c>
      <c r="E2298" s="7" t="s">
        <v>3252</v>
      </c>
      <c r="F2298" s="37">
        <v>42488.458333333336</v>
      </c>
      <c r="G2298" s="37">
        <v>42488.479166666664</v>
      </c>
      <c r="H2298" s="1" t="s">
        <v>6</v>
      </c>
      <c r="I2298" s="1" t="s">
        <v>38</v>
      </c>
      <c r="J2298" s="1">
        <v>42489.397129629629</v>
      </c>
      <c r="K2298" s="1" t="s">
        <v>701</v>
      </c>
      <c r="L2298" s="14">
        <f>24*(TblTimeSheet[[#This Row],[End Date and Time]]-TblTimeSheet[[#This Row],[Start Date and Time]])</f>
        <v>0.49999999988358468</v>
      </c>
      <c r="M22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298" s="14">
        <f>--(0&gt;(TblTimeSheet[[#This Row],[End Date and Time]]-TblTimeSheet[[#This Row],[Start Date and Time]]))</f>
        <v>0</v>
      </c>
    </row>
    <row r="2299" spans="1:14" x14ac:dyDescent="0.25">
      <c r="A2299" s="1"/>
      <c r="B2299" s="2" t="s">
        <v>917</v>
      </c>
      <c r="C2299" s="2" t="s">
        <v>36</v>
      </c>
      <c r="D2299" s="2" t="s">
        <v>35</v>
      </c>
      <c r="E2299" s="7" t="s">
        <v>3253</v>
      </c>
      <c r="F2299" s="37">
        <v>42489.607638888891</v>
      </c>
      <c r="G2299" s="37">
        <v>42489.614583333336</v>
      </c>
      <c r="H2299" s="1" t="s">
        <v>6</v>
      </c>
      <c r="I2299" s="1" t="s">
        <v>38</v>
      </c>
      <c r="J2299" s="1">
        <v>42489.616284722222</v>
      </c>
      <c r="K2299" s="1" t="s">
        <v>36</v>
      </c>
      <c r="L2299" s="14">
        <f>24*(TblTimeSheet[[#This Row],[End Date and Time]]-TblTimeSheet[[#This Row],[Start Date and Time]])</f>
        <v>0.16666666668606922</v>
      </c>
      <c r="M22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299" s="14">
        <f>--(0&gt;(TblTimeSheet[[#This Row],[End Date and Time]]-TblTimeSheet[[#This Row],[Start Date and Time]]))</f>
        <v>0</v>
      </c>
    </row>
    <row r="2300" spans="1:14" ht="30" x14ac:dyDescent="0.25">
      <c r="A2300" s="1"/>
      <c r="B2300" s="2" t="s">
        <v>917</v>
      </c>
      <c r="C2300" s="2" t="s">
        <v>116</v>
      </c>
      <c r="D2300" s="2" t="s">
        <v>35</v>
      </c>
      <c r="E2300" s="7" t="s">
        <v>3254</v>
      </c>
      <c r="F2300" s="37">
        <v>42489.607638888891</v>
      </c>
      <c r="G2300" s="37">
        <v>42489.614583333336</v>
      </c>
      <c r="H2300" s="1" t="s">
        <v>6</v>
      </c>
      <c r="I2300" s="1" t="s">
        <v>38</v>
      </c>
      <c r="J2300" s="1">
        <v>42489.628888888888</v>
      </c>
      <c r="K2300" s="1" t="s">
        <v>39</v>
      </c>
      <c r="L2300" s="14">
        <f>24*(TblTimeSheet[[#This Row],[End Date and Time]]-TblTimeSheet[[#This Row],[Start Date and Time]])</f>
        <v>0.16666666668606922</v>
      </c>
      <c r="M23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0" s="14">
        <f>--(0&gt;(TblTimeSheet[[#This Row],[End Date and Time]]-TblTimeSheet[[#This Row],[Start Date and Time]]))</f>
        <v>0</v>
      </c>
    </row>
    <row r="2301" spans="1:14" x14ac:dyDescent="0.25">
      <c r="A2301" s="1"/>
      <c r="B2301" s="2" t="s">
        <v>917</v>
      </c>
      <c r="C2301" s="2" t="s">
        <v>116</v>
      </c>
      <c r="D2301" s="2" t="s">
        <v>35</v>
      </c>
      <c r="E2301" s="7" t="s">
        <v>3798</v>
      </c>
      <c r="F2301" s="37">
        <v>42489.625</v>
      </c>
      <c r="G2301" s="37">
        <v>42489.642361111109</v>
      </c>
      <c r="H2301" s="1" t="s">
        <v>6</v>
      </c>
      <c r="I2301" s="1" t="s">
        <v>38</v>
      </c>
      <c r="J2301" s="1">
        <v>42489.641817129632</v>
      </c>
      <c r="K2301" s="1" t="s">
        <v>81</v>
      </c>
      <c r="L2301" s="14">
        <f>24*(TblTimeSheet[[#This Row],[End Date and Time]]-TblTimeSheet[[#This Row],[Start Date and Time]])</f>
        <v>0.41666666662786156</v>
      </c>
      <c r="M23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1" s="14">
        <f>--(0&gt;(TblTimeSheet[[#This Row],[End Date and Time]]-TblTimeSheet[[#This Row],[Start Date and Time]]))</f>
        <v>0</v>
      </c>
    </row>
    <row r="2302" spans="1:14" x14ac:dyDescent="0.25">
      <c r="A2302" s="1"/>
      <c r="B2302" s="2" t="s">
        <v>917</v>
      </c>
      <c r="C2302" s="2" t="s">
        <v>36</v>
      </c>
      <c r="D2302" s="2" t="s">
        <v>35</v>
      </c>
      <c r="E2302" s="7" t="s">
        <v>3255</v>
      </c>
      <c r="F2302" s="37">
        <v>42489.625</v>
      </c>
      <c r="G2302" s="37">
        <v>42489.642361111109</v>
      </c>
      <c r="H2302" s="1" t="s">
        <v>6</v>
      </c>
      <c r="I2302" s="1" t="s">
        <v>38</v>
      </c>
      <c r="J2302" s="1">
        <v>42489.64267361111</v>
      </c>
      <c r="K2302" s="1" t="s">
        <v>36</v>
      </c>
      <c r="L2302" s="14">
        <f>24*(TblTimeSheet[[#This Row],[End Date and Time]]-TblTimeSheet[[#This Row],[Start Date and Time]])</f>
        <v>0.41666666662786156</v>
      </c>
      <c r="M23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2" s="14">
        <f>--(0&gt;(TblTimeSheet[[#This Row],[End Date and Time]]-TblTimeSheet[[#This Row],[Start Date and Time]]))</f>
        <v>0</v>
      </c>
    </row>
    <row r="2303" spans="1:14" x14ac:dyDescent="0.25">
      <c r="A2303" s="1"/>
      <c r="B2303" s="2" t="s">
        <v>2876</v>
      </c>
      <c r="C2303" s="2" t="s">
        <v>116</v>
      </c>
      <c r="D2303" s="2" t="s">
        <v>105</v>
      </c>
      <c r="E2303" s="7" t="s">
        <v>3256</v>
      </c>
      <c r="F2303" s="37">
        <v>42509.458333333336</v>
      </c>
      <c r="G2303" s="37">
        <v>42509.5</v>
      </c>
      <c r="H2303" s="1" t="s">
        <v>6</v>
      </c>
      <c r="I2303" s="1" t="s">
        <v>38</v>
      </c>
      <c r="J2303" s="1">
        <v>42509.685787037037</v>
      </c>
      <c r="K2303" s="1" t="s">
        <v>39</v>
      </c>
      <c r="L2303" s="14">
        <f>24*(TblTimeSheet[[#This Row],[End Date and Time]]-TblTimeSheet[[#This Row],[Start Date and Time]])</f>
        <v>0.99999999994179234</v>
      </c>
      <c r="M23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03" s="14">
        <f>--(0&gt;(TblTimeSheet[[#This Row],[End Date and Time]]-TblTimeSheet[[#This Row],[Start Date and Time]]))</f>
        <v>0</v>
      </c>
    </row>
    <row r="2304" spans="1:14" x14ac:dyDescent="0.25">
      <c r="A2304" s="1"/>
      <c r="B2304" s="2" t="s">
        <v>105</v>
      </c>
      <c r="C2304" s="2" t="s">
        <v>36</v>
      </c>
      <c r="D2304" s="2" t="s">
        <v>105</v>
      </c>
      <c r="E2304" s="7" t="s">
        <v>3257</v>
      </c>
      <c r="F2304" s="37">
        <v>42509.458333333336</v>
      </c>
      <c r="G2304" s="37">
        <v>42509.541666666664</v>
      </c>
      <c r="H2304" s="1" t="s">
        <v>6</v>
      </c>
      <c r="I2304" s="1" t="s">
        <v>38</v>
      </c>
      <c r="J2304" s="1">
        <v>42509.729837962965</v>
      </c>
      <c r="K2304" s="1" t="s">
        <v>36</v>
      </c>
      <c r="L2304" s="14">
        <f>24*(TblTimeSheet[[#This Row],[End Date and Time]]-TblTimeSheet[[#This Row],[Start Date and Time]])</f>
        <v>1.9999999998835847</v>
      </c>
      <c r="M23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4" s="14">
        <f>--(0&gt;(TblTimeSheet[[#This Row],[End Date and Time]]-TblTimeSheet[[#This Row],[Start Date and Time]]))</f>
        <v>0</v>
      </c>
    </row>
    <row r="2305" spans="1:14" x14ac:dyDescent="0.25">
      <c r="A2305" s="1"/>
      <c r="B2305" s="2" t="s">
        <v>105</v>
      </c>
      <c r="C2305" s="2" t="s">
        <v>36</v>
      </c>
      <c r="D2305" s="2" t="s">
        <v>105</v>
      </c>
      <c r="E2305" s="7" t="s">
        <v>3258</v>
      </c>
      <c r="F2305" s="37">
        <v>42509.645833333336</v>
      </c>
      <c r="G2305" s="37">
        <v>42509.666666666664</v>
      </c>
      <c r="H2305" s="1" t="s">
        <v>6</v>
      </c>
      <c r="I2305" s="1" t="s">
        <v>38</v>
      </c>
      <c r="J2305" s="1">
        <v>42509.731180555558</v>
      </c>
      <c r="K2305" s="1" t="s">
        <v>36</v>
      </c>
      <c r="L2305" s="14">
        <f>24*(TblTimeSheet[[#This Row],[End Date and Time]]-TblTimeSheet[[#This Row],[Start Date and Time]])</f>
        <v>0.49999999988358468</v>
      </c>
      <c r="M23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5" s="14">
        <f>--(0&gt;(TblTimeSheet[[#This Row],[End Date and Time]]-TblTimeSheet[[#This Row],[Start Date and Time]]))</f>
        <v>0</v>
      </c>
    </row>
    <row r="2306" spans="1:14" ht="30" x14ac:dyDescent="0.25">
      <c r="A2306" s="1"/>
      <c r="B2306" s="2" t="s">
        <v>2878</v>
      </c>
      <c r="C2306" s="2" t="s">
        <v>36</v>
      </c>
      <c r="D2306" s="2" t="s">
        <v>3259</v>
      </c>
      <c r="E2306" s="7" t="s">
        <v>3260</v>
      </c>
      <c r="F2306" s="37">
        <v>42511.378472222219</v>
      </c>
      <c r="G2306" s="37">
        <v>42511.392361111109</v>
      </c>
      <c r="H2306" s="1" t="s">
        <v>6</v>
      </c>
      <c r="I2306" s="1" t="s">
        <v>38</v>
      </c>
      <c r="J2306" s="1">
        <v>42511.393101851849</v>
      </c>
      <c r="K2306" s="1" t="s">
        <v>36</v>
      </c>
      <c r="L2306" s="14">
        <f>24*(TblTimeSheet[[#This Row],[End Date and Time]]-TblTimeSheet[[#This Row],[Start Date and Time]])</f>
        <v>0.33333333337213844</v>
      </c>
      <c r="M23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6" s="14">
        <f>--(0&gt;(TblTimeSheet[[#This Row],[End Date and Time]]-TblTimeSheet[[#This Row],[Start Date and Time]]))</f>
        <v>0</v>
      </c>
    </row>
    <row r="2307" spans="1:14" ht="45" x14ac:dyDescent="0.25">
      <c r="A2307" s="1"/>
      <c r="B2307" s="2" t="s">
        <v>2878</v>
      </c>
      <c r="C2307" s="2" t="s">
        <v>36</v>
      </c>
      <c r="D2307" s="2" t="s">
        <v>3259</v>
      </c>
      <c r="E2307" s="7" t="s">
        <v>3799</v>
      </c>
      <c r="F2307" s="37">
        <v>42511.399305555555</v>
      </c>
      <c r="G2307" s="37">
        <v>42511.413194444445</v>
      </c>
      <c r="H2307" s="1" t="s">
        <v>6</v>
      </c>
      <c r="I2307" s="1" t="s">
        <v>38</v>
      </c>
      <c r="J2307" s="1">
        <v>42511.413622685184</v>
      </c>
      <c r="K2307" s="1" t="s">
        <v>36</v>
      </c>
      <c r="L2307" s="14">
        <f>24*(TblTimeSheet[[#This Row],[End Date and Time]]-TblTimeSheet[[#This Row],[Start Date and Time]])</f>
        <v>0.33333333337213844</v>
      </c>
      <c r="M23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7" s="14">
        <f>--(0&gt;(TblTimeSheet[[#This Row],[End Date and Time]]-TblTimeSheet[[#This Row],[Start Date and Time]]))</f>
        <v>0</v>
      </c>
    </row>
    <row r="2308" spans="1:14" ht="30" x14ac:dyDescent="0.25">
      <c r="A2308" s="1"/>
      <c r="B2308" s="2" t="s">
        <v>2878</v>
      </c>
      <c r="C2308" s="2" t="s">
        <v>36</v>
      </c>
      <c r="D2308" s="2" t="s">
        <v>3261</v>
      </c>
      <c r="E2308" s="7" t="s">
        <v>3262</v>
      </c>
      <c r="F2308" s="37">
        <v>42511.416666666664</v>
      </c>
      <c r="G2308" s="37">
        <v>42511.420138888891</v>
      </c>
      <c r="H2308" s="1" t="s">
        <v>6</v>
      </c>
      <c r="I2308" s="1" t="s">
        <v>38</v>
      </c>
      <c r="J2308" s="1">
        <v>42511.419814814813</v>
      </c>
      <c r="K2308" s="1" t="s">
        <v>36</v>
      </c>
      <c r="L2308" s="14">
        <f>24*(TblTimeSheet[[#This Row],[End Date and Time]]-TblTimeSheet[[#This Row],[Start Date and Time]])</f>
        <v>8.3333333430346102E-2</v>
      </c>
      <c r="M23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8" s="14">
        <f>--(0&gt;(TblTimeSheet[[#This Row],[End Date and Time]]-TblTimeSheet[[#This Row],[Start Date and Time]]))</f>
        <v>0</v>
      </c>
    </row>
    <row r="2309" spans="1:14" x14ac:dyDescent="0.25">
      <c r="A2309" s="1"/>
      <c r="B2309" s="2" t="s">
        <v>2878</v>
      </c>
      <c r="C2309" s="2" t="s">
        <v>36</v>
      </c>
      <c r="D2309" s="2" t="s">
        <v>3261</v>
      </c>
      <c r="E2309" s="7" t="s">
        <v>3800</v>
      </c>
      <c r="F2309" s="37">
        <v>42511.420138888891</v>
      </c>
      <c r="G2309" s="37">
        <v>42511.444444444445</v>
      </c>
      <c r="H2309" s="1" t="s">
        <v>6</v>
      </c>
      <c r="I2309" s="1" t="s">
        <v>38</v>
      </c>
      <c r="J2309" s="1">
        <v>42511.443402777775</v>
      </c>
      <c r="K2309" s="1" t="s">
        <v>36</v>
      </c>
      <c r="L2309" s="14">
        <f>24*(TblTimeSheet[[#This Row],[End Date and Time]]-TblTimeSheet[[#This Row],[Start Date and Time]])</f>
        <v>0.58333333331393078</v>
      </c>
      <c r="M23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09" s="14">
        <f>--(0&gt;(TblTimeSheet[[#This Row],[End Date and Time]]-TblTimeSheet[[#This Row],[Start Date and Time]]))</f>
        <v>0</v>
      </c>
    </row>
    <row r="2310" spans="1:14" x14ac:dyDescent="0.25">
      <c r="A2310" s="1"/>
      <c r="B2310" s="2" t="s">
        <v>2878</v>
      </c>
      <c r="C2310" s="2" t="s">
        <v>116</v>
      </c>
      <c r="D2310" s="2" t="s">
        <v>3263</v>
      </c>
      <c r="E2310" s="7" t="s">
        <v>3264</v>
      </c>
      <c r="F2310" s="37">
        <v>42511.375</v>
      </c>
      <c r="G2310" s="37">
        <v>42511.5</v>
      </c>
      <c r="H2310" s="1" t="s">
        <v>6</v>
      </c>
      <c r="I2310" s="1" t="s">
        <v>38</v>
      </c>
      <c r="J2310" s="1">
        <v>42511.620810185188</v>
      </c>
      <c r="K2310" s="1" t="s">
        <v>39</v>
      </c>
      <c r="L2310" s="14">
        <f>24*(TblTimeSheet[[#This Row],[End Date and Time]]-TblTimeSheet[[#This Row],[Start Date and Time]])</f>
        <v>3</v>
      </c>
      <c r="M23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10" s="14">
        <f>--(0&gt;(TblTimeSheet[[#This Row],[End Date and Time]]-TblTimeSheet[[#This Row],[Start Date and Time]]))</f>
        <v>0</v>
      </c>
    </row>
    <row r="2311" spans="1:14" x14ac:dyDescent="0.25">
      <c r="A2311" s="1"/>
      <c r="B2311" s="2" t="s">
        <v>105</v>
      </c>
      <c r="C2311" s="2" t="s">
        <v>36</v>
      </c>
      <c r="D2311" s="2" t="s">
        <v>105</v>
      </c>
      <c r="E2311" s="7" t="s">
        <v>3265</v>
      </c>
      <c r="F2311" s="37">
        <v>42511.458333333336</v>
      </c>
      <c r="G2311" s="37">
        <v>42511.53125</v>
      </c>
      <c r="H2311" s="1" t="s">
        <v>6</v>
      </c>
      <c r="I2311" s="1" t="s">
        <v>38</v>
      </c>
      <c r="J2311" s="1">
        <v>42511.629293981481</v>
      </c>
      <c r="K2311" s="1" t="s">
        <v>36</v>
      </c>
      <c r="L2311" s="14">
        <f>24*(TblTimeSheet[[#This Row],[End Date and Time]]-TblTimeSheet[[#This Row],[Start Date and Time]])</f>
        <v>1.7499999999417923</v>
      </c>
      <c r="M23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1" s="14">
        <f>--(0&gt;(TblTimeSheet[[#This Row],[End Date and Time]]-TblTimeSheet[[#This Row],[Start Date and Time]]))</f>
        <v>0</v>
      </c>
    </row>
    <row r="2312" spans="1:14" ht="30" x14ac:dyDescent="0.25">
      <c r="A2312" s="1"/>
      <c r="B2312" s="2" t="s">
        <v>2878</v>
      </c>
      <c r="C2312" s="2" t="s">
        <v>36</v>
      </c>
      <c r="D2312" s="2" t="s">
        <v>3261</v>
      </c>
      <c r="E2312" s="7" t="s">
        <v>3801</v>
      </c>
      <c r="F2312" s="37">
        <v>42511.59375</v>
      </c>
      <c r="G2312" s="37">
        <v>42511.628472222219</v>
      </c>
      <c r="H2312" s="1" t="s">
        <v>6</v>
      </c>
      <c r="I2312" s="1" t="s">
        <v>38</v>
      </c>
      <c r="J2312" s="1">
        <v>42511.630208333336</v>
      </c>
      <c r="K2312" s="1" t="s">
        <v>36</v>
      </c>
      <c r="L2312" s="14">
        <f>24*(TblTimeSheet[[#This Row],[End Date and Time]]-TblTimeSheet[[#This Row],[Start Date and Time]])</f>
        <v>0.83333333325572312</v>
      </c>
      <c r="M23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2" s="14">
        <f>--(0&gt;(TblTimeSheet[[#This Row],[End Date and Time]]-TblTimeSheet[[#This Row],[Start Date and Time]]))</f>
        <v>0</v>
      </c>
    </row>
    <row r="2313" spans="1:14" x14ac:dyDescent="0.25">
      <c r="A2313" s="1"/>
      <c r="B2313" s="2" t="s">
        <v>2878</v>
      </c>
      <c r="C2313" s="2" t="s">
        <v>116</v>
      </c>
      <c r="D2313" s="2" t="s">
        <v>3261</v>
      </c>
      <c r="E2313" s="7" t="s">
        <v>3266</v>
      </c>
      <c r="F2313" s="37">
        <v>42511.583333333336</v>
      </c>
      <c r="G2313" s="37">
        <v>42511.625</v>
      </c>
      <c r="H2313" s="1" t="s">
        <v>6</v>
      </c>
      <c r="I2313" s="1" t="s">
        <v>38</v>
      </c>
      <c r="J2313" s="1">
        <v>42511.632962962962</v>
      </c>
      <c r="K2313" s="1" t="s">
        <v>39</v>
      </c>
      <c r="L2313" s="14">
        <f>24*(TblTimeSheet[[#This Row],[End Date and Time]]-TblTimeSheet[[#This Row],[Start Date and Time]])</f>
        <v>0.99999999994179234</v>
      </c>
      <c r="M23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13" s="14">
        <f>--(0&gt;(TblTimeSheet[[#This Row],[End Date and Time]]-TblTimeSheet[[#This Row],[Start Date and Time]]))</f>
        <v>0</v>
      </c>
    </row>
    <row r="2314" spans="1:14" x14ac:dyDescent="0.25">
      <c r="A2314" s="1"/>
      <c r="B2314" s="2" t="s">
        <v>2878</v>
      </c>
      <c r="C2314" s="2" t="s">
        <v>36</v>
      </c>
      <c r="D2314" s="2" t="s">
        <v>3261</v>
      </c>
      <c r="E2314" s="7" t="s">
        <v>3267</v>
      </c>
      <c r="F2314" s="37">
        <v>42511.631944444445</v>
      </c>
      <c r="G2314" s="37">
        <v>42511.711805555555</v>
      </c>
      <c r="H2314" s="1" t="s">
        <v>6</v>
      </c>
      <c r="I2314" s="1" t="s">
        <v>38</v>
      </c>
      <c r="J2314" s="1">
        <v>42511.715497685182</v>
      </c>
      <c r="K2314" s="1" t="s">
        <v>36</v>
      </c>
      <c r="L2314" s="14">
        <f>24*(TblTimeSheet[[#This Row],[End Date and Time]]-TblTimeSheet[[#This Row],[Start Date and Time]])</f>
        <v>1.9166666666278616</v>
      </c>
      <c r="M23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4" s="14">
        <f>--(0&gt;(TblTimeSheet[[#This Row],[End Date and Time]]-TblTimeSheet[[#This Row],[Start Date and Time]]))</f>
        <v>0</v>
      </c>
    </row>
    <row r="2315" spans="1:14" x14ac:dyDescent="0.25">
      <c r="A2315" s="1"/>
      <c r="B2315" s="2" t="s">
        <v>2878</v>
      </c>
      <c r="C2315" s="2" t="s">
        <v>924</v>
      </c>
      <c r="D2315" s="2" t="s">
        <v>3261</v>
      </c>
      <c r="E2315" s="7" t="s">
        <v>3268</v>
      </c>
      <c r="F2315" s="37">
        <v>42513.395833333336</v>
      </c>
      <c r="G2315" s="37">
        <v>42513.416666666664</v>
      </c>
      <c r="H2315" s="1" t="s">
        <v>6</v>
      </c>
      <c r="I2315" s="1" t="s">
        <v>38</v>
      </c>
      <c r="J2315" s="1">
        <v>42513.414560185185</v>
      </c>
      <c r="K2315" s="1" t="s">
        <v>924</v>
      </c>
      <c r="L2315" s="14">
        <f>24*(TblTimeSheet[[#This Row],[End Date and Time]]-TblTimeSheet[[#This Row],[Start Date and Time]])</f>
        <v>0.49999999988358468</v>
      </c>
      <c r="M23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5" s="14">
        <f>--(0&gt;(TblTimeSheet[[#This Row],[End Date and Time]]-TblTimeSheet[[#This Row],[Start Date and Time]]))</f>
        <v>0</v>
      </c>
    </row>
    <row r="2316" spans="1:14" ht="30" x14ac:dyDescent="0.25">
      <c r="A2316" s="1"/>
      <c r="B2316" s="2" t="s">
        <v>105</v>
      </c>
      <c r="C2316" s="2" t="s">
        <v>36</v>
      </c>
      <c r="D2316" s="2" t="s">
        <v>105</v>
      </c>
      <c r="E2316" s="7" t="s">
        <v>3802</v>
      </c>
      <c r="F2316" s="37">
        <v>42513.395833333336</v>
      </c>
      <c r="G2316" s="37">
        <v>42513.434027777781</v>
      </c>
      <c r="H2316" s="1" t="s">
        <v>6</v>
      </c>
      <c r="I2316" s="1" t="s">
        <v>38</v>
      </c>
      <c r="J2316" s="1">
        <v>42513.463877314818</v>
      </c>
      <c r="K2316" s="1" t="s">
        <v>36</v>
      </c>
      <c r="L2316" s="14">
        <f>24*(TblTimeSheet[[#This Row],[End Date and Time]]-TblTimeSheet[[#This Row],[Start Date and Time]])</f>
        <v>0.91666666668606922</v>
      </c>
      <c r="M23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6" s="14">
        <f>--(0&gt;(TblTimeSheet[[#This Row],[End Date and Time]]-TblTimeSheet[[#This Row],[Start Date and Time]]))</f>
        <v>0</v>
      </c>
    </row>
    <row r="2317" spans="1:14" ht="30" x14ac:dyDescent="0.25">
      <c r="A2317" s="1"/>
      <c r="B2317" s="2" t="s">
        <v>2878</v>
      </c>
      <c r="C2317" s="2" t="s">
        <v>36</v>
      </c>
      <c r="D2317" s="2" t="s">
        <v>3261</v>
      </c>
      <c r="E2317" s="7" t="s">
        <v>3803</v>
      </c>
      <c r="F2317" s="37">
        <v>42513.440972222219</v>
      </c>
      <c r="G2317" s="37">
        <v>42513.458333333336</v>
      </c>
      <c r="H2317" s="1" t="s">
        <v>6</v>
      </c>
      <c r="I2317" s="1" t="s">
        <v>38</v>
      </c>
      <c r="J2317" s="1">
        <v>42513.465162037035</v>
      </c>
      <c r="K2317" s="1" t="s">
        <v>36</v>
      </c>
      <c r="L2317" s="14">
        <f>24*(TblTimeSheet[[#This Row],[End Date and Time]]-TblTimeSheet[[#This Row],[Start Date and Time]])</f>
        <v>0.41666666680248454</v>
      </c>
      <c r="M23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7" s="14">
        <f>--(0&gt;(TblTimeSheet[[#This Row],[End Date and Time]]-TblTimeSheet[[#This Row],[Start Date and Time]]))</f>
        <v>0</v>
      </c>
    </row>
    <row r="2318" spans="1:14" x14ac:dyDescent="0.25">
      <c r="A2318" s="1"/>
      <c r="B2318" s="2" t="s">
        <v>2878</v>
      </c>
      <c r="C2318" s="2" t="s">
        <v>1503</v>
      </c>
      <c r="D2318" s="2" t="s">
        <v>3263</v>
      </c>
      <c r="E2318" s="7" t="s">
        <v>3269</v>
      </c>
      <c r="F2318" s="37">
        <v>42513.375</v>
      </c>
      <c r="G2318" s="37">
        <v>42513.458333333336</v>
      </c>
      <c r="H2318" s="1" t="s">
        <v>6</v>
      </c>
      <c r="I2318" s="1" t="s">
        <v>38</v>
      </c>
      <c r="J2318" s="1">
        <v>42513.554293981484</v>
      </c>
      <c r="K2318" s="1" t="s">
        <v>2866</v>
      </c>
      <c r="L2318" s="14">
        <f>24*(TblTimeSheet[[#This Row],[End Date and Time]]-TblTimeSheet[[#This Row],[Start Date and Time]])</f>
        <v>2.0000000000582077</v>
      </c>
      <c r="M23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8" s="14">
        <f>--(0&gt;(TblTimeSheet[[#This Row],[End Date and Time]]-TblTimeSheet[[#This Row],[Start Date and Time]]))</f>
        <v>0</v>
      </c>
    </row>
    <row r="2319" spans="1:14" x14ac:dyDescent="0.25">
      <c r="A2319" s="1"/>
      <c r="B2319" s="2" t="s">
        <v>2878</v>
      </c>
      <c r="C2319" s="2" t="s">
        <v>1503</v>
      </c>
      <c r="D2319" s="2" t="s">
        <v>3263</v>
      </c>
      <c r="E2319" s="7" t="s">
        <v>3270</v>
      </c>
      <c r="F2319" s="37">
        <v>42513.458333333336</v>
      </c>
      <c r="G2319" s="37">
        <v>42513.541666666664</v>
      </c>
      <c r="H2319" s="1" t="s">
        <v>6</v>
      </c>
      <c r="I2319" s="1" t="s">
        <v>38</v>
      </c>
      <c r="J2319" s="1">
        <v>42513.556215277778</v>
      </c>
      <c r="K2319" s="1" t="s">
        <v>2866</v>
      </c>
      <c r="L2319" s="14">
        <f>24*(TblTimeSheet[[#This Row],[End Date and Time]]-TblTimeSheet[[#This Row],[Start Date and Time]])</f>
        <v>1.9999999998835847</v>
      </c>
      <c r="M23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19" s="14">
        <f>--(0&gt;(TblTimeSheet[[#This Row],[End Date and Time]]-TblTimeSheet[[#This Row],[Start Date and Time]]))</f>
        <v>0</v>
      </c>
    </row>
    <row r="2320" spans="1:14" x14ac:dyDescent="0.25">
      <c r="A2320" s="1"/>
      <c r="B2320" s="2" t="s">
        <v>2878</v>
      </c>
      <c r="C2320" s="2" t="s">
        <v>36</v>
      </c>
      <c r="D2320" s="2" t="s">
        <v>3261</v>
      </c>
      <c r="E2320" s="7" t="s">
        <v>3271</v>
      </c>
      <c r="F2320" s="37">
        <v>42513.461805555555</v>
      </c>
      <c r="G2320" s="37">
        <v>42513.472222222219</v>
      </c>
      <c r="H2320" s="1" t="s">
        <v>6</v>
      </c>
      <c r="I2320" s="1" t="s">
        <v>38</v>
      </c>
      <c r="J2320" s="1">
        <v>42513.610671296294</v>
      </c>
      <c r="K2320" s="1" t="s">
        <v>36</v>
      </c>
      <c r="L2320" s="14">
        <f>24*(TblTimeSheet[[#This Row],[End Date and Time]]-TblTimeSheet[[#This Row],[Start Date and Time]])</f>
        <v>0.24999999994179234</v>
      </c>
      <c r="M23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0" s="14">
        <f>--(0&gt;(TblTimeSheet[[#This Row],[End Date and Time]]-TblTimeSheet[[#This Row],[Start Date and Time]]))</f>
        <v>0</v>
      </c>
    </row>
    <row r="2321" spans="1:14" x14ac:dyDescent="0.25">
      <c r="A2321" s="1"/>
      <c r="B2321" s="2" t="s">
        <v>2878</v>
      </c>
      <c r="C2321" s="2" t="s">
        <v>36</v>
      </c>
      <c r="D2321" s="2" t="s">
        <v>3261</v>
      </c>
      <c r="E2321" s="7" t="s">
        <v>3272</v>
      </c>
      <c r="F2321" s="37">
        <v>42513.486111111109</v>
      </c>
      <c r="G2321" s="37">
        <v>42513.559027777781</v>
      </c>
      <c r="H2321" s="1" t="s">
        <v>6</v>
      </c>
      <c r="I2321" s="1" t="s">
        <v>38</v>
      </c>
      <c r="J2321" s="1">
        <v>42513.611238425925</v>
      </c>
      <c r="K2321" s="1" t="s">
        <v>36</v>
      </c>
      <c r="L2321" s="14">
        <f>24*(TblTimeSheet[[#This Row],[End Date and Time]]-TblTimeSheet[[#This Row],[Start Date and Time]])</f>
        <v>1.7500000001164153</v>
      </c>
      <c r="M23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1" s="14">
        <f>--(0&gt;(TblTimeSheet[[#This Row],[End Date and Time]]-TblTimeSheet[[#This Row],[Start Date and Time]]))</f>
        <v>0</v>
      </c>
    </row>
    <row r="2322" spans="1:14" x14ac:dyDescent="0.25">
      <c r="A2322" s="1"/>
      <c r="B2322" s="2" t="s">
        <v>2878</v>
      </c>
      <c r="C2322" s="2" t="s">
        <v>36</v>
      </c>
      <c r="D2322" s="2" t="s">
        <v>3261</v>
      </c>
      <c r="E2322" s="7" t="s">
        <v>3273</v>
      </c>
      <c r="F2322" s="37">
        <v>42513.611111111109</v>
      </c>
      <c r="G2322" s="37">
        <v>42513.618055555555</v>
      </c>
      <c r="H2322" s="1" t="s">
        <v>6</v>
      </c>
      <c r="I2322" s="1" t="s">
        <v>38</v>
      </c>
      <c r="J2322" s="1">
        <v>42513.622152777774</v>
      </c>
      <c r="K2322" s="1" t="s">
        <v>36</v>
      </c>
      <c r="L2322" s="14">
        <f>24*(TblTimeSheet[[#This Row],[End Date and Time]]-TblTimeSheet[[#This Row],[Start Date and Time]])</f>
        <v>0.16666666668606922</v>
      </c>
      <c r="M23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2" s="14">
        <f>--(0&gt;(TblTimeSheet[[#This Row],[End Date and Time]]-TblTimeSheet[[#This Row],[Start Date and Time]]))</f>
        <v>0</v>
      </c>
    </row>
    <row r="2323" spans="1:14" ht="30" x14ac:dyDescent="0.25">
      <c r="A2323" s="1"/>
      <c r="B2323" s="2" t="s">
        <v>2878</v>
      </c>
      <c r="C2323" s="2" t="s">
        <v>36</v>
      </c>
      <c r="D2323" s="2" t="s">
        <v>3263</v>
      </c>
      <c r="E2323" s="7" t="s">
        <v>3804</v>
      </c>
      <c r="F2323" s="37">
        <v>42513.625</v>
      </c>
      <c r="G2323" s="37">
        <v>42513.732638888891</v>
      </c>
      <c r="H2323" s="1" t="s">
        <v>6</v>
      </c>
      <c r="I2323" s="1" t="s">
        <v>38</v>
      </c>
      <c r="J2323" s="1">
        <v>42513.732476851852</v>
      </c>
      <c r="K2323" s="1" t="s">
        <v>36</v>
      </c>
      <c r="L2323" s="14">
        <f>24*(TblTimeSheet[[#This Row],[End Date and Time]]-TblTimeSheet[[#This Row],[Start Date and Time]])</f>
        <v>2.5833333333721384</v>
      </c>
      <c r="M23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3" s="14">
        <f>--(0&gt;(TblTimeSheet[[#This Row],[End Date and Time]]-TblTimeSheet[[#This Row],[Start Date and Time]]))</f>
        <v>0</v>
      </c>
    </row>
    <row r="2324" spans="1:14" x14ac:dyDescent="0.25">
      <c r="A2324" s="1"/>
      <c r="B2324" s="2" t="s">
        <v>2878</v>
      </c>
      <c r="C2324" s="2" t="s">
        <v>116</v>
      </c>
      <c r="D2324" s="2" t="s">
        <v>3263</v>
      </c>
      <c r="E2324" s="7" t="s">
        <v>3274</v>
      </c>
      <c r="F2324" s="37">
        <v>42513.385416666664</v>
      </c>
      <c r="G2324" s="37">
        <v>42513.552083333336</v>
      </c>
      <c r="H2324" s="1" t="s">
        <v>6</v>
      </c>
      <c r="I2324" s="1" t="s">
        <v>38</v>
      </c>
      <c r="J2324" s="1">
        <v>42513.735324074078</v>
      </c>
      <c r="K2324" s="1" t="s">
        <v>701</v>
      </c>
      <c r="L2324" s="14">
        <f>24*(TblTimeSheet[[#This Row],[End Date and Time]]-TblTimeSheet[[#This Row],[Start Date and Time]])</f>
        <v>4.0000000001164153</v>
      </c>
      <c r="M23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4" s="14">
        <f>--(0&gt;(TblTimeSheet[[#This Row],[End Date and Time]]-TblTimeSheet[[#This Row],[Start Date and Time]]))</f>
        <v>0</v>
      </c>
    </row>
    <row r="2325" spans="1:14" x14ac:dyDescent="0.25">
      <c r="A2325" s="1"/>
      <c r="B2325" s="2" t="s">
        <v>2878</v>
      </c>
      <c r="C2325" s="2" t="s">
        <v>1503</v>
      </c>
      <c r="D2325" s="2" t="s">
        <v>3261</v>
      </c>
      <c r="E2325" s="7" t="s">
        <v>3275</v>
      </c>
      <c r="F2325" s="37">
        <v>42513.5625</v>
      </c>
      <c r="G2325" s="37">
        <v>42513.583333333336</v>
      </c>
      <c r="H2325" s="1" t="s">
        <v>6</v>
      </c>
      <c r="I2325" s="1" t="s">
        <v>38</v>
      </c>
      <c r="J2325" s="1">
        <v>42513.735601851855</v>
      </c>
      <c r="K2325" s="1" t="s">
        <v>2866</v>
      </c>
      <c r="L2325" s="14">
        <f>24*(TblTimeSheet[[#This Row],[End Date and Time]]-TblTimeSheet[[#This Row],[Start Date and Time]])</f>
        <v>0.50000000005820766</v>
      </c>
      <c r="M23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5" s="14">
        <f>--(0&gt;(TblTimeSheet[[#This Row],[End Date and Time]]-TblTimeSheet[[#This Row],[Start Date and Time]]))</f>
        <v>0</v>
      </c>
    </row>
    <row r="2326" spans="1:14" x14ac:dyDescent="0.25">
      <c r="A2326" s="1"/>
      <c r="B2326" s="2" t="s">
        <v>2878</v>
      </c>
      <c r="C2326" s="2" t="s">
        <v>116</v>
      </c>
      <c r="D2326" s="2" t="s">
        <v>3263</v>
      </c>
      <c r="E2326" s="7" t="s">
        <v>3274</v>
      </c>
      <c r="F2326" s="37">
        <v>42513.572916666664</v>
      </c>
      <c r="G2326" s="37">
        <v>42513.736111111109</v>
      </c>
      <c r="H2326" s="1" t="s">
        <v>6</v>
      </c>
      <c r="I2326" s="1" t="s">
        <v>38</v>
      </c>
      <c r="J2326" s="1">
        <v>42513.735717592594</v>
      </c>
      <c r="K2326" s="1" t="s">
        <v>701</v>
      </c>
      <c r="L2326" s="14">
        <f>24*(TblTimeSheet[[#This Row],[End Date and Time]]-TblTimeSheet[[#This Row],[Start Date and Time]])</f>
        <v>3.9166666666860692</v>
      </c>
      <c r="M23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6" s="14">
        <f>--(0&gt;(TblTimeSheet[[#This Row],[End Date and Time]]-TblTimeSheet[[#This Row],[Start Date and Time]]))</f>
        <v>0</v>
      </c>
    </row>
    <row r="2327" spans="1:14" x14ac:dyDescent="0.25">
      <c r="A2327" s="1"/>
      <c r="B2327" s="2" t="s">
        <v>2878</v>
      </c>
      <c r="C2327" s="2" t="s">
        <v>116</v>
      </c>
      <c r="D2327" s="2" t="s">
        <v>3263</v>
      </c>
      <c r="E2327" s="7" t="s">
        <v>3274</v>
      </c>
      <c r="F2327" s="37">
        <v>42511.388888888891</v>
      </c>
      <c r="G2327" s="37">
        <v>42511.760416666664</v>
      </c>
      <c r="H2327" s="1" t="s">
        <v>6</v>
      </c>
      <c r="I2327" s="1" t="s">
        <v>38</v>
      </c>
      <c r="J2327" s="1">
        <v>42513.737893518519</v>
      </c>
      <c r="K2327" s="1" t="s">
        <v>701</v>
      </c>
      <c r="L2327" s="14">
        <f>24*(TblTimeSheet[[#This Row],[End Date and Time]]-TblTimeSheet[[#This Row],[Start Date and Time]])</f>
        <v>8.9166666665696539</v>
      </c>
      <c r="M23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27" s="14">
        <f>--(0&gt;(TblTimeSheet[[#This Row],[End Date and Time]]-TblTimeSheet[[#This Row],[Start Date and Time]]))</f>
        <v>0</v>
      </c>
    </row>
    <row r="2328" spans="1:14" x14ac:dyDescent="0.25">
      <c r="A2328" s="1"/>
      <c r="B2328" s="2" t="s">
        <v>2878</v>
      </c>
      <c r="C2328" s="2" t="s">
        <v>116</v>
      </c>
      <c r="D2328" s="2" t="s">
        <v>3263</v>
      </c>
      <c r="E2328" s="7" t="s">
        <v>3274</v>
      </c>
      <c r="F2328" s="37">
        <v>42510.388888888891</v>
      </c>
      <c r="G2328" s="37">
        <v>42510.75</v>
      </c>
      <c r="H2328" s="1" t="s">
        <v>6</v>
      </c>
      <c r="I2328" s="1" t="s">
        <v>38</v>
      </c>
      <c r="J2328" s="1">
        <v>42513.737673611111</v>
      </c>
      <c r="K2328" s="1" t="s">
        <v>701</v>
      </c>
      <c r="L2328" s="14">
        <f>24*(TblTimeSheet[[#This Row],[End Date and Time]]-TblTimeSheet[[#This Row],[Start Date and Time]])</f>
        <v>8.6666666666278616</v>
      </c>
      <c r="M23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8" s="14">
        <f>--(0&gt;(TblTimeSheet[[#This Row],[End Date and Time]]-TblTimeSheet[[#This Row],[Start Date and Time]]))</f>
        <v>0</v>
      </c>
    </row>
    <row r="2329" spans="1:14" x14ac:dyDescent="0.25">
      <c r="A2329" s="1"/>
      <c r="B2329" s="2" t="s">
        <v>2878</v>
      </c>
      <c r="C2329" s="2" t="s">
        <v>116</v>
      </c>
      <c r="D2329" s="2" t="s">
        <v>3263</v>
      </c>
      <c r="E2329" s="7" t="s">
        <v>3274</v>
      </c>
      <c r="F2329" s="37">
        <v>42509.395833333336</v>
      </c>
      <c r="G2329" s="37">
        <v>42509.875</v>
      </c>
      <c r="H2329" s="1" t="s">
        <v>6</v>
      </c>
      <c r="I2329" s="1" t="s">
        <v>38</v>
      </c>
      <c r="J2329" s="1">
        <v>42513.738599537035</v>
      </c>
      <c r="K2329" s="1" t="s">
        <v>701</v>
      </c>
      <c r="L2329" s="14">
        <f>24*(TblTimeSheet[[#This Row],[End Date and Time]]-TblTimeSheet[[#This Row],[Start Date and Time]])</f>
        <v>11.499999999941792</v>
      </c>
      <c r="M23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29" s="14">
        <f>--(0&gt;(TblTimeSheet[[#This Row],[End Date and Time]]-TblTimeSheet[[#This Row],[Start Date and Time]]))</f>
        <v>0</v>
      </c>
    </row>
    <row r="2330" spans="1:14" x14ac:dyDescent="0.25">
      <c r="A2330" s="1"/>
      <c r="B2330" s="2" t="s">
        <v>2878</v>
      </c>
      <c r="C2330" s="2" t="s">
        <v>116</v>
      </c>
      <c r="D2330" s="2" t="s">
        <v>3263</v>
      </c>
      <c r="E2330" s="7" t="s">
        <v>3274</v>
      </c>
      <c r="F2330" s="37">
        <v>42508.395833333336</v>
      </c>
      <c r="G2330" s="37">
        <v>42508.875</v>
      </c>
      <c r="H2330" s="1" t="s">
        <v>6</v>
      </c>
      <c r="I2330" s="1" t="s">
        <v>38</v>
      </c>
      <c r="J2330" s="1">
        <v>42513.739363425928</v>
      </c>
      <c r="K2330" s="1" t="s">
        <v>701</v>
      </c>
      <c r="L2330" s="14">
        <f>24*(TblTimeSheet[[#This Row],[End Date and Time]]-TblTimeSheet[[#This Row],[Start Date and Time]])</f>
        <v>11.499999999941792</v>
      </c>
      <c r="M23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30" s="14">
        <f>--(0&gt;(TblTimeSheet[[#This Row],[End Date and Time]]-TblTimeSheet[[#This Row],[Start Date and Time]]))</f>
        <v>0</v>
      </c>
    </row>
    <row r="2331" spans="1:14" x14ac:dyDescent="0.25">
      <c r="A2331" s="1"/>
      <c r="B2331" s="2" t="s">
        <v>2878</v>
      </c>
      <c r="C2331" s="2" t="s">
        <v>1503</v>
      </c>
      <c r="D2331" s="2" t="s">
        <v>3263</v>
      </c>
      <c r="E2331" s="7" t="s">
        <v>3276</v>
      </c>
      <c r="F2331" s="37">
        <v>42513.625</v>
      </c>
      <c r="G2331" s="37">
        <v>42513.729166666664</v>
      </c>
      <c r="H2331" s="1" t="s">
        <v>6</v>
      </c>
      <c r="I2331" s="1" t="s">
        <v>38</v>
      </c>
      <c r="J2331" s="1">
        <v>42513.740324074075</v>
      </c>
      <c r="K2331" s="1" t="s">
        <v>2866</v>
      </c>
      <c r="L2331" s="14">
        <f>24*(TblTimeSheet[[#This Row],[End Date and Time]]-TblTimeSheet[[#This Row],[Start Date and Time]])</f>
        <v>2.4999999999417923</v>
      </c>
      <c r="M23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31" s="14">
        <f>--(0&gt;(TblTimeSheet[[#This Row],[End Date and Time]]-TblTimeSheet[[#This Row],[Start Date and Time]]))</f>
        <v>0</v>
      </c>
    </row>
    <row r="2332" spans="1:14" x14ac:dyDescent="0.25">
      <c r="A2332" s="1"/>
      <c r="B2332" s="2" t="s">
        <v>2878</v>
      </c>
      <c r="C2332" s="2" t="s">
        <v>124</v>
      </c>
      <c r="D2332" s="2" t="s">
        <v>3261</v>
      </c>
      <c r="E2332" s="7" t="s">
        <v>3805</v>
      </c>
      <c r="F2332" s="37">
        <v>42513.375</v>
      </c>
      <c r="G2332" s="37">
        <v>42513.541666666664</v>
      </c>
      <c r="H2332" s="1" t="s">
        <v>6</v>
      </c>
      <c r="I2332" s="1" t="s">
        <v>38</v>
      </c>
      <c r="J2332" s="1">
        <v>42513.743125000001</v>
      </c>
      <c r="K2332" s="1" t="s">
        <v>2863</v>
      </c>
      <c r="L2332" s="14">
        <f>24*(TblTimeSheet[[#This Row],[End Date and Time]]-TblTimeSheet[[#This Row],[Start Date and Time]])</f>
        <v>3.9999999999417923</v>
      </c>
      <c r="M23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2" s="14">
        <f>--(0&gt;(TblTimeSheet[[#This Row],[End Date and Time]]-TblTimeSheet[[#This Row],[Start Date and Time]]))</f>
        <v>0</v>
      </c>
    </row>
    <row r="2333" spans="1:14" x14ac:dyDescent="0.25">
      <c r="A2333" s="1"/>
      <c r="B2333" s="2" t="s">
        <v>2878</v>
      </c>
      <c r="C2333" s="2" t="s">
        <v>124</v>
      </c>
      <c r="D2333" s="2" t="s">
        <v>3261</v>
      </c>
      <c r="E2333" s="7" t="s">
        <v>3806</v>
      </c>
      <c r="F2333" s="37">
        <v>42513.0625</v>
      </c>
      <c r="G2333" s="37">
        <v>42513.75</v>
      </c>
      <c r="H2333" s="1" t="s">
        <v>6</v>
      </c>
      <c r="I2333" s="1" t="s">
        <v>38</v>
      </c>
      <c r="J2333" s="1">
        <v>42513.745057870372</v>
      </c>
      <c r="K2333" s="1" t="s">
        <v>2863</v>
      </c>
      <c r="L2333" s="14">
        <f>24*(TblTimeSheet[[#This Row],[End Date and Time]]-TblTimeSheet[[#This Row],[Start Date and Time]])</f>
        <v>16.5</v>
      </c>
      <c r="M23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33" s="14">
        <f>--(0&gt;(TblTimeSheet[[#This Row],[End Date and Time]]-TblTimeSheet[[#This Row],[Start Date and Time]]))</f>
        <v>0</v>
      </c>
    </row>
    <row r="2334" spans="1:14" ht="30" x14ac:dyDescent="0.25">
      <c r="A2334" s="1"/>
      <c r="B2334" s="2" t="s">
        <v>2878</v>
      </c>
      <c r="C2334" s="2" t="s">
        <v>144</v>
      </c>
      <c r="D2334" s="2" t="s">
        <v>3263</v>
      </c>
      <c r="E2334" s="7" t="s">
        <v>3277</v>
      </c>
      <c r="F2334" s="37">
        <v>42513.395833333336</v>
      </c>
      <c r="G2334" s="37">
        <v>42513.739583333336</v>
      </c>
      <c r="H2334" s="1" t="s">
        <v>6</v>
      </c>
      <c r="I2334" s="1" t="s">
        <v>38</v>
      </c>
      <c r="J2334" s="1">
        <v>42513.746157407404</v>
      </c>
      <c r="K2334" s="1" t="s">
        <v>144</v>
      </c>
      <c r="L2334" s="14">
        <f>24*(TblTimeSheet[[#This Row],[End Date and Time]]-TblTimeSheet[[#This Row],[Start Date and Time]])</f>
        <v>8.25</v>
      </c>
      <c r="M23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4" s="14">
        <f>--(0&gt;(TblTimeSheet[[#This Row],[End Date and Time]]-TblTimeSheet[[#This Row],[Start Date and Time]]))</f>
        <v>0</v>
      </c>
    </row>
    <row r="2335" spans="1:14" x14ac:dyDescent="0.25">
      <c r="A2335" s="1"/>
      <c r="B2335" s="2" t="s">
        <v>2878</v>
      </c>
      <c r="C2335" s="2" t="s">
        <v>144</v>
      </c>
      <c r="D2335" s="2" t="s">
        <v>3261</v>
      </c>
      <c r="E2335" s="7" t="s">
        <v>3278</v>
      </c>
      <c r="F2335" s="37">
        <v>42513.729166666664</v>
      </c>
      <c r="G2335" s="37">
        <v>42513.739583333336</v>
      </c>
      <c r="H2335" s="1" t="s">
        <v>6</v>
      </c>
      <c r="I2335" s="1" t="s">
        <v>38</v>
      </c>
      <c r="J2335" s="1">
        <v>42513.746747685182</v>
      </c>
      <c r="K2335" s="1" t="s">
        <v>144</v>
      </c>
      <c r="L2335" s="14">
        <f>24*(TblTimeSheet[[#This Row],[End Date and Time]]-TblTimeSheet[[#This Row],[Start Date and Time]])</f>
        <v>0.25000000011641532</v>
      </c>
      <c r="M23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5" s="14">
        <f>--(0&gt;(TblTimeSheet[[#This Row],[End Date and Time]]-TblTimeSheet[[#This Row],[Start Date and Time]]))</f>
        <v>0</v>
      </c>
    </row>
    <row r="2336" spans="1:14" x14ac:dyDescent="0.25">
      <c r="A2336" s="1"/>
      <c r="B2336" s="2" t="s">
        <v>103</v>
      </c>
      <c r="C2336" s="2" t="s">
        <v>144</v>
      </c>
      <c r="D2336" s="2" t="s">
        <v>3279</v>
      </c>
      <c r="E2336" s="7" t="s">
        <v>3280</v>
      </c>
      <c r="F2336" s="37">
        <v>42513.416666666664</v>
      </c>
      <c r="G2336" s="37">
        <v>42513.541666666664</v>
      </c>
      <c r="H2336" s="1" t="s">
        <v>6</v>
      </c>
      <c r="I2336" s="1" t="s">
        <v>38</v>
      </c>
      <c r="J2336" s="1">
        <v>42513.747627314813</v>
      </c>
      <c r="K2336" s="1" t="s">
        <v>144</v>
      </c>
      <c r="L2336" s="14">
        <f>24*(TblTimeSheet[[#This Row],[End Date and Time]]-TblTimeSheet[[#This Row],[Start Date and Time]])</f>
        <v>3</v>
      </c>
      <c r="M23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6" s="14">
        <f>--(0&gt;(TblTimeSheet[[#This Row],[End Date and Time]]-TblTimeSheet[[#This Row],[Start Date and Time]]))</f>
        <v>0</v>
      </c>
    </row>
    <row r="2337" spans="1:14" x14ac:dyDescent="0.25">
      <c r="A2337" s="1"/>
      <c r="B2337" s="2" t="s">
        <v>103</v>
      </c>
      <c r="C2337" s="2" t="s">
        <v>144</v>
      </c>
      <c r="D2337" s="2" t="s">
        <v>3279</v>
      </c>
      <c r="E2337" s="7" t="s">
        <v>3280</v>
      </c>
      <c r="F2337" s="37">
        <v>42513.625</v>
      </c>
      <c r="G2337" s="37">
        <v>42513.666666666664</v>
      </c>
      <c r="H2337" s="1" t="s">
        <v>6</v>
      </c>
      <c r="I2337" s="1" t="s">
        <v>38</v>
      </c>
      <c r="J2337" s="1">
        <v>42513.74790509259</v>
      </c>
      <c r="K2337" s="1" t="s">
        <v>144</v>
      </c>
      <c r="L2337" s="14">
        <f>24*(TblTimeSheet[[#This Row],[End Date and Time]]-TblTimeSheet[[#This Row],[Start Date and Time]])</f>
        <v>0.99999999994179234</v>
      </c>
      <c r="M23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7" s="14">
        <f>--(0&gt;(TblTimeSheet[[#This Row],[End Date and Time]]-TblTimeSheet[[#This Row],[Start Date and Time]]))</f>
        <v>0</v>
      </c>
    </row>
    <row r="2338" spans="1:14" x14ac:dyDescent="0.25">
      <c r="A2338" s="1"/>
      <c r="B2338" s="2" t="s">
        <v>2870</v>
      </c>
      <c r="C2338" s="2" t="s">
        <v>41</v>
      </c>
      <c r="D2338" s="2" t="s">
        <v>35</v>
      </c>
      <c r="E2338" s="7" t="s">
        <v>3807</v>
      </c>
      <c r="F2338" s="37">
        <v>42514.430555555555</v>
      </c>
      <c r="G2338" s="37">
        <v>42514.444444444445</v>
      </c>
      <c r="H2338" s="1" t="s">
        <v>6</v>
      </c>
      <c r="I2338" s="1" t="s">
        <v>38</v>
      </c>
      <c r="J2338" s="1">
        <v>42514.444050925929</v>
      </c>
      <c r="K2338" s="1" t="s">
        <v>41</v>
      </c>
      <c r="L2338" s="14">
        <f>24*(TblTimeSheet[[#This Row],[End Date and Time]]-TblTimeSheet[[#This Row],[Start Date and Time]])</f>
        <v>0.33333333337213844</v>
      </c>
      <c r="M23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38" s="14">
        <f>--(0&gt;(TblTimeSheet[[#This Row],[End Date and Time]]-TblTimeSheet[[#This Row],[Start Date and Time]]))</f>
        <v>0</v>
      </c>
    </row>
    <row r="2339" spans="1:14" x14ac:dyDescent="0.25">
      <c r="A2339" s="1"/>
      <c r="B2339" s="2" t="s">
        <v>2870</v>
      </c>
      <c r="C2339" s="2" t="s">
        <v>1105</v>
      </c>
      <c r="D2339" s="2" t="s">
        <v>35</v>
      </c>
      <c r="E2339" s="7" t="s">
        <v>3808</v>
      </c>
      <c r="F2339" s="37">
        <v>42514.423611111109</v>
      </c>
      <c r="G2339" s="37">
        <v>42514.444444444445</v>
      </c>
      <c r="H2339" s="1" t="s">
        <v>6</v>
      </c>
      <c r="I2339" s="1" t="s">
        <v>38</v>
      </c>
      <c r="J2339" s="1">
        <v>42514.445983796293</v>
      </c>
      <c r="K2339" s="1" t="s">
        <v>2864</v>
      </c>
      <c r="L2339" s="14">
        <f>24*(TblTimeSheet[[#This Row],[End Date and Time]]-TblTimeSheet[[#This Row],[Start Date and Time]])</f>
        <v>0.50000000005820766</v>
      </c>
      <c r="M23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39" s="14">
        <f>--(0&gt;(TblTimeSheet[[#This Row],[End Date and Time]]-TblTimeSheet[[#This Row],[Start Date and Time]]))</f>
        <v>0</v>
      </c>
    </row>
    <row r="2340" spans="1:14" ht="30" x14ac:dyDescent="0.25">
      <c r="A2340" s="1"/>
      <c r="B2340" s="2" t="s">
        <v>2878</v>
      </c>
      <c r="C2340" s="2" t="s">
        <v>36</v>
      </c>
      <c r="D2340" s="2" t="s">
        <v>3261</v>
      </c>
      <c r="E2340" s="7" t="s">
        <v>3809</v>
      </c>
      <c r="F2340" s="37">
        <v>42514.395833333336</v>
      </c>
      <c r="G2340" s="37">
        <v>42514.458333333336</v>
      </c>
      <c r="H2340" s="1" t="s">
        <v>6</v>
      </c>
      <c r="I2340" s="1" t="s">
        <v>38</v>
      </c>
      <c r="J2340" s="1">
        <v>42514.463472222225</v>
      </c>
      <c r="K2340" s="1" t="s">
        <v>36</v>
      </c>
      <c r="L2340" s="14">
        <f>24*(TblTimeSheet[[#This Row],[End Date and Time]]-TblTimeSheet[[#This Row],[Start Date and Time]])</f>
        <v>1.5</v>
      </c>
      <c r="M23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0" s="14">
        <f>--(0&gt;(TblTimeSheet[[#This Row],[End Date and Time]]-TblTimeSheet[[#This Row],[Start Date and Time]]))</f>
        <v>0</v>
      </c>
    </row>
    <row r="2341" spans="1:14" x14ac:dyDescent="0.25">
      <c r="A2341" s="1"/>
      <c r="B2341" s="2" t="s">
        <v>2872</v>
      </c>
      <c r="C2341" s="2" t="s">
        <v>116</v>
      </c>
      <c r="D2341" s="2" t="s">
        <v>35</v>
      </c>
      <c r="E2341" s="7" t="s">
        <v>3810</v>
      </c>
      <c r="F2341" s="37">
        <v>42514.465277777781</v>
      </c>
      <c r="G2341" s="37">
        <v>42514.479166666664</v>
      </c>
      <c r="H2341" s="1" t="s">
        <v>6</v>
      </c>
      <c r="I2341" s="1" t="s">
        <v>38</v>
      </c>
      <c r="J2341" s="1">
        <v>42514.477129629631</v>
      </c>
      <c r="K2341" s="1" t="s">
        <v>81</v>
      </c>
      <c r="L2341" s="14">
        <f>24*(TblTimeSheet[[#This Row],[End Date and Time]]-TblTimeSheet[[#This Row],[Start Date and Time]])</f>
        <v>0.33333333319751546</v>
      </c>
      <c r="M23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341" s="14">
        <f>--(0&gt;(TblTimeSheet[[#This Row],[End Date and Time]]-TblTimeSheet[[#This Row],[Start Date and Time]]))</f>
        <v>0</v>
      </c>
    </row>
    <row r="2342" spans="1:14" x14ac:dyDescent="0.25">
      <c r="A2342" s="1"/>
      <c r="B2342" s="2" t="s">
        <v>2876</v>
      </c>
      <c r="C2342" s="2" t="s">
        <v>36</v>
      </c>
      <c r="D2342" s="2" t="s">
        <v>105</v>
      </c>
      <c r="E2342" s="7" t="s">
        <v>3281</v>
      </c>
      <c r="F2342" s="37">
        <v>42514.604166666664</v>
      </c>
      <c r="G2342" s="37">
        <v>42514.680555555555</v>
      </c>
      <c r="H2342" s="1" t="s">
        <v>6</v>
      </c>
      <c r="I2342" s="1" t="s">
        <v>38</v>
      </c>
      <c r="J2342" s="1">
        <v>42514.681446759256</v>
      </c>
      <c r="K2342" s="1" t="s">
        <v>36</v>
      </c>
      <c r="L2342" s="14">
        <f>24*(TblTimeSheet[[#This Row],[End Date and Time]]-TblTimeSheet[[#This Row],[Start Date and Time]])</f>
        <v>1.8333333333721384</v>
      </c>
      <c r="M23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2" s="14">
        <f>--(0&gt;(TblTimeSheet[[#This Row],[End Date and Time]]-TblTimeSheet[[#This Row],[Start Date and Time]]))</f>
        <v>0</v>
      </c>
    </row>
    <row r="2343" spans="1:14" ht="30" x14ac:dyDescent="0.25">
      <c r="A2343" s="1"/>
      <c r="B2343" s="2" t="s">
        <v>2878</v>
      </c>
      <c r="C2343" s="2" t="s">
        <v>144</v>
      </c>
      <c r="D2343" s="2" t="s">
        <v>3263</v>
      </c>
      <c r="E2343" s="7" t="s">
        <v>3282</v>
      </c>
      <c r="F2343" s="37">
        <v>42514.4375</v>
      </c>
      <c r="G2343" s="37">
        <v>42514.694444444445</v>
      </c>
      <c r="H2343" s="1" t="s">
        <v>6</v>
      </c>
      <c r="I2343" s="1" t="s">
        <v>38</v>
      </c>
      <c r="J2343" s="1">
        <v>42514.698310185187</v>
      </c>
      <c r="K2343" s="1" t="s">
        <v>144</v>
      </c>
      <c r="L2343" s="14">
        <f>24*(TblTimeSheet[[#This Row],[End Date and Time]]-TblTimeSheet[[#This Row],[Start Date and Time]])</f>
        <v>6.1666666666860692</v>
      </c>
      <c r="M23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3" s="14">
        <f>--(0&gt;(TblTimeSheet[[#This Row],[End Date and Time]]-TblTimeSheet[[#This Row],[Start Date and Time]]))</f>
        <v>0</v>
      </c>
    </row>
    <row r="2344" spans="1:14" x14ac:dyDescent="0.25">
      <c r="A2344" s="1"/>
      <c r="B2344" s="2" t="s">
        <v>2876</v>
      </c>
      <c r="C2344" s="2" t="s">
        <v>36</v>
      </c>
      <c r="D2344" s="2" t="s">
        <v>105</v>
      </c>
      <c r="E2344" s="7" t="s">
        <v>3283</v>
      </c>
      <c r="F2344" s="37">
        <v>42514.6875</v>
      </c>
      <c r="G2344" s="37">
        <v>42514.704861111109</v>
      </c>
      <c r="H2344" s="1" t="s">
        <v>6</v>
      </c>
      <c r="I2344" s="1" t="s">
        <v>38</v>
      </c>
      <c r="J2344" s="1">
        <v>42514.72760416667</v>
      </c>
      <c r="K2344" s="1" t="s">
        <v>36</v>
      </c>
      <c r="L2344" s="14">
        <f>24*(TblTimeSheet[[#This Row],[End Date and Time]]-TblTimeSheet[[#This Row],[Start Date and Time]])</f>
        <v>0.41666666662786156</v>
      </c>
      <c r="M23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4" s="14">
        <f>--(0&gt;(TblTimeSheet[[#This Row],[End Date and Time]]-TblTimeSheet[[#This Row],[Start Date and Time]]))</f>
        <v>0</v>
      </c>
    </row>
    <row r="2345" spans="1:14" x14ac:dyDescent="0.25">
      <c r="A2345" s="1"/>
      <c r="B2345" s="2" t="s">
        <v>2876</v>
      </c>
      <c r="C2345" s="2" t="s">
        <v>36</v>
      </c>
      <c r="D2345" s="2" t="s">
        <v>105</v>
      </c>
      <c r="E2345" s="7" t="s">
        <v>3284</v>
      </c>
      <c r="F2345" s="37">
        <v>42514.708333333336</v>
      </c>
      <c r="G2345" s="37">
        <v>42514.722222222219</v>
      </c>
      <c r="H2345" s="1" t="s">
        <v>6</v>
      </c>
      <c r="I2345" s="1" t="s">
        <v>38</v>
      </c>
      <c r="J2345" s="1">
        <v>42514.728275462963</v>
      </c>
      <c r="K2345" s="1" t="s">
        <v>36</v>
      </c>
      <c r="L2345" s="14">
        <f>24*(TblTimeSheet[[#This Row],[End Date and Time]]-TblTimeSheet[[#This Row],[Start Date and Time]])</f>
        <v>0.33333333319751546</v>
      </c>
      <c r="M23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5" s="14">
        <f>--(0&gt;(TblTimeSheet[[#This Row],[End Date and Time]]-TblTimeSheet[[#This Row],[Start Date and Time]]))</f>
        <v>0</v>
      </c>
    </row>
    <row r="2346" spans="1:14" x14ac:dyDescent="0.25">
      <c r="A2346" s="1"/>
      <c r="B2346" s="2" t="s">
        <v>105</v>
      </c>
      <c r="C2346" s="2" t="s">
        <v>41</v>
      </c>
      <c r="D2346" s="2" t="s">
        <v>105</v>
      </c>
      <c r="E2346" s="7" t="s">
        <v>3811</v>
      </c>
      <c r="F2346" s="37">
        <v>42514.708333333336</v>
      </c>
      <c r="G2346" s="37">
        <v>42514.722222222219</v>
      </c>
      <c r="H2346" s="1" t="s">
        <v>6</v>
      </c>
      <c r="I2346" s="1" t="s">
        <v>38</v>
      </c>
      <c r="J2346" s="1">
        <v>42514.733773148146</v>
      </c>
      <c r="K2346" s="1" t="s">
        <v>41</v>
      </c>
      <c r="L2346" s="14">
        <f>24*(TblTimeSheet[[#This Row],[End Date and Time]]-TblTimeSheet[[#This Row],[Start Date and Time]])</f>
        <v>0.33333333319751546</v>
      </c>
      <c r="M23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6" s="14">
        <f>--(0&gt;(TblTimeSheet[[#This Row],[End Date and Time]]-TblTimeSheet[[#This Row],[Start Date and Time]]))</f>
        <v>0</v>
      </c>
    </row>
    <row r="2347" spans="1:14" x14ac:dyDescent="0.25">
      <c r="A2347" s="1"/>
      <c r="B2347" s="2" t="s">
        <v>2870</v>
      </c>
      <c r="C2347" s="2" t="s">
        <v>41</v>
      </c>
      <c r="D2347" s="2" t="s">
        <v>35</v>
      </c>
      <c r="E2347" s="7" t="s">
        <v>3285</v>
      </c>
      <c r="F2347" s="37">
        <v>42514.395833333336</v>
      </c>
      <c r="G2347" s="37">
        <v>42514.479166666664</v>
      </c>
      <c r="H2347" s="1" t="s">
        <v>6</v>
      </c>
      <c r="I2347" s="1" t="s">
        <v>38</v>
      </c>
      <c r="J2347" s="1">
        <v>42514.734502314815</v>
      </c>
      <c r="K2347" s="1" t="s">
        <v>41</v>
      </c>
      <c r="L2347" s="14">
        <f>24*(TblTimeSheet[[#This Row],[End Date and Time]]-TblTimeSheet[[#This Row],[Start Date and Time]])</f>
        <v>1.9999999998835847</v>
      </c>
      <c r="M23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7" s="14">
        <f>--(0&gt;(TblTimeSheet[[#This Row],[End Date and Time]]-TblTimeSheet[[#This Row],[Start Date and Time]]))</f>
        <v>0</v>
      </c>
    </row>
    <row r="2348" spans="1:14" x14ac:dyDescent="0.25">
      <c r="A2348" s="1"/>
      <c r="B2348" s="2" t="s">
        <v>2872</v>
      </c>
      <c r="C2348" s="2" t="s">
        <v>41</v>
      </c>
      <c r="D2348" s="2" t="s">
        <v>35</v>
      </c>
      <c r="E2348" s="7" t="s">
        <v>3286</v>
      </c>
      <c r="F2348" s="37">
        <v>42514.5</v>
      </c>
      <c r="G2348" s="37">
        <v>42514.541666666664</v>
      </c>
      <c r="H2348" s="1" t="s">
        <v>6</v>
      </c>
      <c r="I2348" s="1" t="s">
        <v>38</v>
      </c>
      <c r="J2348" s="1">
        <v>42514.734918981485</v>
      </c>
      <c r="K2348" s="1" t="s">
        <v>41</v>
      </c>
      <c r="L2348" s="14">
        <f>24*(TblTimeSheet[[#This Row],[End Date and Time]]-TblTimeSheet[[#This Row],[Start Date and Time]])</f>
        <v>0.99999999994179234</v>
      </c>
      <c r="M23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8" s="14">
        <f>--(0&gt;(TblTimeSheet[[#This Row],[End Date and Time]]-TblTimeSheet[[#This Row],[Start Date and Time]]))</f>
        <v>0</v>
      </c>
    </row>
    <row r="2349" spans="1:14" x14ac:dyDescent="0.25">
      <c r="A2349" s="1"/>
      <c r="B2349" s="2" t="s">
        <v>2878</v>
      </c>
      <c r="C2349" s="2" t="s">
        <v>1117</v>
      </c>
      <c r="D2349" s="2" t="s">
        <v>3263</v>
      </c>
      <c r="E2349" s="7" t="s">
        <v>3287</v>
      </c>
      <c r="F2349" s="37">
        <v>42514.375</v>
      </c>
      <c r="G2349" s="37">
        <v>42514.736111111109</v>
      </c>
      <c r="H2349" s="1" t="s">
        <v>6</v>
      </c>
      <c r="I2349" s="1" t="s">
        <v>38</v>
      </c>
      <c r="J2349" s="1">
        <v>42514.734965277778</v>
      </c>
      <c r="K2349" s="1" t="s">
        <v>2865</v>
      </c>
      <c r="L2349" s="14">
        <f>24*(TblTimeSheet[[#This Row],[End Date and Time]]-TblTimeSheet[[#This Row],[Start Date and Time]])</f>
        <v>8.6666666666278616</v>
      </c>
      <c r="M23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49" s="14">
        <f>--(0&gt;(TblTimeSheet[[#This Row],[End Date and Time]]-TblTimeSheet[[#This Row],[Start Date and Time]]))</f>
        <v>0</v>
      </c>
    </row>
    <row r="2350" spans="1:14" x14ac:dyDescent="0.25">
      <c r="A2350" s="1"/>
      <c r="B2350" s="2" t="s">
        <v>2878</v>
      </c>
      <c r="C2350" s="2" t="s">
        <v>1117</v>
      </c>
      <c r="D2350" s="2" t="s">
        <v>3263</v>
      </c>
      <c r="E2350" s="7" t="s">
        <v>3288</v>
      </c>
      <c r="F2350" s="37">
        <v>42513.375</v>
      </c>
      <c r="G2350" s="37">
        <v>42513.791666666664</v>
      </c>
      <c r="H2350" s="1" t="s">
        <v>6</v>
      </c>
      <c r="I2350" s="1" t="s">
        <v>38</v>
      </c>
      <c r="J2350" s="1">
        <v>42514.735497685186</v>
      </c>
      <c r="K2350" s="1" t="s">
        <v>2865</v>
      </c>
      <c r="L2350" s="14">
        <f>24*(TblTimeSheet[[#This Row],[End Date and Time]]-TblTimeSheet[[#This Row],[Start Date and Time]])</f>
        <v>9.9999999999417923</v>
      </c>
      <c r="M23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0" s="14">
        <f>--(0&gt;(TblTimeSheet[[#This Row],[End Date and Time]]-TblTimeSheet[[#This Row],[Start Date and Time]]))</f>
        <v>0</v>
      </c>
    </row>
    <row r="2351" spans="1:14" x14ac:dyDescent="0.25">
      <c r="A2351" s="1"/>
      <c r="B2351" s="2" t="s">
        <v>2878</v>
      </c>
      <c r="C2351" s="2" t="s">
        <v>41</v>
      </c>
      <c r="D2351" s="2" t="s">
        <v>3263</v>
      </c>
      <c r="E2351" s="7" t="s">
        <v>3289</v>
      </c>
      <c r="F2351" s="37">
        <v>42511.395833333336</v>
      </c>
      <c r="G2351" s="37">
        <v>42511.729166666664</v>
      </c>
      <c r="H2351" s="1" t="s">
        <v>6</v>
      </c>
      <c r="I2351" s="1" t="s">
        <v>38</v>
      </c>
      <c r="J2351" s="1">
        <v>42514.735729166663</v>
      </c>
      <c r="K2351" s="1" t="s">
        <v>41</v>
      </c>
      <c r="L2351" s="14">
        <f>24*(TblTimeSheet[[#This Row],[End Date and Time]]-TblTimeSheet[[#This Row],[Start Date and Time]])</f>
        <v>7.9999999998835847</v>
      </c>
      <c r="M23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1" s="14">
        <f>--(0&gt;(TblTimeSheet[[#This Row],[End Date and Time]]-TblTimeSheet[[#This Row],[Start Date and Time]]))</f>
        <v>0</v>
      </c>
    </row>
    <row r="2352" spans="1:14" x14ac:dyDescent="0.25">
      <c r="A2352" s="1"/>
      <c r="B2352" s="2" t="s">
        <v>2878</v>
      </c>
      <c r="C2352" s="2" t="s">
        <v>1117</v>
      </c>
      <c r="D2352" s="2" t="s">
        <v>3263</v>
      </c>
      <c r="E2352" s="7" t="s">
        <v>3290</v>
      </c>
      <c r="F2352" s="37">
        <v>42511.375</v>
      </c>
      <c r="G2352" s="37">
        <v>42511.770833333336</v>
      </c>
      <c r="H2352" s="1" t="s">
        <v>6</v>
      </c>
      <c r="I2352" s="1" t="s">
        <v>38</v>
      </c>
      <c r="J2352" s="1">
        <v>42514.736041666663</v>
      </c>
      <c r="K2352" s="1" t="s">
        <v>2865</v>
      </c>
      <c r="L2352" s="14">
        <f>24*(TblTimeSheet[[#This Row],[End Date and Time]]-TblTimeSheet[[#This Row],[Start Date and Time]])</f>
        <v>9.5000000000582077</v>
      </c>
      <c r="M23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2" s="14">
        <f>--(0&gt;(TblTimeSheet[[#This Row],[End Date and Time]]-TblTimeSheet[[#This Row],[Start Date and Time]]))</f>
        <v>0</v>
      </c>
    </row>
    <row r="2353" spans="1:14" x14ac:dyDescent="0.25">
      <c r="A2353" s="1"/>
      <c r="B2353" s="2" t="s">
        <v>2878</v>
      </c>
      <c r="C2353" s="2" t="s">
        <v>41</v>
      </c>
      <c r="D2353" s="2" t="s">
        <v>3263</v>
      </c>
      <c r="E2353" s="7" t="s">
        <v>3291</v>
      </c>
      <c r="F2353" s="37">
        <v>42513.395833333336</v>
      </c>
      <c r="G2353" s="37">
        <v>42513.541666666664</v>
      </c>
      <c r="H2353" s="1" t="s">
        <v>6</v>
      </c>
      <c r="I2353" s="1" t="s">
        <v>38</v>
      </c>
      <c r="J2353" s="1">
        <v>42514.73678240741</v>
      </c>
      <c r="K2353" s="1" t="s">
        <v>41</v>
      </c>
      <c r="L2353" s="14">
        <f>24*(TblTimeSheet[[#This Row],[End Date and Time]]-TblTimeSheet[[#This Row],[Start Date and Time]])</f>
        <v>3.4999999998835847</v>
      </c>
      <c r="M23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3" s="14">
        <f>--(0&gt;(TblTimeSheet[[#This Row],[End Date and Time]]-TblTimeSheet[[#This Row],[Start Date and Time]]))</f>
        <v>0</v>
      </c>
    </row>
    <row r="2354" spans="1:14" x14ac:dyDescent="0.25">
      <c r="A2354" s="1"/>
      <c r="B2354" s="2" t="s">
        <v>2878</v>
      </c>
      <c r="C2354" s="2" t="s">
        <v>1117</v>
      </c>
      <c r="D2354" s="2" t="s">
        <v>3263</v>
      </c>
      <c r="E2354" s="7" t="s">
        <v>3292</v>
      </c>
      <c r="F2354" s="37">
        <v>42510.375</v>
      </c>
      <c r="G2354" s="37">
        <v>42510.854166666664</v>
      </c>
      <c r="H2354" s="1" t="s">
        <v>6</v>
      </c>
      <c r="I2354" s="1" t="s">
        <v>38</v>
      </c>
      <c r="J2354" s="1">
        <v>42514.73715277778</v>
      </c>
      <c r="K2354" s="1" t="s">
        <v>2865</v>
      </c>
      <c r="L2354" s="14">
        <f>24*(TblTimeSheet[[#This Row],[End Date and Time]]-TblTimeSheet[[#This Row],[Start Date and Time]])</f>
        <v>11.499999999941792</v>
      </c>
      <c r="M23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4" s="14">
        <f>--(0&gt;(TblTimeSheet[[#This Row],[End Date and Time]]-TblTimeSheet[[#This Row],[Start Date and Time]]))</f>
        <v>0</v>
      </c>
    </row>
    <row r="2355" spans="1:14" ht="30" x14ac:dyDescent="0.25">
      <c r="A2355" s="1"/>
      <c r="B2355" s="2" t="s">
        <v>2878</v>
      </c>
      <c r="C2355" s="2" t="s">
        <v>124</v>
      </c>
      <c r="D2355" s="2" t="s">
        <v>3261</v>
      </c>
      <c r="E2355" s="7" t="s">
        <v>3812</v>
      </c>
      <c r="F2355" s="37">
        <v>42514.395833333336</v>
      </c>
      <c r="G2355" s="37">
        <v>42514.458333333336</v>
      </c>
      <c r="H2355" s="1" t="s">
        <v>6</v>
      </c>
      <c r="I2355" s="1" t="s">
        <v>38</v>
      </c>
      <c r="J2355" s="1">
        <v>42514.738275462965</v>
      </c>
      <c r="K2355" s="1" t="s">
        <v>2863</v>
      </c>
      <c r="L2355" s="14">
        <f>24*(TblTimeSheet[[#This Row],[End Date and Time]]-TblTimeSheet[[#This Row],[Start Date and Time]])</f>
        <v>1.5</v>
      </c>
      <c r="M23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5" s="14">
        <f>--(0&gt;(TblTimeSheet[[#This Row],[End Date and Time]]-TblTimeSheet[[#This Row],[Start Date and Time]]))</f>
        <v>0</v>
      </c>
    </row>
    <row r="2356" spans="1:14" x14ac:dyDescent="0.25">
      <c r="A2356" s="1"/>
      <c r="B2356" s="2" t="s">
        <v>2878</v>
      </c>
      <c r="C2356" s="2" t="s">
        <v>171</v>
      </c>
      <c r="D2356" s="2" t="s">
        <v>3263</v>
      </c>
      <c r="E2356" s="7" t="s">
        <v>3293</v>
      </c>
      <c r="F2356" s="37">
        <v>42514.395833333336</v>
      </c>
      <c r="G2356" s="37">
        <v>42514.708333333336</v>
      </c>
      <c r="H2356" s="1" t="s">
        <v>6</v>
      </c>
      <c r="I2356" s="1" t="s">
        <v>38</v>
      </c>
      <c r="J2356" s="1">
        <v>42514.738518518519</v>
      </c>
      <c r="K2356" s="1" t="s">
        <v>171</v>
      </c>
      <c r="L2356" s="14">
        <f>24*(TblTimeSheet[[#This Row],[End Date and Time]]-TblTimeSheet[[#This Row],[Start Date and Time]])</f>
        <v>7.5</v>
      </c>
      <c r="M23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6" s="14">
        <f>--(0&gt;(TblTimeSheet[[#This Row],[End Date and Time]]-TblTimeSheet[[#This Row],[Start Date and Time]]))</f>
        <v>0</v>
      </c>
    </row>
    <row r="2357" spans="1:14" x14ac:dyDescent="0.25">
      <c r="A2357" s="1"/>
      <c r="B2357" s="2" t="s">
        <v>2878</v>
      </c>
      <c r="C2357" s="2" t="s">
        <v>124</v>
      </c>
      <c r="D2357" s="2" t="s">
        <v>3261</v>
      </c>
      <c r="E2357" s="7" t="s">
        <v>3294</v>
      </c>
      <c r="F2357" s="37">
        <v>42514.458333333336</v>
      </c>
      <c r="G2357" s="37">
        <v>42514.541666666664</v>
      </c>
      <c r="H2357" s="1" t="s">
        <v>6</v>
      </c>
      <c r="I2357" s="1" t="s">
        <v>38</v>
      </c>
      <c r="J2357" s="1">
        <v>42514.73951388889</v>
      </c>
      <c r="K2357" s="1" t="s">
        <v>2863</v>
      </c>
      <c r="L2357" s="14">
        <f>24*(TblTimeSheet[[#This Row],[End Date and Time]]-TblTimeSheet[[#This Row],[Start Date and Time]])</f>
        <v>1.9999999998835847</v>
      </c>
      <c r="M23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7" s="14">
        <f>--(0&gt;(TblTimeSheet[[#This Row],[End Date and Time]]-TblTimeSheet[[#This Row],[Start Date and Time]]))</f>
        <v>0</v>
      </c>
    </row>
    <row r="2358" spans="1:14" x14ac:dyDescent="0.25">
      <c r="A2358" s="1"/>
      <c r="B2358" s="2" t="s">
        <v>2878</v>
      </c>
      <c r="C2358" s="2" t="s">
        <v>124</v>
      </c>
      <c r="D2358" s="2" t="s">
        <v>3261</v>
      </c>
      <c r="E2358" s="7" t="s">
        <v>3294</v>
      </c>
      <c r="F2358" s="37">
        <v>42514.572916666664</v>
      </c>
      <c r="G2358" s="37">
        <v>42514.729166666664</v>
      </c>
      <c r="H2358" s="1" t="s">
        <v>6</v>
      </c>
      <c r="I2358" s="1" t="s">
        <v>38</v>
      </c>
      <c r="J2358" s="1">
        <v>42514.739953703705</v>
      </c>
      <c r="K2358" s="1" t="s">
        <v>2863</v>
      </c>
      <c r="L2358" s="14">
        <f>24*(TblTimeSheet[[#This Row],[End Date and Time]]-TblTimeSheet[[#This Row],[Start Date and Time]])</f>
        <v>3.75</v>
      </c>
      <c r="M23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8" s="14">
        <f>--(0&gt;(TblTimeSheet[[#This Row],[End Date and Time]]-TblTimeSheet[[#This Row],[Start Date and Time]]))</f>
        <v>0</v>
      </c>
    </row>
    <row r="2359" spans="1:14" x14ac:dyDescent="0.25">
      <c r="A2359" s="1"/>
      <c r="B2359" s="2" t="s">
        <v>2878</v>
      </c>
      <c r="C2359" s="2" t="s">
        <v>143</v>
      </c>
      <c r="D2359" s="2" t="s">
        <v>3263</v>
      </c>
      <c r="E2359" s="7" t="s">
        <v>3295</v>
      </c>
      <c r="F2359" s="37">
        <v>42514.416666666664</v>
      </c>
      <c r="G2359" s="37">
        <v>42514.541666666664</v>
      </c>
      <c r="H2359" s="1" t="s">
        <v>6</v>
      </c>
      <c r="I2359" s="1" t="s">
        <v>38</v>
      </c>
      <c r="J2359" s="1">
        <v>42514.741724537038</v>
      </c>
      <c r="K2359" s="1" t="s">
        <v>143</v>
      </c>
      <c r="L2359" s="14">
        <f>24*(TblTimeSheet[[#This Row],[End Date and Time]]-TblTimeSheet[[#This Row],[Start Date and Time]])</f>
        <v>3</v>
      </c>
      <c r="M23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59" s="14">
        <f>--(0&gt;(TblTimeSheet[[#This Row],[End Date and Time]]-TblTimeSheet[[#This Row],[Start Date and Time]]))</f>
        <v>0</v>
      </c>
    </row>
    <row r="2360" spans="1:14" x14ac:dyDescent="0.25">
      <c r="A2360" s="1"/>
      <c r="B2360" s="2" t="s">
        <v>2878</v>
      </c>
      <c r="C2360" s="2" t="s">
        <v>143</v>
      </c>
      <c r="D2360" s="2" t="s">
        <v>3263</v>
      </c>
      <c r="E2360" s="7" t="s">
        <v>3296</v>
      </c>
      <c r="F2360" s="37">
        <v>42514.666666666664</v>
      </c>
      <c r="G2360" s="37">
        <v>42514.6875</v>
      </c>
      <c r="H2360" s="1" t="s">
        <v>6</v>
      </c>
      <c r="I2360" s="1" t="s">
        <v>38</v>
      </c>
      <c r="J2360" s="1">
        <v>42514.742546296293</v>
      </c>
      <c r="K2360" s="1" t="s">
        <v>143</v>
      </c>
      <c r="L2360" s="14">
        <f>24*(TblTimeSheet[[#This Row],[End Date and Time]]-TblTimeSheet[[#This Row],[Start Date and Time]])</f>
        <v>0.50000000005820766</v>
      </c>
      <c r="M23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0" s="14">
        <f>--(0&gt;(TblTimeSheet[[#This Row],[End Date and Time]]-TblTimeSheet[[#This Row],[Start Date and Time]]))</f>
        <v>0</v>
      </c>
    </row>
    <row r="2361" spans="1:14" x14ac:dyDescent="0.25">
      <c r="A2361" s="1"/>
      <c r="B2361" s="2" t="s">
        <v>2878</v>
      </c>
      <c r="C2361" s="2" t="s">
        <v>143</v>
      </c>
      <c r="D2361" s="2" t="s">
        <v>3263</v>
      </c>
      <c r="E2361" s="7" t="s">
        <v>3813</v>
      </c>
      <c r="F2361" s="37">
        <v>42514.375</v>
      </c>
      <c r="G2361" s="37">
        <v>42514.416666666664</v>
      </c>
      <c r="H2361" s="1" t="s">
        <v>6</v>
      </c>
      <c r="I2361" s="1" t="s">
        <v>38</v>
      </c>
      <c r="J2361" s="1">
        <v>42514.743356481478</v>
      </c>
      <c r="K2361" s="1" t="s">
        <v>143</v>
      </c>
      <c r="L2361" s="14">
        <f>24*(TblTimeSheet[[#This Row],[End Date and Time]]-TblTimeSheet[[#This Row],[Start Date and Time]])</f>
        <v>0.99999999994179234</v>
      </c>
      <c r="M23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1" s="14">
        <f>--(0&gt;(TblTimeSheet[[#This Row],[End Date and Time]]-TblTimeSheet[[#This Row],[Start Date and Time]]))</f>
        <v>0</v>
      </c>
    </row>
    <row r="2362" spans="1:14" x14ac:dyDescent="0.25">
      <c r="A2362" s="1"/>
      <c r="B2362" s="2" t="s">
        <v>2878</v>
      </c>
      <c r="C2362" s="2" t="s">
        <v>143</v>
      </c>
      <c r="D2362" s="2" t="s">
        <v>3261</v>
      </c>
      <c r="E2362" s="7" t="s">
        <v>3297</v>
      </c>
      <c r="F2362" s="37">
        <v>42514.6875</v>
      </c>
      <c r="G2362" s="37">
        <v>42514.732638888891</v>
      </c>
      <c r="H2362" s="1" t="s">
        <v>6</v>
      </c>
      <c r="I2362" s="1" t="s">
        <v>38</v>
      </c>
      <c r="J2362" s="1">
        <v>42514.744328703702</v>
      </c>
      <c r="K2362" s="1" t="s">
        <v>143</v>
      </c>
      <c r="L2362" s="14">
        <f>24*(TblTimeSheet[[#This Row],[End Date and Time]]-TblTimeSheet[[#This Row],[Start Date and Time]])</f>
        <v>1.0833333333721384</v>
      </c>
      <c r="M23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2" s="14">
        <f>--(0&gt;(TblTimeSheet[[#This Row],[End Date and Time]]-TblTimeSheet[[#This Row],[Start Date and Time]]))</f>
        <v>0</v>
      </c>
    </row>
    <row r="2363" spans="1:14" x14ac:dyDescent="0.25">
      <c r="A2363" s="1"/>
      <c r="B2363" s="2" t="s">
        <v>2878</v>
      </c>
      <c r="C2363" s="2" t="s">
        <v>42</v>
      </c>
      <c r="D2363" s="2" t="s">
        <v>3261</v>
      </c>
      <c r="E2363" s="7" t="s">
        <v>3298</v>
      </c>
      <c r="F2363" s="37">
        <v>42513.479166666664</v>
      </c>
      <c r="G2363" s="37">
        <v>42513.5625</v>
      </c>
      <c r="H2363" s="1" t="s">
        <v>6</v>
      </c>
      <c r="I2363" s="1" t="s">
        <v>38</v>
      </c>
      <c r="J2363" s="1">
        <v>42514.745567129627</v>
      </c>
      <c r="K2363" s="1" t="s">
        <v>42</v>
      </c>
      <c r="L2363" s="14">
        <f>24*(TblTimeSheet[[#This Row],[End Date and Time]]-TblTimeSheet[[#This Row],[Start Date and Time]])</f>
        <v>2.0000000000582077</v>
      </c>
      <c r="M23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3" s="14">
        <f>--(0&gt;(TblTimeSheet[[#This Row],[End Date and Time]]-TblTimeSheet[[#This Row],[Start Date and Time]]))</f>
        <v>0</v>
      </c>
    </row>
    <row r="2364" spans="1:14" x14ac:dyDescent="0.25">
      <c r="A2364" s="1"/>
      <c r="B2364" s="2" t="s">
        <v>2878</v>
      </c>
      <c r="C2364" s="2" t="s">
        <v>1503</v>
      </c>
      <c r="D2364" s="2" t="s">
        <v>3263</v>
      </c>
      <c r="E2364" s="7" t="s">
        <v>3299</v>
      </c>
      <c r="F2364" s="37">
        <v>42514.458333333336</v>
      </c>
      <c r="G2364" s="37">
        <v>42514.541666666664</v>
      </c>
      <c r="H2364" s="1" t="s">
        <v>6</v>
      </c>
      <c r="I2364" s="1" t="s">
        <v>38</v>
      </c>
      <c r="J2364" s="1">
        <v>42514.745775462965</v>
      </c>
      <c r="K2364" s="1" t="s">
        <v>2866</v>
      </c>
      <c r="L2364" s="14">
        <f>24*(TblTimeSheet[[#This Row],[End Date and Time]]-TblTimeSheet[[#This Row],[Start Date and Time]])</f>
        <v>1.9999999998835847</v>
      </c>
      <c r="M23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4" s="14">
        <f>--(0&gt;(TblTimeSheet[[#This Row],[End Date and Time]]-TblTimeSheet[[#This Row],[Start Date and Time]]))</f>
        <v>0</v>
      </c>
    </row>
    <row r="2365" spans="1:14" x14ac:dyDescent="0.25">
      <c r="A2365" s="1"/>
      <c r="B2365" s="2" t="s">
        <v>2876</v>
      </c>
      <c r="C2365" s="2" t="s">
        <v>36</v>
      </c>
      <c r="D2365" s="2" t="s">
        <v>105</v>
      </c>
      <c r="E2365" s="7" t="s">
        <v>3300</v>
      </c>
      <c r="F2365" s="37">
        <v>42514.729166666664</v>
      </c>
      <c r="G2365" s="37">
        <v>42514.746527777781</v>
      </c>
      <c r="H2365" s="1" t="s">
        <v>6</v>
      </c>
      <c r="I2365" s="1" t="s">
        <v>38</v>
      </c>
      <c r="J2365" s="1">
        <v>42514.74590277778</v>
      </c>
      <c r="K2365" s="1" t="s">
        <v>36</v>
      </c>
      <c r="L2365" s="14">
        <f>24*(TblTimeSheet[[#This Row],[End Date and Time]]-TblTimeSheet[[#This Row],[Start Date and Time]])</f>
        <v>0.41666666680248454</v>
      </c>
      <c r="M23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5" s="14">
        <f>--(0&gt;(TblTimeSheet[[#This Row],[End Date and Time]]-TblTimeSheet[[#This Row],[Start Date and Time]]))</f>
        <v>0</v>
      </c>
    </row>
    <row r="2366" spans="1:14" x14ac:dyDescent="0.25">
      <c r="A2366" s="1"/>
      <c r="B2366" s="2" t="s">
        <v>2878</v>
      </c>
      <c r="C2366" s="2" t="s">
        <v>42</v>
      </c>
      <c r="D2366" s="2" t="s">
        <v>3263</v>
      </c>
      <c r="E2366" s="7" t="s">
        <v>3301</v>
      </c>
      <c r="F2366" s="37">
        <v>42513.625</v>
      </c>
      <c r="G2366" s="37">
        <v>42513.732638888891</v>
      </c>
      <c r="H2366" s="1" t="s">
        <v>6</v>
      </c>
      <c r="I2366" s="1" t="s">
        <v>38</v>
      </c>
      <c r="J2366" s="1">
        <v>42514.746203703704</v>
      </c>
      <c r="K2366" s="1" t="s">
        <v>42</v>
      </c>
      <c r="L2366" s="14">
        <f>24*(TblTimeSheet[[#This Row],[End Date and Time]]-TblTimeSheet[[#This Row],[Start Date and Time]])</f>
        <v>2.5833333333721384</v>
      </c>
      <c r="M23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6" s="14">
        <f>--(0&gt;(TblTimeSheet[[#This Row],[End Date and Time]]-TblTimeSheet[[#This Row],[Start Date and Time]]))</f>
        <v>0</v>
      </c>
    </row>
    <row r="2367" spans="1:14" x14ac:dyDescent="0.25">
      <c r="A2367" s="1"/>
      <c r="B2367" s="2" t="s">
        <v>2878</v>
      </c>
      <c r="C2367" s="2" t="s">
        <v>1503</v>
      </c>
      <c r="D2367" s="2" t="s">
        <v>3263</v>
      </c>
      <c r="E2367" s="7" t="s">
        <v>3814</v>
      </c>
      <c r="F2367" s="37">
        <v>42514.729166666664</v>
      </c>
      <c r="G2367" s="37">
        <v>42514.746527777781</v>
      </c>
      <c r="H2367" s="1" t="s">
        <v>6</v>
      </c>
      <c r="I2367" s="1" t="s">
        <v>38</v>
      </c>
      <c r="J2367" s="1">
        <v>42520.624895833331</v>
      </c>
      <c r="K2367" s="1" t="s">
        <v>2866</v>
      </c>
      <c r="L2367" s="14">
        <f>24*(TblTimeSheet[[#This Row],[End Date and Time]]-TblTimeSheet[[#This Row],[Start Date and Time]])</f>
        <v>0.41666666680248454</v>
      </c>
      <c r="M23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7" s="14">
        <f>--(0&gt;(TblTimeSheet[[#This Row],[End Date and Time]]-TblTimeSheet[[#This Row],[Start Date and Time]]))</f>
        <v>0</v>
      </c>
    </row>
    <row r="2368" spans="1:14" x14ac:dyDescent="0.25">
      <c r="A2368" s="1"/>
      <c r="B2368" s="2" t="s">
        <v>2878</v>
      </c>
      <c r="C2368" s="2" t="s">
        <v>42</v>
      </c>
      <c r="D2368" s="2" t="s">
        <v>3263</v>
      </c>
      <c r="E2368" s="7" t="s">
        <v>3302</v>
      </c>
      <c r="F2368" s="37">
        <v>42514.416666666664</v>
      </c>
      <c r="G2368" s="37">
        <v>42514.458333333336</v>
      </c>
      <c r="H2368" s="1" t="s">
        <v>6</v>
      </c>
      <c r="I2368" s="1" t="s">
        <v>38</v>
      </c>
      <c r="J2368" s="1">
        <v>42514.748692129629</v>
      </c>
      <c r="K2368" s="1" t="s">
        <v>42</v>
      </c>
      <c r="L2368" s="14">
        <f>24*(TblTimeSheet[[#This Row],[End Date and Time]]-TblTimeSheet[[#This Row],[Start Date and Time]])</f>
        <v>1.0000000001164153</v>
      </c>
      <c r="M23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8" s="14">
        <f>--(0&gt;(TblTimeSheet[[#This Row],[End Date and Time]]-TblTimeSheet[[#This Row],[Start Date and Time]]))</f>
        <v>0</v>
      </c>
    </row>
    <row r="2369" spans="1:14" x14ac:dyDescent="0.25">
      <c r="A2369" s="1"/>
      <c r="B2369" s="2" t="s">
        <v>2878</v>
      </c>
      <c r="C2369" s="2" t="s">
        <v>42</v>
      </c>
      <c r="D2369" s="2" t="s">
        <v>3263</v>
      </c>
      <c r="E2369" s="7" t="s">
        <v>3303</v>
      </c>
      <c r="F2369" s="37">
        <v>42514.458333333336</v>
      </c>
      <c r="G2369" s="37">
        <v>42514.541666666664</v>
      </c>
      <c r="H2369" s="1" t="s">
        <v>6</v>
      </c>
      <c r="I2369" s="1" t="s">
        <v>38</v>
      </c>
      <c r="J2369" s="1">
        <v>42514.747604166667</v>
      </c>
      <c r="K2369" s="1" t="s">
        <v>42</v>
      </c>
      <c r="L2369" s="14">
        <f>24*(TblTimeSheet[[#This Row],[End Date and Time]]-TblTimeSheet[[#This Row],[Start Date and Time]])</f>
        <v>1.9999999998835847</v>
      </c>
      <c r="M23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69" s="14">
        <f>--(0&gt;(TblTimeSheet[[#This Row],[End Date and Time]]-TblTimeSheet[[#This Row],[Start Date and Time]]))</f>
        <v>0</v>
      </c>
    </row>
    <row r="2370" spans="1:14" x14ac:dyDescent="0.25">
      <c r="A2370" s="1"/>
      <c r="B2370" s="2" t="s">
        <v>2878</v>
      </c>
      <c r="C2370" s="2" t="s">
        <v>42</v>
      </c>
      <c r="D2370" s="2" t="s">
        <v>3261</v>
      </c>
      <c r="E2370" s="7" t="s">
        <v>3304</v>
      </c>
      <c r="F2370" s="37">
        <v>42514.583333333336</v>
      </c>
      <c r="G2370" s="37">
        <v>42514.729166666664</v>
      </c>
      <c r="H2370" s="1" t="s">
        <v>6</v>
      </c>
      <c r="I2370" s="1" t="s">
        <v>38</v>
      </c>
      <c r="J2370" s="1">
        <v>42514.748159722221</v>
      </c>
      <c r="K2370" s="1" t="s">
        <v>42</v>
      </c>
      <c r="L2370" s="14">
        <f>24*(TblTimeSheet[[#This Row],[End Date and Time]]-TblTimeSheet[[#This Row],[Start Date and Time]])</f>
        <v>3.4999999998835847</v>
      </c>
      <c r="M23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0" s="14">
        <f>--(0&gt;(TblTimeSheet[[#This Row],[End Date and Time]]-TblTimeSheet[[#This Row],[Start Date and Time]]))</f>
        <v>0</v>
      </c>
    </row>
    <row r="2371" spans="1:14" x14ac:dyDescent="0.25">
      <c r="A2371" s="1"/>
      <c r="B2371" s="2" t="s">
        <v>2878</v>
      </c>
      <c r="C2371" s="2" t="s">
        <v>1503</v>
      </c>
      <c r="D2371" s="2" t="s">
        <v>3263</v>
      </c>
      <c r="E2371" s="7" t="s">
        <v>3305</v>
      </c>
      <c r="F2371" s="37">
        <v>42514.583333333336</v>
      </c>
      <c r="G2371" s="37">
        <v>42514.729166666664</v>
      </c>
      <c r="H2371" s="1" t="s">
        <v>6</v>
      </c>
      <c r="I2371" s="1" t="s">
        <v>38</v>
      </c>
      <c r="J2371" s="1">
        <v>42637.388032407405</v>
      </c>
      <c r="K2371" s="1" t="s">
        <v>2866</v>
      </c>
      <c r="L2371" s="14">
        <f>24*(TblTimeSheet[[#This Row],[End Date and Time]]-TblTimeSheet[[#This Row],[Start Date and Time]])</f>
        <v>3.4999999998835847</v>
      </c>
      <c r="M23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1" s="14">
        <f>--(0&gt;(TblTimeSheet[[#This Row],[End Date and Time]]-TblTimeSheet[[#This Row],[Start Date and Time]]))</f>
        <v>0</v>
      </c>
    </row>
    <row r="2372" spans="1:14" x14ac:dyDescent="0.25">
      <c r="A2372" s="1"/>
      <c r="B2372" s="2" t="s">
        <v>105</v>
      </c>
      <c r="C2372" s="2" t="s">
        <v>1105</v>
      </c>
      <c r="D2372" s="2" t="s">
        <v>105</v>
      </c>
      <c r="E2372" s="7" t="s">
        <v>3306</v>
      </c>
      <c r="F2372" s="37">
        <v>42514.708333333336</v>
      </c>
      <c r="G2372" s="37">
        <v>42514.722222222219</v>
      </c>
      <c r="H2372" s="1" t="s">
        <v>6</v>
      </c>
      <c r="I2372" s="1" t="s">
        <v>38</v>
      </c>
      <c r="J2372" s="1">
        <v>42515.394363425927</v>
      </c>
      <c r="K2372" s="1" t="s">
        <v>2864</v>
      </c>
      <c r="L2372" s="14">
        <f>24*(TblTimeSheet[[#This Row],[End Date and Time]]-TblTimeSheet[[#This Row],[Start Date and Time]])</f>
        <v>0.33333333319751546</v>
      </c>
      <c r="M23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2" s="14">
        <f>--(0&gt;(TblTimeSheet[[#This Row],[End Date and Time]]-TblTimeSheet[[#This Row],[Start Date and Time]]))</f>
        <v>0</v>
      </c>
    </row>
    <row r="2373" spans="1:14" x14ac:dyDescent="0.25">
      <c r="A2373" s="1"/>
      <c r="B2373" s="2" t="s">
        <v>2876</v>
      </c>
      <c r="C2373" s="2" t="s">
        <v>42</v>
      </c>
      <c r="D2373" s="2" t="s">
        <v>3279</v>
      </c>
      <c r="E2373" s="7" t="s">
        <v>3307</v>
      </c>
      <c r="F2373" s="37">
        <v>42515.375</v>
      </c>
      <c r="G2373" s="37">
        <v>42515.4375</v>
      </c>
      <c r="H2373" s="1" t="s">
        <v>6</v>
      </c>
      <c r="I2373" s="1" t="s">
        <v>38</v>
      </c>
      <c r="J2373" s="1">
        <v>42517.676527777781</v>
      </c>
      <c r="K2373" s="1" t="s">
        <v>42</v>
      </c>
      <c r="L2373" s="14">
        <f>24*(TblTimeSheet[[#This Row],[End Date and Time]]-TblTimeSheet[[#This Row],[Start Date and Time]])</f>
        <v>1.5</v>
      </c>
      <c r="M23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3" s="14">
        <f>--(0&gt;(TblTimeSheet[[#This Row],[End Date and Time]]-TblTimeSheet[[#This Row],[Start Date and Time]]))</f>
        <v>0</v>
      </c>
    </row>
    <row r="2374" spans="1:14" x14ac:dyDescent="0.25">
      <c r="A2374" s="1"/>
      <c r="B2374" s="2" t="s">
        <v>2878</v>
      </c>
      <c r="C2374" s="2" t="s">
        <v>1503</v>
      </c>
      <c r="D2374" s="2" t="s">
        <v>3263</v>
      </c>
      <c r="E2374" s="7" t="s">
        <v>3308</v>
      </c>
      <c r="F2374" s="37">
        <v>42515.375</v>
      </c>
      <c r="G2374" s="37">
        <v>42515.541666666664</v>
      </c>
      <c r="H2374" s="1" t="s">
        <v>6</v>
      </c>
      <c r="I2374" s="1" t="s">
        <v>38</v>
      </c>
      <c r="J2374" s="1">
        <v>42515.552141203705</v>
      </c>
      <c r="K2374" s="1" t="s">
        <v>2866</v>
      </c>
      <c r="L2374" s="14">
        <f>24*(TblTimeSheet[[#This Row],[End Date and Time]]-TblTimeSheet[[#This Row],[Start Date and Time]])</f>
        <v>3.9999999999417923</v>
      </c>
      <c r="M23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4" s="14">
        <f>--(0&gt;(TblTimeSheet[[#This Row],[End Date and Time]]-TblTimeSheet[[#This Row],[Start Date and Time]]))</f>
        <v>0</v>
      </c>
    </row>
    <row r="2375" spans="1:14" x14ac:dyDescent="0.25">
      <c r="A2375" s="1"/>
      <c r="B2375" s="2" t="s">
        <v>2878</v>
      </c>
      <c r="C2375" s="2" t="s">
        <v>1061</v>
      </c>
      <c r="D2375" s="2" t="s">
        <v>3263</v>
      </c>
      <c r="E2375" s="7" t="s">
        <v>3309</v>
      </c>
      <c r="F2375" s="37">
        <v>42515.375</v>
      </c>
      <c r="G2375" s="37">
        <v>42515.729166666664</v>
      </c>
      <c r="H2375" s="1" t="s">
        <v>6</v>
      </c>
      <c r="I2375" s="1" t="s">
        <v>38</v>
      </c>
      <c r="J2375" s="1">
        <v>42515.721041666664</v>
      </c>
      <c r="K2375" s="1" t="s">
        <v>1061</v>
      </c>
      <c r="L2375" s="14">
        <f>24*(TblTimeSheet[[#This Row],[End Date and Time]]-TblTimeSheet[[#This Row],[Start Date and Time]])</f>
        <v>8.4999999999417923</v>
      </c>
      <c r="M23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5" s="14">
        <f>--(0&gt;(TblTimeSheet[[#This Row],[End Date and Time]]-TblTimeSheet[[#This Row],[Start Date and Time]]))</f>
        <v>0</v>
      </c>
    </row>
    <row r="2376" spans="1:14" x14ac:dyDescent="0.25">
      <c r="A2376" s="1"/>
      <c r="B2376" s="2" t="s">
        <v>2878</v>
      </c>
      <c r="C2376" s="2" t="s">
        <v>116</v>
      </c>
      <c r="D2376" s="2" t="s">
        <v>3263</v>
      </c>
      <c r="E2376" s="7" t="s">
        <v>3310</v>
      </c>
      <c r="F2376" s="37">
        <v>42514.395833333336</v>
      </c>
      <c r="G2376" s="37">
        <v>42514.729166666664</v>
      </c>
      <c r="H2376" s="1" t="s">
        <v>6</v>
      </c>
      <c r="I2376" s="1" t="s">
        <v>38</v>
      </c>
      <c r="J2376" s="1">
        <v>42515.803900462961</v>
      </c>
      <c r="K2376" s="1" t="s">
        <v>701</v>
      </c>
      <c r="L2376" s="14">
        <f>24*(TblTimeSheet[[#This Row],[End Date and Time]]-TblTimeSheet[[#This Row],[Start Date and Time]])</f>
        <v>7.9999999998835847</v>
      </c>
      <c r="M23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6" s="14">
        <f>--(0&gt;(TblTimeSheet[[#This Row],[End Date and Time]]-TblTimeSheet[[#This Row],[Start Date and Time]]))</f>
        <v>0</v>
      </c>
    </row>
    <row r="2377" spans="1:14" x14ac:dyDescent="0.25">
      <c r="A2377" s="1"/>
      <c r="B2377" s="2" t="s">
        <v>2878</v>
      </c>
      <c r="C2377" s="2" t="s">
        <v>116</v>
      </c>
      <c r="D2377" s="2" t="s">
        <v>3263</v>
      </c>
      <c r="E2377" s="7" t="s">
        <v>3311</v>
      </c>
      <c r="F2377" s="37">
        <v>42515.395833333336</v>
      </c>
      <c r="G2377" s="37">
        <v>42515.805555555555</v>
      </c>
      <c r="H2377" s="1" t="s">
        <v>6</v>
      </c>
      <c r="I2377" s="1" t="s">
        <v>38</v>
      </c>
      <c r="J2377" s="1">
        <v>42515.805300925924</v>
      </c>
      <c r="K2377" s="1" t="s">
        <v>701</v>
      </c>
      <c r="L2377" s="14">
        <f>24*(TblTimeSheet[[#This Row],[End Date and Time]]-TblTimeSheet[[#This Row],[Start Date and Time]])</f>
        <v>9.8333333332557231</v>
      </c>
      <c r="M23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7" s="14">
        <f>--(0&gt;(TblTimeSheet[[#This Row],[End Date and Time]]-TblTimeSheet[[#This Row],[Start Date and Time]]))</f>
        <v>0</v>
      </c>
    </row>
    <row r="2378" spans="1:14" x14ac:dyDescent="0.25">
      <c r="A2378" s="1"/>
      <c r="B2378" s="2" t="s">
        <v>2878</v>
      </c>
      <c r="C2378" s="2" t="s">
        <v>143</v>
      </c>
      <c r="D2378" s="2" t="s">
        <v>3263</v>
      </c>
      <c r="E2378" s="7" t="s">
        <v>3312</v>
      </c>
      <c r="F2378" s="37">
        <v>42515.375</v>
      </c>
      <c r="G2378" s="37">
        <v>42515.541666666664</v>
      </c>
      <c r="H2378" s="1" t="s">
        <v>6</v>
      </c>
      <c r="I2378" s="1" t="s">
        <v>38</v>
      </c>
      <c r="J2378" s="1">
        <v>42516.387800925928</v>
      </c>
      <c r="K2378" s="1" t="s">
        <v>143</v>
      </c>
      <c r="L2378" s="14">
        <f>24*(TblTimeSheet[[#This Row],[End Date and Time]]-TblTimeSheet[[#This Row],[Start Date and Time]])</f>
        <v>3.9999999999417923</v>
      </c>
      <c r="M23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8" s="14">
        <f>--(0&gt;(TblTimeSheet[[#This Row],[End Date and Time]]-TblTimeSheet[[#This Row],[Start Date and Time]]))</f>
        <v>0</v>
      </c>
    </row>
    <row r="2379" spans="1:14" x14ac:dyDescent="0.25">
      <c r="A2379" s="1"/>
      <c r="B2379" s="2" t="s">
        <v>2878</v>
      </c>
      <c r="C2379" s="2" t="s">
        <v>143</v>
      </c>
      <c r="D2379" s="2" t="s">
        <v>3263</v>
      </c>
      <c r="E2379" s="7" t="s">
        <v>3313</v>
      </c>
      <c r="F2379" s="37">
        <v>42515.583333333336</v>
      </c>
      <c r="G2379" s="37">
        <v>42515.708333333336</v>
      </c>
      <c r="H2379" s="1" t="s">
        <v>6</v>
      </c>
      <c r="I2379" s="1" t="s">
        <v>38</v>
      </c>
      <c r="J2379" s="1">
        <v>42516.388379629629</v>
      </c>
      <c r="K2379" s="1" t="s">
        <v>143</v>
      </c>
      <c r="L2379" s="14">
        <f>24*(TblTimeSheet[[#This Row],[End Date and Time]]-TblTimeSheet[[#This Row],[Start Date and Time]])</f>
        <v>3</v>
      </c>
      <c r="M23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79" s="14">
        <f>--(0&gt;(TblTimeSheet[[#This Row],[End Date and Time]]-TblTimeSheet[[#This Row],[Start Date and Time]]))</f>
        <v>0</v>
      </c>
    </row>
    <row r="2380" spans="1:14" ht="30" x14ac:dyDescent="0.25">
      <c r="A2380" s="1"/>
      <c r="B2380" s="2" t="s">
        <v>2878</v>
      </c>
      <c r="C2380" s="2" t="s">
        <v>36</v>
      </c>
      <c r="D2380" s="2" t="s">
        <v>3261</v>
      </c>
      <c r="E2380" s="7" t="s">
        <v>3815</v>
      </c>
      <c r="F2380" s="37">
        <v>42515.395833333336</v>
      </c>
      <c r="G2380" s="37">
        <v>42515.427083333336</v>
      </c>
      <c r="H2380" s="1" t="s">
        <v>6</v>
      </c>
      <c r="I2380" s="1" t="s">
        <v>38</v>
      </c>
      <c r="J2380" s="1">
        <v>42516.547812500001</v>
      </c>
      <c r="K2380" s="1" t="s">
        <v>36</v>
      </c>
      <c r="L2380" s="14">
        <f>24*(TblTimeSheet[[#This Row],[End Date and Time]]-TblTimeSheet[[#This Row],[Start Date and Time]])</f>
        <v>0.75</v>
      </c>
      <c r="M23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0" s="14">
        <f>--(0&gt;(TblTimeSheet[[#This Row],[End Date and Time]]-TblTimeSheet[[#This Row],[Start Date and Time]]))</f>
        <v>0</v>
      </c>
    </row>
    <row r="2381" spans="1:14" x14ac:dyDescent="0.25">
      <c r="A2381" s="1"/>
      <c r="B2381" s="2" t="s">
        <v>2878</v>
      </c>
      <c r="C2381" s="2" t="s">
        <v>36</v>
      </c>
      <c r="D2381" s="2" t="s">
        <v>3261</v>
      </c>
      <c r="E2381" s="7" t="s">
        <v>3314</v>
      </c>
      <c r="F2381" s="37">
        <v>42515.430555555555</v>
      </c>
      <c r="G2381" s="37">
        <v>42515.451388888891</v>
      </c>
      <c r="H2381" s="1" t="s">
        <v>6</v>
      </c>
      <c r="I2381" s="1" t="s">
        <v>38</v>
      </c>
      <c r="J2381" s="1">
        <v>42516.547488425924</v>
      </c>
      <c r="K2381" s="1" t="s">
        <v>36</v>
      </c>
      <c r="L2381" s="14">
        <f>24*(TblTimeSheet[[#This Row],[End Date and Time]]-TblTimeSheet[[#This Row],[Start Date and Time]])</f>
        <v>0.50000000005820766</v>
      </c>
      <c r="M23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1" s="14">
        <f>--(0&gt;(TblTimeSheet[[#This Row],[End Date and Time]]-TblTimeSheet[[#This Row],[Start Date and Time]]))</f>
        <v>0</v>
      </c>
    </row>
    <row r="2382" spans="1:14" ht="30" x14ac:dyDescent="0.25">
      <c r="A2382" s="1"/>
      <c r="B2382" s="2" t="s">
        <v>2878</v>
      </c>
      <c r="C2382" s="2" t="s">
        <v>36</v>
      </c>
      <c r="D2382" s="2" t="s">
        <v>3261</v>
      </c>
      <c r="E2382" s="7" t="s">
        <v>3315</v>
      </c>
      <c r="F2382" s="37">
        <v>42515.458333333336</v>
      </c>
      <c r="G2382" s="37">
        <v>42515.541666666664</v>
      </c>
      <c r="H2382" s="1" t="s">
        <v>6</v>
      </c>
      <c r="I2382" s="1" t="s">
        <v>38</v>
      </c>
      <c r="J2382" s="1">
        <v>42516.548750000002</v>
      </c>
      <c r="K2382" s="1" t="s">
        <v>36</v>
      </c>
      <c r="L2382" s="14">
        <f>24*(TblTimeSheet[[#This Row],[End Date and Time]]-TblTimeSheet[[#This Row],[Start Date and Time]])</f>
        <v>1.9999999998835847</v>
      </c>
      <c r="M23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2" s="14">
        <f>--(0&gt;(TblTimeSheet[[#This Row],[End Date and Time]]-TblTimeSheet[[#This Row],[Start Date and Time]]))</f>
        <v>0</v>
      </c>
    </row>
    <row r="2383" spans="1:14" ht="30" x14ac:dyDescent="0.25">
      <c r="A2383" s="1"/>
      <c r="B2383" s="2" t="s">
        <v>2878</v>
      </c>
      <c r="C2383" s="2" t="s">
        <v>36</v>
      </c>
      <c r="D2383" s="2" t="s">
        <v>3261</v>
      </c>
      <c r="E2383" s="7" t="s">
        <v>3816</v>
      </c>
      <c r="F2383" s="37">
        <v>42515.541666666664</v>
      </c>
      <c r="G2383" s="37">
        <v>42515.604166666664</v>
      </c>
      <c r="H2383" s="1" t="s">
        <v>6</v>
      </c>
      <c r="I2383" s="1" t="s">
        <v>38</v>
      </c>
      <c r="J2383" s="1">
        <v>42516.554432870369</v>
      </c>
      <c r="K2383" s="1" t="s">
        <v>36</v>
      </c>
      <c r="L2383" s="14">
        <f>24*(TblTimeSheet[[#This Row],[End Date and Time]]-TblTimeSheet[[#This Row],[Start Date and Time]])</f>
        <v>1.5</v>
      </c>
      <c r="M23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3" s="14">
        <f>--(0&gt;(TblTimeSheet[[#This Row],[End Date and Time]]-TblTimeSheet[[#This Row],[Start Date and Time]]))</f>
        <v>0</v>
      </c>
    </row>
    <row r="2384" spans="1:14" ht="30" x14ac:dyDescent="0.25">
      <c r="A2384" s="1"/>
      <c r="B2384" s="2" t="s">
        <v>2878</v>
      </c>
      <c r="C2384" s="2" t="s">
        <v>36</v>
      </c>
      <c r="D2384" s="2" t="s">
        <v>3261</v>
      </c>
      <c r="E2384" s="7" t="s">
        <v>3316</v>
      </c>
      <c r="F2384" s="37">
        <v>42515.635416666664</v>
      </c>
      <c r="G2384" s="37">
        <v>42515.6875</v>
      </c>
      <c r="H2384" s="1" t="s">
        <v>6</v>
      </c>
      <c r="I2384" s="1" t="s">
        <v>38</v>
      </c>
      <c r="J2384" s="1">
        <v>42516.554606481484</v>
      </c>
      <c r="K2384" s="1" t="s">
        <v>36</v>
      </c>
      <c r="L2384" s="14">
        <f>24*(TblTimeSheet[[#This Row],[End Date and Time]]-TblTimeSheet[[#This Row],[Start Date and Time]])</f>
        <v>1.2500000000582077</v>
      </c>
      <c r="M23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4" s="14">
        <f>--(0&gt;(TblTimeSheet[[#This Row],[End Date and Time]]-TblTimeSheet[[#This Row],[Start Date and Time]]))</f>
        <v>0</v>
      </c>
    </row>
    <row r="2385" spans="1:14" ht="45" x14ac:dyDescent="0.25">
      <c r="A2385" s="1"/>
      <c r="B2385" s="2" t="s">
        <v>2878</v>
      </c>
      <c r="C2385" s="2" t="s">
        <v>36</v>
      </c>
      <c r="D2385" s="2" t="s">
        <v>3261</v>
      </c>
      <c r="E2385" s="7" t="s">
        <v>3817</v>
      </c>
      <c r="F2385" s="37">
        <v>42515.697916666664</v>
      </c>
      <c r="G2385" s="37">
        <v>42515.760416666664</v>
      </c>
      <c r="H2385" s="1" t="s">
        <v>6</v>
      </c>
      <c r="I2385" s="1" t="s">
        <v>38</v>
      </c>
      <c r="J2385" s="1">
        <v>42516.55636574074</v>
      </c>
      <c r="K2385" s="1" t="s">
        <v>36</v>
      </c>
      <c r="L2385" s="14">
        <f>24*(TblTimeSheet[[#This Row],[End Date and Time]]-TblTimeSheet[[#This Row],[Start Date and Time]])</f>
        <v>1.5</v>
      </c>
      <c r="M23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5" s="14">
        <f>--(0&gt;(TblTimeSheet[[#This Row],[End Date and Time]]-TblTimeSheet[[#This Row],[Start Date and Time]]))</f>
        <v>0</v>
      </c>
    </row>
    <row r="2386" spans="1:14" x14ac:dyDescent="0.25">
      <c r="A2386" s="1"/>
      <c r="B2386" s="2" t="s">
        <v>2878</v>
      </c>
      <c r="C2386" s="2" t="s">
        <v>36</v>
      </c>
      <c r="D2386" s="2" t="s">
        <v>3261</v>
      </c>
      <c r="E2386" s="7" t="s">
        <v>3818</v>
      </c>
      <c r="F2386" s="37">
        <v>42515.760416666664</v>
      </c>
      <c r="G2386" s="37">
        <v>42515.774305555555</v>
      </c>
      <c r="H2386" s="1" t="s">
        <v>6</v>
      </c>
      <c r="I2386" s="1" t="s">
        <v>38</v>
      </c>
      <c r="J2386" s="1">
        <v>42516.557106481479</v>
      </c>
      <c r="K2386" s="1" t="s">
        <v>36</v>
      </c>
      <c r="L2386" s="14">
        <f>24*(TblTimeSheet[[#This Row],[End Date and Time]]-TblTimeSheet[[#This Row],[Start Date and Time]])</f>
        <v>0.33333333337213844</v>
      </c>
      <c r="M23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6" s="14">
        <f>--(0&gt;(TblTimeSheet[[#This Row],[End Date and Time]]-TblTimeSheet[[#This Row],[Start Date and Time]]))</f>
        <v>0</v>
      </c>
    </row>
    <row r="2387" spans="1:14" x14ac:dyDescent="0.25">
      <c r="A2387" s="1"/>
      <c r="B2387" s="2" t="s">
        <v>2878</v>
      </c>
      <c r="C2387" s="2" t="s">
        <v>36</v>
      </c>
      <c r="D2387" s="2" t="s">
        <v>3261</v>
      </c>
      <c r="E2387" s="7" t="s">
        <v>3819</v>
      </c>
      <c r="F2387" s="37">
        <v>42516.385416666664</v>
      </c>
      <c r="G2387" s="37">
        <v>42516.541666666664</v>
      </c>
      <c r="H2387" s="1" t="s">
        <v>6</v>
      </c>
      <c r="I2387" s="1" t="s">
        <v>38</v>
      </c>
      <c r="J2387" s="1">
        <v>42516.557569444441</v>
      </c>
      <c r="K2387" s="1" t="s">
        <v>36</v>
      </c>
      <c r="L2387" s="14">
        <f>24*(TblTimeSheet[[#This Row],[End Date and Time]]-TblTimeSheet[[#This Row],[Start Date and Time]])</f>
        <v>3.75</v>
      </c>
      <c r="M23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7" s="14">
        <f>--(0&gt;(TblTimeSheet[[#This Row],[End Date and Time]]-TblTimeSheet[[#This Row],[Start Date and Time]]))</f>
        <v>0</v>
      </c>
    </row>
    <row r="2388" spans="1:14" x14ac:dyDescent="0.25">
      <c r="A2388" s="1"/>
      <c r="B2388" s="2" t="s">
        <v>2878</v>
      </c>
      <c r="C2388" s="2" t="s">
        <v>176</v>
      </c>
      <c r="D2388" s="2" t="s">
        <v>3263</v>
      </c>
      <c r="E2388" s="7" t="s">
        <v>3820</v>
      </c>
      <c r="F2388" s="37">
        <v>42514.375</v>
      </c>
      <c r="G2388" s="37">
        <v>42514.8125</v>
      </c>
      <c r="H2388" s="1" t="s">
        <v>6</v>
      </c>
      <c r="I2388" s="1" t="s">
        <v>38</v>
      </c>
      <c r="J2388" s="1">
        <v>42516.587442129632</v>
      </c>
      <c r="K2388" s="1" t="s">
        <v>176</v>
      </c>
      <c r="L2388" s="14">
        <f>24*(TblTimeSheet[[#This Row],[End Date and Time]]-TblTimeSheet[[#This Row],[Start Date and Time]])</f>
        <v>10.5</v>
      </c>
      <c r="M23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8" s="14">
        <f>--(0&gt;(TblTimeSheet[[#This Row],[End Date and Time]]-TblTimeSheet[[#This Row],[Start Date and Time]]))</f>
        <v>0</v>
      </c>
    </row>
    <row r="2389" spans="1:14" x14ac:dyDescent="0.25">
      <c r="A2389" s="1"/>
      <c r="B2389" s="2" t="s">
        <v>2878</v>
      </c>
      <c r="C2389" s="2" t="s">
        <v>176</v>
      </c>
      <c r="D2389" s="2" t="s">
        <v>3261</v>
      </c>
      <c r="E2389" s="7" t="s">
        <v>3821</v>
      </c>
      <c r="F2389" s="37">
        <v>42515.375</v>
      </c>
      <c r="G2389" s="37">
        <v>42515.729166666664</v>
      </c>
      <c r="H2389" s="1" t="s">
        <v>6</v>
      </c>
      <c r="I2389" s="1" t="s">
        <v>38</v>
      </c>
      <c r="J2389" s="1">
        <v>42516.590925925928</v>
      </c>
      <c r="K2389" s="1" t="s">
        <v>176</v>
      </c>
      <c r="L2389" s="14">
        <f>24*(TblTimeSheet[[#This Row],[End Date and Time]]-TblTimeSheet[[#This Row],[Start Date and Time]])</f>
        <v>8.4999999999417923</v>
      </c>
      <c r="M23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89" s="14">
        <f>--(0&gt;(TblTimeSheet[[#This Row],[End Date and Time]]-TblTimeSheet[[#This Row],[Start Date and Time]]))</f>
        <v>0</v>
      </c>
    </row>
    <row r="2390" spans="1:14" x14ac:dyDescent="0.25">
      <c r="A2390" s="1"/>
      <c r="B2390" s="2" t="s">
        <v>2878</v>
      </c>
      <c r="C2390" s="2" t="s">
        <v>124</v>
      </c>
      <c r="D2390" s="2" t="s">
        <v>3261</v>
      </c>
      <c r="E2390" s="7" t="s">
        <v>3317</v>
      </c>
      <c r="F2390" s="37">
        <v>42515.416666666664</v>
      </c>
      <c r="G2390" s="37">
        <v>42515.458333333336</v>
      </c>
      <c r="H2390" s="1" t="s">
        <v>6</v>
      </c>
      <c r="I2390" s="1" t="s">
        <v>38</v>
      </c>
      <c r="J2390" s="1">
        <v>42516.745474537034</v>
      </c>
      <c r="K2390" s="1" t="s">
        <v>2863</v>
      </c>
      <c r="L2390" s="14">
        <f>24*(TblTimeSheet[[#This Row],[End Date and Time]]-TblTimeSheet[[#This Row],[Start Date and Time]])</f>
        <v>1.0000000001164153</v>
      </c>
      <c r="M23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0" s="14">
        <f>--(0&gt;(TblTimeSheet[[#This Row],[End Date and Time]]-TblTimeSheet[[#This Row],[Start Date and Time]]))</f>
        <v>0</v>
      </c>
    </row>
    <row r="2391" spans="1:14" x14ac:dyDescent="0.25">
      <c r="A2391" s="1"/>
      <c r="B2391" s="2" t="s">
        <v>2878</v>
      </c>
      <c r="C2391" s="2" t="s">
        <v>144</v>
      </c>
      <c r="D2391" s="2" t="s">
        <v>3263</v>
      </c>
      <c r="E2391" s="7" t="s">
        <v>3318</v>
      </c>
      <c r="F2391" s="37">
        <v>42516.392361111109</v>
      </c>
      <c r="G2391" s="37">
        <v>42516.729166666664</v>
      </c>
      <c r="H2391" s="1" t="s">
        <v>6</v>
      </c>
      <c r="I2391" s="1" t="s">
        <v>38</v>
      </c>
      <c r="J2391" s="1">
        <v>42516.745879629627</v>
      </c>
      <c r="K2391" s="1" t="s">
        <v>144</v>
      </c>
      <c r="L2391" s="14">
        <f>24*(TblTimeSheet[[#This Row],[End Date and Time]]-TblTimeSheet[[#This Row],[Start Date and Time]])</f>
        <v>8.0833333333139308</v>
      </c>
      <c r="M23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1" s="14">
        <f>--(0&gt;(TblTimeSheet[[#This Row],[End Date and Time]]-TblTimeSheet[[#This Row],[Start Date and Time]]))</f>
        <v>0</v>
      </c>
    </row>
    <row r="2392" spans="1:14" x14ac:dyDescent="0.25">
      <c r="A2392" s="1"/>
      <c r="B2392" s="2" t="s">
        <v>2878</v>
      </c>
      <c r="C2392" s="2" t="s">
        <v>124</v>
      </c>
      <c r="D2392" s="2" t="s">
        <v>3263</v>
      </c>
      <c r="E2392" s="7" t="s">
        <v>3319</v>
      </c>
      <c r="F2392" s="37">
        <v>42516.416666666664</v>
      </c>
      <c r="G2392" s="37">
        <v>42516.541666666664</v>
      </c>
      <c r="H2392" s="1" t="s">
        <v>6</v>
      </c>
      <c r="I2392" s="1" t="s">
        <v>38</v>
      </c>
      <c r="J2392" s="1">
        <v>42516.746215277781</v>
      </c>
      <c r="K2392" s="1" t="s">
        <v>2863</v>
      </c>
      <c r="L2392" s="14">
        <f>24*(TblTimeSheet[[#This Row],[End Date and Time]]-TblTimeSheet[[#This Row],[Start Date and Time]])</f>
        <v>3</v>
      </c>
      <c r="M23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2" s="14">
        <f>--(0&gt;(TblTimeSheet[[#This Row],[End Date and Time]]-TblTimeSheet[[#This Row],[Start Date and Time]]))</f>
        <v>0</v>
      </c>
    </row>
    <row r="2393" spans="1:14" ht="30" x14ac:dyDescent="0.25">
      <c r="A2393" s="1"/>
      <c r="B2393" s="2" t="s">
        <v>2878</v>
      </c>
      <c r="C2393" s="2" t="s">
        <v>124</v>
      </c>
      <c r="D2393" s="2" t="s">
        <v>3263</v>
      </c>
      <c r="E2393" s="7" t="s">
        <v>3320</v>
      </c>
      <c r="F2393" s="37">
        <v>42516.569444444445</v>
      </c>
      <c r="G2393" s="37">
        <v>42516.75</v>
      </c>
      <c r="H2393" s="1" t="s">
        <v>6</v>
      </c>
      <c r="I2393" s="1" t="s">
        <v>38</v>
      </c>
      <c r="J2393" s="1">
        <v>42516.747581018521</v>
      </c>
      <c r="K2393" s="1" t="s">
        <v>2863</v>
      </c>
      <c r="L2393" s="14">
        <f>24*(TblTimeSheet[[#This Row],[End Date and Time]]-TblTimeSheet[[#This Row],[Start Date and Time]])</f>
        <v>4.3333333333139308</v>
      </c>
      <c r="M23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3" s="14">
        <f>--(0&gt;(TblTimeSheet[[#This Row],[End Date and Time]]-TblTimeSheet[[#This Row],[Start Date and Time]]))</f>
        <v>0</v>
      </c>
    </row>
    <row r="2394" spans="1:14" x14ac:dyDescent="0.25">
      <c r="A2394" s="1"/>
      <c r="B2394" s="2" t="s">
        <v>2878</v>
      </c>
      <c r="C2394" s="2" t="s">
        <v>116</v>
      </c>
      <c r="D2394" s="2" t="s">
        <v>3263</v>
      </c>
      <c r="E2394" s="7" t="s">
        <v>3321</v>
      </c>
      <c r="F2394" s="37">
        <v>42516.395833333336</v>
      </c>
      <c r="G2394" s="37">
        <v>42516.75</v>
      </c>
      <c r="H2394" s="1" t="s">
        <v>6</v>
      </c>
      <c r="I2394" s="1" t="s">
        <v>38</v>
      </c>
      <c r="J2394" s="1">
        <v>42516.749652777777</v>
      </c>
      <c r="K2394" s="1" t="s">
        <v>701</v>
      </c>
      <c r="L2394" s="14">
        <f>24*(TblTimeSheet[[#This Row],[End Date and Time]]-TblTimeSheet[[#This Row],[Start Date and Time]])</f>
        <v>8.4999999999417923</v>
      </c>
      <c r="M23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4" s="14">
        <f>--(0&gt;(TblTimeSheet[[#This Row],[End Date and Time]]-TblTimeSheet[[#This Row],[Start Date and Time]]))</f>
        <v>0</v>
      </c>
    </row>
    <row r="2395" spans="1:14" x14ac:dyDescent="0.25">
      <c r="A2395" s="1"/>
      <c r="B2395" s="2" t="s">
        <v>2878</v>
      </c>
      <c r="C2395" s="2" t="s">
        <v>171</v>
      </c>
      <c r="D2395" s="2" t="s">
        <v>3263</v>
      </c>
      <c r="E2395" s="7" t="s">
        <v>3822</v>
      </c>
      <c r="F2395" s="37">
        <v>42516.395833333336</v>
      </c>
      <c r="G2395" s="37">
        <v>42516.708333333336</v>
      </c>
      <c r="H2395" s="1" t="s">
        <v>6</v>
      </c>
      <c r="I2395" s="1" t="s">
        <v>38</v>
      </c>
      <c r="J2395" s="1">
        <v>42516.762314814812</v>
      </c>
      <c r="K2395" s="1" t="s">
        <v>171</v>
      </c>
      <c r="L2395" s="14">
        <f>24*(TblTimeSheet[[#This Row],[End Date and Time]]-TblTimeSheet[[#This Row],[Start Date and Time]])</f>
        <v>7.5</v>
      </c>
      <c r="M23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5" s="14">
        <f>--(0&gt;(TblTimeSheet[[#This Row],[End Date and Time]]-TblTimeSheet[[#This Row],[Start Date and Time]]))</f>
        <v>0</v>
      </c>
    </row>
    <row r="2396" spans="1:14" x14ac:dyDescent="0.25">
      <c r="A2396" s="1"/>
      <c r="B2396" s="2" t="s">
        <v>2878</v>
      </c>
      <c r="C2396" s="2" t="s">
        <v>171</v>
      </c>
      <c r="D2396" s="2" t="s">
        <v>3263</v>
      </c>
      <c r="E2396" s="7" t="s">
        <v>3322</v>
      </c>
      <c r="F2396" s="37">
        <v>42515.395833333336</v>
      </c>
      <c r="G2396" s="37">
        <v>42515.75</v>
      </c>
      <c r="H2396" s="1" t="s">
        <v>6</v>
      </c>
      <c r="I2396" s="1" t="s">
        <v>38</v>
      </c>
      <c r="J2396" s="1">
        <v>42516.76284722222</v>
      </c>
      <c r="K2396" s="1" t="s">
        <v>171</v>
      </c>
      <c r="L2396" s="14">
        <f>24*(TblTimeSheet[[#This Row],[End Date and Time]]-TblTimeSheet[[#This Row],[Start Date and Time]])</f>
        <v>8.4999999999417923</v>
      </c>
      <c r="M23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6" s="14">
        <f>--(0&gt;(TblTimeSheet[[#This Row],[End Date and Time]]-TblTimeSheet[[#This Row],[Start Date and Time]]))</f>
        <v>0</v>
      </c>
    </row>
    <row r="2397" spans="1:14" x14ac:dyDescent="0.25">
      <c r="A2397" s="1"/>
      <c r="B2397" s="2" t="s">
        <v>2878</v>
      </c>
      <c r="C2397" s="2" t="s">
        <v>42</v>
      </c>
      <c r="D2397" s="2" t="s">
        <v>3261</v>
      </c>
      <c r="E2397" s="7" t="s">
        <v>3323</v>
      </c>
      <c r="F2397" s="37">
        <v>42515.4375</v>
      </c>
      <c r="G2397" s="37">
        <v>42515.458333333336</v>
      </c>
      <c r="H2397" s="1" t="s">
        <v>6</v>
      </c>
      <c r="I2397" s="1" t="s">
        <v>38</v>
      </c>
      <c r="J2397" s="1">
        <v>42517.410254629627</v>
      </c>
      <c r="K2397" s="1" t="s">
        <v>42</v>
      </c>
      <c r="L2397" s="14">
        <f>24*(TblTimeSheet[[#This Row],[End Date and Time]]-TblTimeSheet[[#This Row],[Start Date and Time]])</f>
        <v>0.50000000005820766</v>
      </c>
      <c r="M23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7" s="14">
        <f>--(0&gt;(TblTimeSheet[[#This Row],[End Date and Time]]-TblTimeSheet[[#This Row],[Start Date and Time]]))</f>
        <v>0</v>
      </c>
    </row>
    <row r="2398" spans="1:14" x14ac:dyDescent="0.25">
      <c r="A2398" s="1"/>
      <c r="B2398" s="2" t="s">
        <v>2878</v>
      </c>
      <c r="C2398" s="2" t="s">
        <v>42</v>
      </c>
      <c r="D2398" s="2" t="s">
        <v>3261</v>
      </c>
      <c r="E2398" s="7" t="s">
        <v>3823</v>
      </c>
      <c r="F2398" s="37">
        <v>42515.458333333336</v>
      </c>
      <c r="G2398" s="37">
        <v>42515.541666666664</v>
      </c>
      <c r="H2398" s="1" t="s">
        <v>6</v>
      </c>
      <c r="I2398" s="1" t="s">
        <v>38</v>
      </c>
      <c r="J2398" s="1">
        <v>42517.41269675926</v>
      </c>
      <c r="K2398" s="1" t="s">
        <v>42</v>
      </c>
      <c r="L2398" s="14">
        <f>24*(TblTimeSheet[[#This Row],[End Date and Time]]-TblTimeSheet[[#This Row],[Start Date and Time]])</f>
        <v>1.9999999998835847</v>
      </c>
      <c r="M23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8" s="14">
        <f>--(0&gt;(TblTimeSheet[[#This Row],[End Date and Time]]-TblTimeSheet[[#This Row],[Start Date and Time]]))</f>
        <v>0</v>
      </c>
    </row>
    <row r="2399" spans="1:14" x14ac:dyDescent="0.25">
      <c r="A2399" s="1"/>
      <c r="B2399" s="2" t="s">
        <v>2878</v>
      </c>
      <c r="C2399" s="2" t="s">
        <v>42</v>
      </c>
      <c r="D2399" s="2" t="s">
        <v>3261</v>
      </c>
      <c r="E2399" s="7" t="s">
        <v>3824</v>
      </c>
      <c r="F2399" s="37">
        <v>42515.541666666664</v>
      </c>
      <c r="G2399" s="37">
        <v>42515.604166666664</v>
      </c>
      <c r="H2399" s="1" t="s">
        <v>6</v>
      </c>
      <c r="I2399" s="1" t="s">
        <v>38</v>
      </c>
      <c r="J2399" s="1">
        <v>42517.412430555552</v>
      </c>
      <c r="K2399" s="1" t="s">
        <v>42</v>
      </c>
      <c r="L2399" s="14">
        <f>24*(TblTimeSheet[[#This Row],[End Date and Time]]-TblTimeSheet[[#This Row],[Start Date and Time]])</f>
        <v>1.5</v>
      </c>
      <c r="M23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399" s="14">
        <f>--(0&gt;(TblTimeSheet[[#This Row],[End Date and Time]]-TblTimeSheet[[#This Row],[Start Date and Time]]))</f>
        <v>0</v>
      </c>
    </row>
    <row r="2400" spans="1:14" x14ac:dyDescent="0.25">
      <c r="A2400" s="1"/>
      <c r="B2400" s="2" t="s">
        <v>2878</v>
      </c>
      <c r="C2400" s="2" t="s">
        <v>42</v>
      </c>
      <c r="D2400" s="2" t="s">
        <v>3261</v>
      </c>
      <c r="E2400" s="7" t="s">
        <v>3825</v>
      </c>
      <c r="F2400" s="37">
        <v>42515.625</v>
      </c>
      <c r="G2400" s="37">
        <v>42515.729166666664</v>
      </c>
      <c r="H2400" s="1" t="s">
        <v>6</v>
      </c>
      <c r="I2400" s="1" t="s">
        <v>38</v>
      </c>
      <c r="J2400" s="1">
        <v>42517.414375</v>
      </c>
      <c r="K2400" s="1" t="s">
        <v>42</v>
      </c>
      <c r="L2400" s="14">
        <f>24*(TblTimeSheet[[#This Row],[End Date and Time]]-TblTimeSheet[[#This Row],[Start Date and Time]])</f>
        <v>2.4999999999417923</v>
      </c>
      <c r="M24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0" s="14">
        <f>--(0&gt;(TblTimeSheet[[#This Row],[End Date and Time]]-TblTimeSheet[[#This Row],[Start Date and Time]]))</f>
        <v>0</v>
      </c>
    </row>
    <row r="2401" spans="1:14" x14ac:dyDescent="0.25">
      <c r="A2401" s="1"/>
      <c r="B2401" s="2" t="s">
        <v>2878</v>
      </c>
      <c r="C2401" s="2" t="s">
        <v>42</v>
      </c>
      <c r="D2401" s="2" t="s">
        <v>3261</v>
      </c>
      <c r="E2401" s="7" t="s">
        <v>3826</v>
      </c>
      <c r="F2401" s="37">
        <v>42516.375</v>
      </c>
      <c r="G2401" s="37">
        <v>42516.5625</v>
      </c>
      <c r="H2401" s="1" t="s">
        <v>6</v>
      </c>
      <c r="I2401" s="1" t="s">
        <v>38</v>
      </c>
      <c r="J2401" s="1">
        <v>42517.416354166664</v>
      </c>
      <c r="K2401" s="1" t="s">
        <v>42</v>
      </c>
      <c r="L2401" s="14">
        <f>24*(TblTimeSheet[[#This Row],[End Date and Time]]-TblTimeSheet[[#This Row],[Start Date and Time]])</f>
        <v>4.5</v>
      </c>
      <c r="M24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1" s="14">
        <f>--(0&gt;(TblTimeSheet[[#This Row],[End Date and Time]]-TblTimeSheet[[#This Row],[Start Date and Time]]))</f>
        <v>0</v>
      </c>
    </row>
    <row r="2402" spans="1:14" x14ac:dyDescent="0.25">
      <c r="A2402" s="1"/>
      <c r="B2402" s="2" t="s">
        <v>2878</v>
      </c>
      <c r="C2402" s="2" t="s">
        <v>42</v>
      </c>
      <c r="D2402" s="2" t="s">
        <v>3261</v>
      </c>
      <c r="E2402" s="7" t="s">
        <v>3826</v>
      </c>
      <c r="F2402" s="37">
        <v>42516.583333333336</v>
      </c>
      <c r="G2402" s="37">
        <v>42516.75</v>
      </c>
      <c r="H2402" s="1" t="s">
        <v>6</v>
      </c>
      <c r="I2402" s="1" t="s">
        <v>38</v>
      </c>
      <c r="J2402" s="1">
        <v>42517.418761574074</v>
      </c>
      <c r="K2402" s="1" t="s">
        <v>42</v>
      </c>
      <c r="L2402" s="14">
        <f>24*(TblTimeSheet[[#This Row],[End Date and Time]]-TblTimeSheet[[#This Row],[Start Date and Time]])</f>
        <v>3.9999999999417923</v>
      </c>
      <c r="M24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2" s="14">
        <f>--(0&gt;(TblTimeSheet[[#This Row],[End Date and Time]]-TblTimeSheet[[#This Row],[Start Date and Time]]))</f>
        <v>0</v>
      </c>
    </row>
    <row r="2403" spans="1:14" ht="30" x14ac:dyDescent="0.25">
      <c r="A2403" s="1"/>
      <c r="B2403" s="2" t="s">
        <v>2878</v>
      </c>
      <c r="C2403" s="2" t="s">
        <v>36</v>
      </c>
      <c r="D2403" s="2" t="s">
        <v>3261</v>
      </c>
      <c r="E2403" s="7" t="s">
        <v>3827</v>
      </c>
      <c r="F2403" s="37">
        <v>42516.583333333336</v>
      </c>
      <c r="G2403" s="37">
        <v>42516.680555555555</v>
      </c>
      <c r="H2403" s="1" t="s">
        <v>6</v>
      </c>
      <c r="I2403" s="1" t="s">
        <v>38</v>
      </c>
      <c r="J2403" s="1">
        <v>42517.485590277778</v>
      </c>
      <c r="K2403" s="1" t="s">
        <v>36</v>
      </c>
      <c r="L2403" s="14">
        <f>24*(TblTimeSheet[[#This Row],[End Date and Time]]-TblTimeSheet[[#This Row],[Start Date and Time]])</f>
        <v>2.3333333332557231</v>
      </c>
      <c r="M24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3" s="14">
        <f>--(0&gt;(TblTimeSheet[[#This Row],[End Date and Time]]-TblTimeSheet[[#This Row],[Start Date and Time]]))</f>
        <v>0</v>
      </c>
    </row>
    <row r="2404" spans="1:14" x14ac:dyDescent="0.25">
      <c r="A2404" s="1"/>
      <c r="B2404" s="2" t="s">
        <v>2878</v>
      </c>
      <c r="C2404" s="2" t="s">
        <v>36</v>
      </c>
      <c r="D2404" s="2" t="s">
        <v>3261</v>
      </c>
      <c r="E2404" s="7" t="s">
        <v>3828</v>
      </c>
      <c r="F2404" s="37">
        <v>42516.6875</v>
      </c>
      <c r="G2404" s="37">
        <v>42516.711805555555</v>
      </c>
      <c r="H2404" s="1" t="s">
        <v>6</v>
      </c>
      <c r="I2404" s="1" t="s">
        <v>38</v>
      </c>
      <c r="J2404" s="1">
        <v>42517.486215277779</v>
      </c>
      <c r="K2404" s="1" t="s">
        <v>36</v>
      </c>
      <c r="L2404" s="14">
        <f>24*(TblTimeSheet[[#This Row],[End Date and Time]]-TblTimeSheet[[#This Row],[Start Date and Time]])</f>
        <v>0.58333333331393078</v>
      </c>
      <c r="M24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4" s="14">
        <f>--(0&gt;(TblTimeSheet[[#This Row],[End Date and Time]]-TblTimeSheet[[#This Row],[Start Date and Time]]))</f>
        <v>0</v>
      </c>
    </row>
    <row r="2405" spans="1:14" x14ac:dyDescent="0.25">
      <c r="A2405" s="1"/>
      <c r="B2405" s="2" t="s">
        <v>2878</v>
      </c>
      <c r="C2405" s="2" t="s">
        <v>36</v>
      </c>
      <c r="D2405" s="2" t="s">
        <v>3261</v>
      </c>
      <c r="E2405" s="7" t="s">
        <v>3324</v>
      </c>
      <c r="F2405" s="37">
        <v>42516.711805555555</v>
      </c>
      <c r="G2405" s="37">
        <v>42516.840277777781</v>
      </c>
      <c r="H2405" s="1" t="s">
        <v>6</v>
      </c>
      <c r="I2405" s="1" t="s">
        <v>38</v>
      </c>
      <c r="J2405" s="1">
        <v>42517.486967592595</v>
      </c>
      <c r="K2405" s="1" t="s">
        <v>36</v>
      </c>
      <c r="L2405" s="14">
        <f>24*(TblTimeSheet[[#This Row],[End Date and Time]]-TblTimeSheet[[#This Row],[Start Date and Time]])</f>
        <v>3.0833333334303461</v>
      </c>
      <c r="M24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5" s="14">
        <f>--(0&gt;(TblTimeSheet[[#This Row],[End Date and Time]]-TblTimeSheet[[#This Row],[Start Date and Time]]))</f>
        <v>0</v>
      </c>
    </row>
    <row r="2406" spans="1:14" x14ac:dyDescent="0.25">
      <c r="A2406" s="1"/>
      <c r="B2406" s="2" t="s">
        <v>2876</v>
      </c>
      <c r="C2406" s="2" t="s">
        <v>144</v>
      </c>
      <c r="D2406" s="2" t="s">
        <v>3279</v>
      </c>
      <c r="E2406" s="7" t="s">
        <v>3325</v>
      </c>
      <c r="F2406" s="37">
        <v>42517.458333333336</v>
      </c>
      <c r="G2406" s="37">
        <v>42517.552083333336</v>
      </c>
      <c r="H2406" s="1" t="s">
        <v>6</v>
      </c>
      <c r="I2406" s="1" t="s">
        <v>38</v>
      </c>
      <c r="J2406" s="1">
        <v>42517.676203703704</v>
      </c>
      <c r="K2406" s="1" t="s">
        <v>144</v>
      </c>
      <c r="L2406" s="14">
        <f>24*(TblTimeSheet[[#This Row],[End Date and Time]]-TblTimeSheet[[#This Row],[Start Date and Time]])</f>
        <v>2.25</v>
      </c>
      <c r="M24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06" s="14">
        <f>--(0&gt;(TblTimeSheet[[#This Row],[End Date and Time]]-TblTimeSheet[[#This Row],[Start Date and Time]]))</f>
        <v>0</v>
      </c>
    </row>
    <row r="2407" spans="1:14" x14ac:dyDescent="0.25">
      <c r="A2407" s="1"/>
      <c r="B2407" s="2" t="s">
        <v>2876</v>
      </c>
      <c r="C2407" s="2" t="s">
        <v>144</v>
      </c>
      <c r="D2407" s="2" t="s">
        <v>3279</v>
      </c>
      <c r="E2407" s="7" t="s">
        <v>3325</v>
      </c>
      <c r="F2407" s="37">
        <v>42517.604166666664</v>
      </c>
      <c r="G2407" s="37">
        <v>42517.625</v>
      </c>
      <c r="H2407" s="1" t="s">
        <v>6</v>
      </c>
      <c r="I2407" s="1" t="s">
        <v>38</v>
      </c>
      <c r="J2407" s="1">
        <v>42517.676006944443</v>
      </c>
      <c r="K2407" s="1" t="s">
        <v>144</v>
      </c>
      <c r="L2407" s="14">
        <f>24*(TblTimeSheet[[#This Row],[End Date and Time]]-TblTimeSheet[[#This Row],[Start Date and Time]])</f>
        <v>0.50000000005820766</v>
      </c>
      <c r="M24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07" s="14">
        <f>--(0&gt;(TblTimeSheet[[#This Row],[End Date and Time]]-TblTimeSheet[[#This Row],[Start Date and Time]]))</f>
        <v>0</v>
      </c>
    </row>
    <row r="2408" spans="1:14" x14ac:dyDescent="0.25">
      <c r="A2408" s="1"/>
      <c r="B2408" s="2" t="s">
        <v>2876</v>
      </c>
      <c r="C2408" s="2" t="s">
        <v>1469</v>
      </c>
      <c r="D2408" s="2" t="s">
        <v>3279</v>
      </c>
      <c r="E2408" s="7" t="s">
        <v>3326</v>
      </c>
      <c r="F2408" s="37">
        <v>42517.458333333336</v>
      </c>
      <c r="G2408" s="37">
        <v>42517.552083333336</v>
      </c>
      <c r="H2408" s="1" t="s">
        <v>6</v>
      </c>
      <c r="I2408" s="1" t="s">
        <v>38</v>
      </c>
      <c r="J2408" s="1">
        <v>42517.6871875</v>
      </c>
      <c r="K2408" s="1" t="s">
        <v>1469</v>
      </c>
      <c r="L2408" s="14">
        <f>24*(TblTimeSheet[[#This Row],[End Date and Time]]-TblTimeSheet[[#This Row],[Start Date and Time]])</f>
        <v>2.25</v>
      </c>
      <c r="M24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8" s="14">
        <f>--(0&gt;(TblTimeSheet[[#This Row],[End Date and Time]]-TblTimeSheet[[#This Row],[Start Date and Time]]))</f>
        <v>0</v>
      </c>
    </row>
    <row r="2409" spans="1:14" x14ac:dyDescent="0.25">
      <c r="A2409" s="1"/>
      <c r="B2409" s="2" t="s">
        <v>2876</v>
      </c>
      <c r="C2409" s="2" t="s">
        <v>1469</v>
      </c>
      <c r="D2409" s="2" t="s">
        <v>3279</v>
      </c>
      <c r="E2409" s="7" t="s">
        <v>3326</v>
      </c>
      <c r="F2409" s="37">
        <v>42517.604166666664</v>
      </c>
      <c r="G2409" s="37">
        <v>42517.625</v>
      </c>
      <c r="H2409" s="1" t="s">
        <v>6</v>
      </c>
      <c r="I2409" s="1" t="s">
        <v>38</v>
      </c>
      <c r="J2409" s="1">
        <v>42517.687384259261</v>
      </c>
      <c r="K2409" s="1" t="s">
        <v>1469</v>
      </c>
      <c r="L2409" s="14">
        <f>24*(TblTimeSheet[[#This Row],[End Date and Time]]-TblTimeSheet[[#This Row],[Start Date and Time]])</f>
        <v>0.50000000005820766</v>
      </c>
      <c r="M24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09" s="14">
        <f>--(0&gt;(TblTimeSheet[[#This Row],[End Date and Time]]-TblTimeSheet[[#This Row],[Start Date and Time]]))</f>
        <v>0</v>
      </c>
    </row>
    <row r="2410" spans="1:14" x14ac:dyDescent="0.25">
      <c r="A2410" s="1"/>
      <c r="B2410" s="2" t="s">
        <v>2876</v>
      </c>
      <c r="C2410" s="2" t="s">
        <v>42</v>
      </c>
      <c r="D2410" s="2" t="s">
        <v>3279</v>
      </c>
      <c r="E2410" s="7" t="s">
        <v>3327</v>
      </c>
      <c r="F2410" s="37">
        <v>42517.458333333336</v>
      </c>
      <c r="G2410" s="37">
        <v>42517.552083333336</v>
      </c>
      <c r="H2410" s="1" t="s">
        <v>6</v>
      </c>
      <c r="I2410" s="1" t="s">
        <v>38</v>
      </c>
      <c r="J2410" s="1">
        <v>42517.675706018519</v>
      </c>
      <c r="K2410" s="1" t="s">
        <v>42</v>
      </c>
      <c r="L2410" s="14">
        <f>24*(TblTimeSheet[[#This Row],[End Date and Time]]-TblTimeSheet[[#This Row],[Start Date and Time]])</f>
        <v>2.25</v>
      </c>
      <c r="M24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0" s="14">
        <f>--(0&gt;(TblTimeSheet[[#This Row],[End Date and Time]]-TblTimeSheet[[#This Row],[Start Date and Time]]))</f>
        <v>0</v>
      </c>
    </row>
    <row r="2411" spans="1:14" x14ac:dyDescent="0.25">
      <c r="A2411" s="1"/>
      <c r="B2411" s="2" t="s">
        <v>2876</v>
      </c>
      <c r="C2411" s="2" t="s">
        <v>42</v>
      </c>
      <c r="D2411" s="2" t="s">
        <v>3279</v>
      </c>
      <c r="E2411" s="7" t="s">
        <v>3328</v>
      </c>
      <c r="F2411" s="37">
        <v>42517.604166666664</v>
      </c>
      <c r="G2411" s="37">
        <v>42517.625</v>
      </c>
      <c r="H2411" s="1" t="s">
        <v>6</v>
      </c>
      <c r="I2411" s="1" t="s">
        <v>38</v>
      </c>
      <c r="J2411" s="1">
        <v>42517.676226851851</v>
      </c>
      <c r="K2411" s="1" t="s">
        <v>42</v>
      </c>
      <c r="L2411" s="14">
        <f>24*(TblTimeSheet[[#This Row],[End Date and Time]]-TblTimeSheet[[#This Row],[Start Date and Time]])</f>
        <v>0.50000000005820766</v>
      </c>
      <c r="M24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1" s="14">
        <f>--(0&gt;(TblTimeSheet[[#This Row],[End Date and Time]]-TblTimeSheet[[#This Row],[Start Date and Time]]))</f>
        <v>0</v>
      </c>
    </row>
    <row r="2412" spans="1:14" x14ac:dyDescent="0.25">
      <c r="A2412" s="1"/>
      <c r="B2412" s="2" t="s">
        <v>2878</v>
      </c>
      <c r="C2412" s="2" t="s">
        <v>144</v>
      </c>
      <c r="D2412" s="2" t="s">
        <v>3263</v>
      </c>
      <c r="E2412" s="7" t="s">
        <v>3329</v>
      </c>
      <c r="F2412" s="37">
        <v>42517.388888888891</v>
      </c>
      <c r="G2412" s="37">
        <v>42517.729166666664</v>
      </c>
      <c r="H2412" s="1" t="s">
        <v>6</v>
      </c>
      <c r="I2412" s="1" t="s">
        <v>38</v>
      </c>
      <c r="J2412" s="1">
        <v>42517.742685185185</v>
      </c>
      <c r="K2412" s="1" t="s">
        <v>144</v>
      </c>
      <c r="L2412" s="14">
        <f>24*(TblTimeSheet[[#This Row],[End Date and Time]]-TblTimeSheet[[#This Row],[Start Date and Time]])</f>
        <v>8.1666666665696539</v>
      </c>
      <c r="M24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2" s="14">
        <f>--(0&gt;(TblTimeSheet[[#This Row],[End Date and Time]]-TblTimeSheet[[#This Row],[Start Date and Time]]))</f>
        <v>0</v>
      </c>
    </row>
    <row r="2413" spans="1:14" x14ac:dyDescent="0.25">
      <c r="A2413" s="1"/>
      <c r="B2413" s="2" t="s">
        <v>2878</v>
      </c>
      <c r="C2413" s="2" t="s">
        <v>116</v>
      </c>
      <c r="D2413" s="2" t="s">
        <v>3263</v>
      </c>
      <c r="E2413" s="7" t="s">
        <v>3330</v>
      </c>
      <c r="F2413" s="37">
        <v>42517.458333333336</v>
      </c>
      <c r="G2413" s="37">
        <v>42517.777777777781</v>
      </c>
      <c r="H2413" s="1" t="s">
        <v>6</v>
      </c>
      <c r="I2413" s="1" t="s">
        <v>38</v>
      </c>
      <c r="J2413" s="1">
        <v>42517.781157407408</v>
      </c>
      <c r="K2413" s="1" t="s">
        <v>701</v>
      </c>
      <c r="L2413" s="14">
        <f>24*(TblTimeSheet[[#This Row],[End Date and Time]]-TblTimeSheet[[#This Row],[Start Date and Time]])</f>
        <v>7.6666666666860692</v>
      </c>
      <c r="M24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3" s="14">
        <f>--(0&gt;(TblTimeSheet[[#This Row],[End Date and Time]]-TblTimeSheet[[#This Row],[Start Date and Time]]))</f>
        <v>0</v>
      </c>
    </row>
    <row r="2414" spans="1:14" x14ac:dyDescent="0.25">
      <c r="A2414" s="1"/>
      <c r="B2414" s="2" t="s">
        <v>2878</v>
      </c>
      <c r="C2414" s="2" t="s">
        <v>171</v>
      </c>
      <c r="D2414" s="2" t="s">
        <v>3263</v>
      </c>
      <c r="E2414" s="7" t="s">
        <v>3331</v>
      </c>
      <c r="F2414" s="37">
        <v>42517.395833333336</v>
      </c>
      <c r="G2414" s="37">
        <v>42517.78125</v>
      </c>
      <c r="H2414" s="1" t="s">
        <v>6</v>
      </c>
      <c r="I2414" s="1" t="s">
        <v>38</v>
      </c>
      <c r="J2414" s="1">
        <v>42517.785520833335</v>
      </c>
      <c r="K2414" s="1" t="s">
        <v>171</v>
      </c>
      <c r="L2414" s="14">
        <f>24*(TblTimeSheet[[#This Row],[End Date and Time]]-TblTimeSheet[[#This Row],[Start Date and Time]])</f>
        <v>9.2499999999417923</v>
      </c>
      <c r="M24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4" s="14">
        <f>--(0&gt;(TblTimeSheet[[#This Row],[End Date and Time]]-TblTimeSheet[[#This Row],[Start Date and Time]]))</f>
        <v>0</v>
      </c>
    </row>
    <row r="2415" spans="1:14" x14ac:dyDescent="0.25">
      <c r="A2415" s="1"/>
      <c r="B2415" s="2" t="s">
        <v>2878</v>
      </c>
      <c r="C2415" s="2" t="s">
        <v>36</v>
      </c>
      <c r="D2415" s="2" t="s">
        <v>3261</v>
      </c>
      <c r="E2415" s="7" t="s">
        <v>3829</v>
      </c>
      <c r="F2415" s="37">
        <v>42517.375</v>
      </c>
      <c r="G2415" s="37">
        <v>42517.458333333336</v>
      </c>
      <c r="H2415" s="1" t="s">
        <v>6</v>
      </c>
      <c r="I2415" s="1" t="s">
        <v>38</v>
      </c>
      <c r="J2415" s="1">
        <v>42518.422743055555</v>
      </c>
      <c r="K2415" s="1" t="s">
        <v>36</v>
      </c>
      <c r="L2415" s="14">
        <f>24*(TblTimeSheet[[#This Row],[End Date and Time]]-TblTimeSheet[[#This Row],[Start Date and Time]])</f>
        <v>2.0000000000582077</v>
      </c>
      <c r="M24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5" s="14">
        <f>--(0&gt;(TblTimeSheet[[#This Row],[End Date and Time]]-TblTimeSheet[[#This Row],[Start Date and Time]]))</f>
        <v>0</v>
      </c>
    </row>
    <row r="2416" spans="1:14" x14ac:dyDescent="0.25">
      <c r="A2416" s="1"/>
      <c r="B2416" s="2" t="s">
        <v>2878</v>
      </c>
      <c r="C2416" s="2" t="s">
        <v>36</v>
      </c>
      <c r="D2416" s="2" t="s">
        <v>3261</v>
      </c>
      <c r="E2416" s="7" t="s">
        <v>3332</v>
      </c>
      <c r="F2416" s="37">
        <v>42517.458333333336</v>
      </c>
      <c r="G2416" s="37">
        <v>42517.552083333336</v>
      </c>
      <c r="H2416" s="1" t="s">
        <v>6</v>
      </c>
      <c r="I2416" s="1" t="s">
        <v>38</v>
      </c>
      <c r="J2416" s="1">
        <v>42518.423460648148</v>
      </c>
      <c r="K2416" s="1" t="s">
        <v>36</v>
      </c>
      <c r="L2416" s="14">
        <f>24*(TblTimeSheet[[#This Row],[End Date and Time]]-TblTimeSheet[[#This Row],[Start Date and Time]])</f>
        <v>2.25</v>
      </c>
      <c r="M24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6" s="14">
        <f>--(0&gt;(TblTimeSheet[[#This Row],[End Date and Time]]-TblTimeSheet[[#This Row],[Start Date and Time]]))</f>
        <v>0</v>
      </c>
    </row>
    <row r="2417" spans="1:14" ht="30" x14ac:dyDescent="0.25">
      <c r="A2417" s="1"/>
      <c r="B2417" s="2" t="s">
        <v>2878</v>
      </c>
      <c r="C2417" s="2" t="s">
        <v>36</v>
      </c>
      <c r="D2417" s="2" t="s">
        <v>3261</v>
      </c>
      <c r="E2417" s="7" t="s">
        <v>3830</v>
      </c>
      <c r="F2417" s="37">
        <v>42517.583333333336</v>
      </c>
      <c r="G2417" s="37">
        <v>42517.770833333336</v>
      </c>
      <c r="H2417" s="1" t="s">
        <v>6</v>
      </c>
      <c r="I2417" s="1" t="s">
        <v>38</v>
      </c>
      <c r="J2417" s="1">
        <v>42518.425034722219</v>
      </c>
      <c r="K2417" s="1" t="s">
        <v>36</v>
      </c>
      <c r="L2417" s="14">
        <f>24*(TblTimeSheet[[#This Row],[End Date and Time]]-TblTimeSheet[[#This Row],[Start Date and Time]])</f>
        <v>4.5</v>
      </c>
      <c r="M24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7" s="14">
        <f>--(0&gt;(TblTimeSheet[[#This Row],[End Date and Time]]-TblTimeSheet[[#This Row],[Start Date and Time]]))</f>
        <v>0</v>
      </c>
    </row>
    <row r="2418" spans="1:14" x14ac:dyDescent="0.25">
      <c r="A2418" s="1"/>
      <c r="B2418" s="2" t="s">
        <v>2878</v>
      </c>
      <c r="C2418" s="2" t="s">
        <v>36</v>
      </c>
      <c r="D2418" s="2" t="s">
        <v>3261</v>
      </c>
      <c r="E2418" s="7" t="s">
        <v>3831</v>
      </c>
      <c r="F2418" s="37">
        <v>42518.375</v>
      </c>
      <c r="G2418" s="37">
        <v>42518.416666666664</v>
      </c>
      <c r="H2418" s="1" t="s">
        <v>6</v>
      </c>
      <c r="I2418" s="1" t="s">
        <v>38</v>
      </c>
      <c r="J2418" s="1">
        <v>42518.425659722219</v>
      </c>
      <c r="K2418" s="1" t="s">
        <v>36</v>
      </c>
      <c r="L2418" s="14">
        <f>24*(TblTimeSheet[[#This Row],[End Date and Time]]-TblTimeSheet[[#This Row],[Start Date and Time]])</f>
        <v>0.99999999994179234</v>
      </c>
      <c r="M24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8" s="14">
        <f>--(0&gt;(TblTimeSheet[[#This Row],[End Date and Time]]-TblTimeSheet[[#This Row],[Start Date and Time]]))</f>
        <v>0</v>
      </c>
    </row>
    <row r="2419" spans="1:14" x14ac:dyDescent="0.25">
      <c r="A2419" s="1"/>
      <c r="B2419" s="2" t="s">
        <v>2878</v>
      </c>
      <c r="C2419" s="2" t="s">
        <v>36</v>
      </c>
      <c r="D2419" s="2" t="s">
        <v>3261</v>
      </c>
      <c r="E2419" s="7" t="s">
        <v>3832</v>
      </c>
      <c r="F2419" s="37">
        <v>42518.423611111109</v>
      </c>
      <c r="G2419" s="37">
        <v>42518.444444444445</v>
      </c>
      <c r="H2419" s="1" t="s">
        <v>6</v>
      </c>
      <c r="I2419" s="1" t="s">
        <v>38</v>
      </c>
      <c r="J2419" s="1">
        <v>42518.487175925926</v>
      </c>
      <c r="K2419" s="1" t="s">
        <v>36</v>
      </c>
      <c r="L2419" s="14">
        <f>24*(TblTimeSheet[[#This Row],[End Date and Time]]-TblTimeSheet[[#This Row],[Start Date and Time]])</f>
        <v>0.50000000005820766</v>
      </c>
      <c r="M24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19" s="14">
        <f>--(0&gt;(TblTimeSheet[[#This Row],[End Date and Time]]-TblTimeSheet[[#This Row],[Start Date and Time]]))</f>
        <v>0</v>
      </c>
    </row>
    <row r="2420" spans="1:14" x14ac:dyDescent="0.25">
      <c r="A2420" s="1"/>
      <c r="B2420" s="2" t="s">
        <v>2878</v>
      </c>
      <c r="C2420" s="2" t="s">
        <v>36</v>
      </c>
      <c r="D2420" s="2" t="s">
        <v>3261</v>
      </c>
      <c r="E2420" s="7" t="s">
        <v>3833</v>
      </c>
      <c r="F2420" s="37">
        <v>42518.447916666664</v>
      </c>
      <c r="G2420" s="37">
        <v>42518.475694444445</v>
      </c>
      <c r="H2420" s="1" t="s">
        <v>6</v>
      </c>
      <c r="I2420" s="1" t="s">
        <v>38</v>
      </c>
      <c r="J2420" s="1">
        <v>42518.48778935185</v>
      </c>
      <c r="K2420" s="1" t="s">
        <v>36</v>
      </c>
      <c r="L2420" s="14">
        <f>24*(TblTimeSheet[[#This Row],[End Date and Time]]-TblTimeSheet[[#This Row],[Start Date and Time]])</f>
        <v>0.66666666674427688</v>
      </c>
      <c r="M24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0" s="14">
        <f>--(0&gt;(TblTimeSheet[[#This Row],[End Date and Time]]-TblTimeSheet[[#This Row],[Start Date and Time]]))</f>
        <v>0</v>
      </c>
    </row>
    <row r="2421" spans="1:14" x14ac:dyDescent="0.25">
      <c r="A2421" s="1"/>
      <c r="B2421" s="2" t="s">
        <v>2878</v>
      </c>
      <c r="C2421" s="2" t="s">
        <v>36</v>
      </c>
      <c r="D2421" s="2" t="s">
        <v>3261</v>
      </c>
      <c r="E2421" s="7" t="s">
        <v>3333</v>
      </c>
      <c r="F2421" s="37">
        <v>42518.5</v>
      </c>
      <c r="G2421" s="37">
        <v>42518.527777777781</v>
      </c>
      <c r="H2421" s="1" t="s">
        <v>6</v>
      </c>
      <c r="I2421" s="1" t="s">
        <v>38</v>
      </c>
      <c r="J2421" s="1">
        <v>42518.596736111111</v>
      </c>
      <c r="K2421" s="1" t="s">
        <v>36</v>
      </c>
      <c r="L2421" s="14">
        <f>24*(TblTimeSheet[[#This Row],[End Date and Time]]-TblTimeSheet[[#This Row],[Start Date and Time]])</f>
        <v>0.66666666674427688</v>
      </c>
      <c r="M24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1" s="14">
        <f>--(0&gt;(TblTimeSheet[[#This Row],[End Date and Time]]-TblTimeSheet[[#This Row],[Start Date and Time]]))</f>
        <v>0</v>
      </c>
    </row>
    <row r="2422" spans="1:14" x14ac:dyDescent="0.25">
      <c r="A2422" s="1"/>
      <c r="B2422" s="2" t="s">
        <v>2878</v>
      </c>
      <c r="C2422" s="2" t="s">
        <v>36</v>
      </c>
      <c r="D2422" s="2" t="s">
        <v>3261</v>
      </c>
      <c r="E2422" s="7" t="s">
        <v>3334</v>
      </c>
      <c r="F2422" s="37">
        <v>42518.572916666664</v>
      </c>
      <c r="G2422" s="37">
        <v>42518.583333333336</v>
      </c>
      <c r="H2422" s="1" t="s">
        <v>6</v>
      </c>
      <c r="I2422" s="1" t="s">
        <v>38</v>
      </c>
      <c r="J2422" s="1">
        <v>42518.597824074073</v>
      </c>
      <c r="K2422" s="1" t="s">
        <v>36</v>
      </c>
      <c r="L2422" s="14">
        <f>24*(TblTimeSheet[[#This Row],[End Date and Time]]-TblTimeSheet[[#This Row],[Start Date and Time]])</f>
        <v>0.25000000011641532</v>
      </c>
      <c r="M24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2" s="14">
        <f>--(0&gt;(TblTimeSheet[[#This Row],[End Date and Time]]-TblTimeSheet[[#This Row],[Start Date and Time]]))</f>
        <v>0</v>
      </c>
    </row>
    <row r="2423" spans="1:14" x14ac:dyDescent="0.25">
      <c r="A2423" s="1"/>
      <c r="B2423" s="2" t="s">
        <v>2878</v>
      </c>
      <c r="C2423" s="2" t="s">
        <v>42</v>
      </c>
      <c r="D2423" s="2" t="s">
        <v>3261</v>
      </c>
      <c r="E2423" s="7" t="s">
        <v>3834</v>
      </c>
      <c r="F2423" s="37">
        <v>42518.583333333336</v>
      </c>
      <c r="G2423" s="37">
        <v>42518.666666666664</v>
      </c>
      <c r="H2423" s="1" t="s">
        <v>6</v>
      </c>
      <c r="I2423" s="1" t="s">
        <v>38</v>
      </c>
      <c r="J2423" s="1">
        <v>42518.663159722222</v>
      </c>
      <c r="K2423" s="1" t="s">
        <v>42</v>
      </c>
      <c r="L2423" s="14">
        <f>24*(TblTimeSheet[[#This Row],[End Date and Time]]-TblTimeSheet[[#This Row],[Start Date and Time]])</f>
        <v>1.9999999998835847</v>
      </c>
      <c r="M24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3" s="14">
        <f>--(0&gt;(TblTimeSheet[[#This Row],[End Date and Time]]-TblTimeSheet[[#This Row],[Start Date and Time]]))</f>
        <v>0</v>
      </c>
    </row>
    <row r="2424" spans="1:14" x14ac:dyDescent="0.25">
      <c r="A2424" s="1"/>
      <c r="B2424" s="2" t="s">
        <v>2878</v>
      </c>
      <c r="C2424" s="2" t="s">
        <v>42</v>
      </c>
      <c r="D2424" s="2" t="s">
        <v>3261</v>
      </c>
      <c r="E2424" s="7" t="s">
        <v>3834</v>
      </c>
      <c r="F2424" s="37">
        <v>42518.520833333336</v>
      </c>
      <c r="G2424" s="37">
        <v>42518.552083333336</v>
      </c>
      <c r="H2424" s="1" t="s">
        <v>6</v>
      </c>
      <c r="I2424" s="1" t="s">
        <v>38</v>
      </c>
      <c r="J2424" s="1">
        <v>42518.663495370369</v>
      </c>
      <c r="K2424" s="1" t="s">
        <v>42</v>
      </c>
      <c r="L2424" s="14">
        <f>24*(TblTimeSheet[[#This Row],[End Date and Time]]-TblTimeSheet[[#This Row],[Start Date and Time]])</f>
        <v>0.75</v>
      </c>
      <c r="M24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4" s="14">
        <f>--(0&gt;(TblTimeSheet[[#This Row],[End Date and Time]]-TblTimeSheet[[#This Row],[Start Date and Time]]))</f>
        <v>0</v>
      </c>
    </row>
    <row r="2425" spans="1:14" ht="30" x14ac:dyDescent="0.25">
      <c r="A2425" s="1"/>
      <c r="B2425" s="2" t="s">
        <v>2878</v>
      </c>
      <c r="C2425" s="2" t="s">
        <v>42</v>
      </c>
      <c r="D2425" s="2" t="s">
        <v>3261</v>
      </c>
      <c r="E2425" s="7" t="s">
        <v>3335</v>
      </c>
      <c r="F2425" s="37">
        <v>42518.375</v>
      </c>
      <c r="G2425" s="37">
        <v>42518.4375</v>
      </c>
      <c r="H2425" s="1" t="s">
        <v>6</v>
      </c>
      <c r="I2425" s="1" t="s">
        <v>38</v>
      </c>
      <c r="J2425" s="1">
        <v>42518.666724537034</v>
      </c>
      <c r="K2425" s="1" t="s">
        <v>42</v>
      </c>
      <c r="L2425" s="14">
        <f>24*(TblTimeSheet[[#This Row],[End Date and Time]]-TblTimeSheet[[#This Row],[Start Date and Time]])</f>
        <v>1.5</v>
      </c>
      <c r="M24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5" s="14">
        <f>--(0&gt;(TblTimeSheet[[#This Row],[End Date and Time]]-TblTimeSheet[[#This Row],[Start Date and Time]]))</f>
        <v>0</v>
      </c>
    </row>
    <row r="2426" spans="1:14" x14ac:dyDescent="0.25">
      <c r="A2426" s="1"/>
      <c r="B2426" s="2" t="s">
        <v>2878</v>
      </c>
      <c r="C2426" s="2" t="s">
        <v>124</v>
      </c>
      <c r="D2426" s="2" t="s">
        <v>3263</v>
      </c>
      <c r="E2426" s="7" t="s">
        <v>3336</v>
      </c>
      <c r="F2426" s="37">
        <v>42518.395833333336</v>
      </c>
      <c r="G2426" s="37">
        <v>42518.541666666664</v>
      </c>
      <c r="H2426" s="1" t="s">
        <v>6</v>
      </c>
      <c r="I2426" s="1" t="s">
        <v>38</v>
      </c>
      <c r="J2426" s="1">
        <v>42518.717268518521</v>
      </c>
      <c r="K2426" s="1" t="s">
        <v>2863</v>
      </c>
      <c r="L2426" s="14">
        <f>24*(TblTimeSheet[[#This Row],[End Date and Time]]-TblTimeSheet[[#This Row],[Start Date and Time]])</f>
        <v>3.4999999998835847</v>
      </c>
      <c r="M24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6" s="14">
        <f>--(0&gt;(TblTimeSheet[[#This Row],[End Date and Time]]-TblTimeSheet[[#This Row],[Start Date and Time]]))</f>
        <v>0</v>
      </c>
    </row>
    <row r="2427" spans="1:14" x14ac:dyDescent="0.25">
      <c r="A2427" s="1"/>
      <c r="B2427" s="2" t="s">
        <v>2878</v>
      </c>
      <c r="C2427" s="2" t="s">
        <v>124</v>
      </c>
      <c r="D2427" s="2" t="s">
        <v>3263</v>
      </c>
      <c r="E2427" s="7" t="s">
        <v>3337</v>
      </c>
      <c r="F2427" s="37">
        <v>42518.5625</v>
      </c>
      <c r="G2427" s="37">
        <v>42518.722222222219</v>
      </c>
      <c r="H2427" s="1" t="s">
        <v>6</v>
      </c>
      <c r="I2427" s="1" t="s">
        <v>38</v>
      </c>
      <c r="J2427" s="1">
        <v>42518.718032407407</v>
      </c>
      <c r="K2427" s="1" t="s">
        <v>2863</v>
      </c>
      <c r="L2427" s="14">
        <f>24*(TblTimeSheet[[#This Row],[End Date and Time]]-TblTimeSheet[[#This Row],[Start Date and Time]])</f>
        <v>3.8333333332557231</v>
      </c>
      <c r="M24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7" s="14">
        <f>--(0&gt;(TblTimeSheet[[#This Row],[End Date and Time]]-TblTimeSheet[[#This Row],[Start Date and Time]]))</f>
        <v>0</v>
      </c>
    </row>
    <row r="2428" spans="1:14" x14ac:dyDescent="0.25">
      <c r="A2428" s="1"/>
      <c r="B2428" s="2" t="s">
        <v>2878</v>
      </c>
      <c r="C2428" s="2" t="s">
        <v>124</v>
      </c>
      <c r="D2428" s="2" t="s">
        <v>3263</v>
      </c>
      <c r="E2428" s="7" t="s">
        <v>3338</v>
      </c>
      <c r="F2428" s="37">
        <v>42517.395833333336</v>
      </c>
      <c r="G2428" s="37">
        <v>42517.541666666664</v>
      </c>
      <c r="H2428" s="1" t="s">
        <v>6</v>
      </c>
      <c r="I2428" s="1" t="s">
        <v>38</v>
      </c>
      <c r="J2428" s="1">
        <v>42518.719444444447</v>
      </c>
      <c r="K2428" s="1" t="s">
        <v>2863</v>
      </c>
      <c r="L2428" s="14">
        <f>24*(TblTimeSheet[[#This Row],[End Date and Time]]-TblTimeSheet[[#This Row],[Start Date and Time]])</f>
        <v>3.4999999998835847</v>
      </c>
      <c r="M24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8" s="14">
        <f>--(0&gt;(TblTimeSheet[[#This Row],[End Date and Time]]-TblTimeSheet[[#This Row],[Start Date and Time]]))</f>
        <v>0</v>
      </c>
    </row>
    <row r="2429" spans="1:14" x14ac:dyDescent="0.25">
      <c r="A2429" s="1"/>
      <c r="B2429" s="2" t="s">
        <v>2878</v>
      </c>
      <c r="C2429" s="2" t="s">
        <v>124</v>
      </c>
      <c r="D2429" s="2" t="s">
        <v>3263</v>
      </c>
      <c r="E2429" s="7" t="s">
        <v>3339</v>
      </c>
      <c r="F2429" s="37">
        <v>42517.5625</v>
      </c>
      <c r="G2429" s="37">
        <v>42517.75</v>
      </c>
      <c r="H2429" s="1" t="s">
        <v>6</v>
      </c>
      <c r="I2429" s="1" t="s">
        <v>38</v>
      </c>
      <c r="J2429" s="1">
        <v>42518.720381944448</v>
      </c>
      <c r="K2429" s="1" t="s">
        <v>2863</v>
      </c>
      <c r="L2429" s="14">
        <f>24*(TblTimeSheet[[#This Row],[End Date and Time]]-TblTimeSheet[[#This Row],[Start Date and Time]])</f>
        <v>4.5</v>
      </c>
      <c r="M24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29" s="14">
        <f>--(0&gt;(TblTimeSheet[[#This Row],[End Date and Time]]-TblTimeSheet[[#This Row],[Start Date and Time]]))</f>
        <v>0</v>
      </c>
    </row>
    <row r="2430" spans="1:14" x14ac:dyDescent="0.25">
      <c r="A2430" s="1"/>
      <c r="B2430" s="2" t="s">
        <v>2878</v>
      </c>
      <c r="C2430" s="2" t="s">
        <v>144</v>
      </c>
      <c r="D2430" s="2" t="s">
        <v>3263</v>
      </c>
      <c r="E2430" s="7" t="s">
        <v>3340</v>
      </c>
      <c r="F2430" s="37">
        <v>42519.375</v>
      </c>
      <c r="G2430" s="37">
        <v>42519.729166666664</v>
      </c>
      <c r="H2430" s="1" t="s">
        <v>6</v>
      </c>
      <c r="I2430" s="1" t="s">
        <v>38</v>
      </c>
      <c r="J2430" s="1">
        <v>42520.378298611111</v>
      </c>
      <c r="K2430" s="1" t="s">
        <v>144</v>
      </c>
      <c r="L2430" s="14">
        <f>24*(TblTimeSheet[[#This Row],[End Date and Time]]-TblTimeSheet[[#This Row],[Start Date and Time]])</f>
        <v>8.4999999999417923</v>
      </c>
      <c r="M24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0" s="14">
        <f>--(0&gt;(TblTimeSheet[[#This Row],[End Date and Time]]-TblTimeSheet[[#This Row],[Start Date and Time]]))</f>
        <v>0</v>
      </c>
    </row>
    <row r="2431" spans="1:14" x14ac:dyDescent="0.25">
      <c r="A2431" s="1"/>
      <c r="B2431" s="2" t="s">
        <v>2878</v>
      </c>
      <c r="C2431" s="2" t="s">
        <v>144</v>
      </c>
      <c r="D2431" s="2" t="s">
        <v>3279</v>
      </c>
      <c r="E2431" s="7" t="s">
        <v>3341</v>
      </c>
      <c r="F2431" s="37">
        <v>42519.416666666664</v>
      </c>
      <c r="G2431" s="37">
        <v>42519.520833333336</v>
      </c>
      <c r="H2431" s="1" t="s">
        <v>6</v>
      </c>
      <c r="I2431" s="1" t="s">
        <v>38</v>
      </c>
      <c r="J2431" s="1">
        <v>42520.37809027778</v>
      </c>
      <c r="K2431" s="1" t="s">
        <v>144</v>
      </c>
      <c r="L2431" s="14">
        <f>24*(TblTimeSheet[[#This Row],[End Date and Time]]-TblTimeSheet[[#This Row],[Start Date and Time]])</f>
        <v>2.5000000001164153</v>
      </c>
      <c r="M24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31" s="14">
        <f>--(0&gt;(TblTimeSheet[[#This Row],[End Date and Time]]-TblTimeSheet[[#This Row],[Start Date and Time]]))</f>
        <v>0</v>
      </c>
    </row>
    <row r="2432" spans="1:14" x14ac:dyDescent="0.25">
      <c r="A2432" s="1"/>
      <c r="B2432" s="2" t="s">
        <v>2878</v>
      </c>
      <c r="C2432" s="2" t="s">
        <v>144</v>
      </c>
      <c r="D2432" s="2" t="s">
        <v>3279</v>
      </c>
      <c r="E2432" s="7" t="s">
        <v>3342</v>
      </c>
      <c r="F2432" s="37">
        <v>42519.604166666664</v>
      </c>
      <c r="G2432" s="37">
        <v>42519.666666666664</v>
      </c>
      <c r="H2432" s="1" t="s">
        <v>6</v>
      </c>
      <c r="I2432" s="1" t="s">
        <v>38</v>
      </c>
      <c r="J2432" s="1">
        <v>42520.378993055558</v>
      </c>
      <c r="K2432" s="1" t="s">
        <v>144</v>
      </c>
      <c r="L2432" s="14">
        <f>24*(TblTimeSheet[[#This Row],[End Date and Time]]-TblTimeSheet[[#This Row],[Start Date and Time]])</f>
        <v>1.5</v>
      </c>
      <c r="M24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32" s="14">
        <f>--(0&gt;(TblTimeSheet[[#This Row],[End Date and Time]]-TblTimeSheet[[#This Row],[Start Date and Time]]))</f>
        <v>0</v>
      </c>
    </row>
    <row r="2433" spans="1:14" x14ac:dyDescent="0.25">
      <c r="A2433" s="1"/>
      <c r="B2433" s="2" t="s">
        <v>2878</v>
      </c>
      <c r="C2433" s="2" t="s">
        <v>143</v>
      </c>
      <c r="D2433" s="2" t="s">
        <v>3263</v>
      </c>
      <c r="E2433" s="7" t="s">
        <v>3835</v>
      </c>
      <c r="F2433" s="37">
        <v>42516.416666666664</v>
      </c>
      <c r="G2433" s="37">
        <v>42516.541666666664</v>
      </c>
      <c r="H2433" s="1" t="s">
        <v>6</v>
      </c>
      <c r="I2433" s="1" t="s">
        <v>38</v>
      </c>
      <c r="J2433" s="1">
        <v>42520.402662037035</v>
      </c>
      <c r="K2433" s="1" t="s">
        <v>143</v>
      </c>
      <c r="L2433" s="14">
        <f>24*(TblTimeSheet[[#This Row],[End Date and Time]]-TblTimeSheet[[#This Row],[Start Date and Time]])</f>
        <v>3</v>
      </c>
      <c r="M24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3" s="14">
        <f>--(0&gt;(TblTimeSheet[[#This Row],[End Date and Time]]-TblTimeSheet[[#This Row],[Start Date and Time]]))</f>
        <v>0</v>
      </c>
    </row>
    <row r="2434" spans="1:14" ht="30" x14ac:dyDescent="0.25">
      <c r="A2434" s="1"/>
      <c r="B2434" s="2" t="s">
        <v>2878</v>
      </c>
      <c r="C2434" s="2" t="s">
        <v>143</v>
      </c>
      <c r="D2434" s="2" t="s">
        <v>3263</v>
      </c>
      <c r="E2434" s="7" t="s">
        <v>3836</v>
      </c>
      <c r="F2434" s="37">
        <v>42516.583333333336</v>
      </c>
      <c r="G2434" s="37">
        <v>42516.645833333336</v>
      </c>
      <c r="H2434" s="1" t="s">
        <v>6</v>
      </c>
      <c r="I2434" s="1" t="s">
        <v>38</v>
      </c>
      <c r="J2434" s="1">
        <v>42520.404942129629</v>
      </c>
      <c r="K2434" s="1" t="s">
        <v>143</v>
      </c>
      <c r="L2434" s="14">
        <f>24*(TblTimeSheet[[#This Row],[End Date and Time]]-TblTimeSheet[[#This Row],[Start Date and Time]])</f>
        <v>1.5</v>
      </c>
      <c r="M24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4" s="14">
        <f>--(0&gt;(TblTimeSheet[[#This Row],[End Date and Time]]-TblTimeSheet[[#This Row],[Start Date and Time]]))</f>
        <v>0</v>
      </c>
    </row>
    <row r="2435" spans="1:14" ht="30" x14ac:dyDescent="0.25">
      <c r="A2435" s="1"/>
      <c r="B2435" s="2" t="s">
        <v>2878</v>
      </c>
      <c r="C2435" s="2" t="s">
        <v>143</v>
      </c>
      <c r="D2435" s="2" t="s">
        <v>3263</v>
      </c>
      <c r="E2435" s="7" t="s">
        <v>3837</v>
      </c>
      <c r="F2435" s="37">
        <v>42517.416666666664</v>
      </c>
      <c r="G2435" s="37">
        <v>42517.541666666664</v>
      </c>
      <c r="H2435" s="1" t="s">
        <v>6</v>
      </c>
      <c r="I2435" s="1" t="s">
        <v>38</v>
      </c>
      <c r="J2435" s="1">
        <v>42520.40766203704</v>
      </c>
      <c r="K2435" s="1" t="s">
        <v>143</v>
      </c>
      <c r="L2435" s="14">
        <f>24*(TblTimeSheet[[#This Row],[End Date and Time]]-TblTimeSheet[[#This Row],[Start Date and Time]])</f>
        <v>3</v>
      </c>
      <c r="M24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5" s="14">
        <f>--(0&gt;(TblTimeSheet[[#This Row],[End Date and Time]]-TblTimeSheet[[#This Row],[Start Date and Time]]))</f>
        <v>0</v>
      </c>
    </row>
    <row r="2436" spans="1:14" ht="60" x14ac:dyDescent="0.25">
      <c r="A2436" s="1"/>
      <c r="B2436" s="2" t="s">
        <v>2878</v>
      </c>
      <c r="C2436" s="2" t="s">
        <v>143</v>
      </c>
      <c r="D2436" s="2" t="s">
        <v>3263</v>
      </c>
      <c r="E2436" s="7" t="s">
        <v>3838</v>
      </c>
      <c r="F2436" s="37">
        <v>42517.583333333336</v>
      </c>
      <c r="G2436" s="37">
        <v>42517.729166666664</v>
      </c>
      <c r="H2436" s="1" t="s">
        <v>6</v>
      </c>
      <c r="I2436" s="1" t="s">
        <v>38</v>
      </c>
      <c r="J2436" s="1">
        <v>42520.409988425927</v>
      </c>
      <c r="K2436" s="1" t="s">
        <v>143</v>
      </c>
      <c r="L2436" s="14">
        <f>24*(TblTimeSheet[[#This Row],[End Date and Time]]-TblTimeSheet[[#This Row],[Start Date and Time]])</f>
        <v>3.4999999998835847</v>
      </c>
      <c r="M24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6" s="14">
        <f>--(0&gt;(TblTimeSheet[[#This Row],[End Date and Time]]-TblTimeSheet[[#This Row],[Start Date and Time]]))</f>
        <v>0</v>
      </c>
    </row>
    <row r="2437" spans="1:14" ht="45" x14ac:dyDescent="0.25">
      <c r="A2437" s="1"/>
      <c r="B2437" s="2" t="s">
        <v>2878</v>
      </c>
      <c r="C2437" s="2" t="s">
        <v>143</v>
      </c>
      <c r="D2437" s="2" t="s">
        <v>3263</v>
      </c>
      <c r="E2437" s="7" t="s">
        <v>3839</v>
      </c>
      <c r="F2437" s="37">
        <v>42518.375</v>
      </c>
      <c r="G2437" s="37">
        <v>42518.541666666664</v>
      </c>
      <c r="H2437" s="1" t="s">
        <v>6</v>
      </c>
      <c r="I2437" s="1" t="s">
        <v>38</v>
      </c>
      <c r="J2437" s="1">
        <v>42520.412453703706</v>
      </c>
      <c r="K2437" s="1" t="s">
        <v>143</v>
      </c>
      <c r="L2437" s="14">
        <f>24*(TblTimeSheet[[#This Row],[End Date and Time]]-TblTimeSheet[[#This Row],[Start Date and Time]])</f>
        <v>3.9999999999417923</v>
      </c>
      <c r="M24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7" s="14">
        <f>--(0&gt;(TblTimeSheet[[#This Row],[End Date and Time]]-TblTimeSheet[[#This Row],[Start Date and Time]]))</f>
        <v>0</v>
      </c>
    </row>
    <row r="2438" spans="1:14" x14ac:dyDescent="0.25">
      <c r="A2438" s="1"/>
      <c r="B2438" s="2" t="s">
        <v>2878</v>
      </c>
      <c r="C2438" s="2" t="s">
        <v>1105</v>
      </c>
      <c r="D2438" s="2" t="s">
        <v>3263</v>
      </c>
      <c r="E2438" s="7" t="s">
        <v>3343</v>
      </c>
      <c r="F2438" s="37">
        <v>42516.416666666664</v>
      </c>
      <c r="G2438" s="37">
        <v>42516.541666666664</v>
      </c>
      <c r="H2438" s="1" t="s">
        <v>6</v>
      </c>
      <c r="I2438" s="1" t="s">
        <v>38</v>
      </c>
      <c r="J2438" s="1">
        <v>42520.413032407407</v>
      </c>
      <c r="K2438" s="1" t="s">
        <v>2864</v>
      </c>
      <c r="L2438" s="14">
        <f>24*(TblTimeSheet[[#This Row],[End Date and Time]]-TblTimeSheet[[#This Row],[Start Date and Time]])</f>
        <v>3</v>
      </c>
      <c r="M24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8" s="14">
        <f>--(0&gt;(TblTimeSheet[[#This Row],[End Date and Time]]-TblTimeSheet[[#This Row],[Start Date and Time]]))</f>
        <v>0</v>
      </c>
    </row>
    <row r="2439" spans="1:14" x14ac:dyDescent="0.25">
      <c r="A2439" s="1"/>
      <c r="B2439" s="2" t="s">
        <v>2878</v>
      </c>
      <c r="C2439" s="2" t="s">
        <v>143</v>
      </c>
      <c r="D2439" s="2" t="s">
        <v>3263</v>
      </c>
      <c r="E2439" s="7" t="s">
        <v>3840</v>
      </c>
      <c r="F2439" s="37">
        <v>42518.583333333336</v>
      </c>
      <c r="G2439" s="37">
        <v>42518.729166666664</v>
      </c>
      <c r="H2439" s="1" t="s">
        <v>6</v>
      </c>
      <c r="I2439" s="1" t="s">
        <v>38</v>
      </c>
      <c r="J2439" s="1">
        <v>42520.413738425923</v>
      </c>
      <c r="K2439" s="1" t="s">
        <v>143</v>
      </c>
      <c r="L2439" s="14">
        <f>24*(TblTimeSheet[[#This Row],[End Date and Time]]-TblTimeSheet[[#This Row],[Start Date and Time]])</f>
        <v>3.4999999998835847</v>
      </c>
      <c r="M24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39" s="14">
        <f>--(0&gt;(TblTimeSheet[[#This Row],[End Date and Time]]-TblTimeSheet[[#This Row],[Start Date and Time]]))</f>
        <v>0</v>
      </c>
    </row>
    <row r="2440" spans="1:14" x14ac:dyDescent="0.25">
      <c r="A2440" s="1"/>
      <c r="B2440" s="2" t="s">
        <v>2878</v>
      </c>
      <c r="C2440" s="2" t="s">
        <v>1105</v>
      </c>
      <c r="D2440" s="2" t="s">
        <v>3263</v>
      </c>
      <c r="E2440" s="7" t="s">
        <v>3344</v>
      </c>
      <c r="F2440" s="37">
        <v>42517.375</v>
      </c>
      <c r="G2440" s="37">
        <v>42517.5</v>
      </c>
      <c r="H2440" s="1" t="s">
        <v>6</v>
      </c>
      <c r="I2440" s="1" t="s">
        <v>38</v>
      </c>
      <c r="J2440" s="1">
        <v>42520.413969907408</v>
      </c>
      <c r="K2440" s="1" t="s">
        <v>2864</v>
      </c>
      <c r="L2440" s="14">
        <f>24*(TblTimeSheet[[#This Row],[End Date and Time]]-TblTimeSheet[[#This Row],[Start Date and Time]])</f>
        <v>3</v>
      </c>
      <c r="M24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0" s="14">
        <f>--(0&gt;(TblTimeSheet[[#This Row],[End Date and Time]]-TblTimeSheet[[#This Row],[Start Date and Time]]))</f>
        <v>0</v>
      </c>
    </row>
    <row r="2441" spans="1:14" x14ac:dyDescent="0.25">
      <c r="A2441" s="1"/>
      <c r="B2441" s="2" t="s">
        <v>2878</v>
      </c>
      <c r="C2441" s="2" t="s">
        <v>1503</v>
      </c>
      <c r="D2441" s="2" t="s">
        <v>3263</v>
      </c>
      <c r="E2441" s="7" t="s">
        <v>3345</v>
      </c>
      <c r="F2441" s="37">
        <v>42520.375</v>
      </c>
      <c r="G2441" s="37">
        <v>42520.416666666664</v>
      </c>
      <c r="H2441" s="1" t="s">
        <v>6</v>
      </c>
      <c r="I2441" s="1" t="s">
        <v>38</v>
      </c>
      <c r="J2441" s="1">
        <v>42520.638912037037</v>
      </c>
      <c r="K2441" s="1" t="s">
        <v>2866</v>
      </c>
      <c r="L2441" s="14">
        <f>24*(TblTimeSheet[[#This Row],[End Date and Time]]-TblTimeSheet[[#This Row],[Start Date and Time]])</f>
        <v>0.99999999994179234</v>
      </c>
      <c r="M24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1" s="14">
        <f>--(0&gt;(TblTimeSheet[[#This Row],[End Date and Time]]-TblTimeSheet[[#This Row],[Start Date and Time]]))</f>
        <v>0</v>
      </c>
    </row>
    <row r="2442" spans="1:14" ht="60" x14ac:dyDescent="0.25">
      <c r="A2442" s="1"/>
      <c r="B2442" s="2" t="s">
        <v>2878</v>
      </c>
      <c r="C2442" s="2" t="s">
        <v>144</v>
      </c>
      <c r="D2442" s="2" t="s">
        <v>3261</v>
      </c>
      <c r="E2442" s="7" t="s">
        <v>3841</v>
      </c>
      <c r="F2442" s="37">
        <v>42520.416666666664</v>
      </c>
      <c r="G2442" s="37">
        <v>42520.736111111109</v>
      </c>
      <c r="H2442" s="1" t="s">
        <v>6</v>
      </c>
      <c r="I2442" s="1" t="s">
        <v>38</v>
      </c>
      <c r="J2442" s="1">
        <v>42520.744247685187</v>
      </c>
      <c r="K2442" s="1" t="s">
        <v>144</v>
      </c>
      <c r="L2442" s="14">
        <f>24*(TblTimeSheet[[#This Row],[End Date and Time]]-TblTimeSheet[[#This Row],[Start Date and Time]])</f>
        <v>7.6666666666860692</v>
      </c>
      <c r="M24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2" s="14">
        <f>--(0&gt;(TblTimeSheet[[#This Row],[End Date and Time]]-TblTimeSheet[[#This Row],[Start Date and Time]]))</f>
        <v>0</v>
      </c>
    </row>
    <row r="2443" spans="1:14" x14ac:dyDescent="0.25">
      <c r="A2443" s="1"/>
      <c r="B2443" s="2" t="s">
        <v>2878</v>
      </c>
      <c r="C2443" s="2" t="s">
        <v>1117</v>
      </c>
      <c r="D2443" s="2" t="s">
        <v>3263</v>
      </c>
      <c r="E2443" s="7" t="s">
        <v>3346</v>
      </c>
      <c r="F2443" s="37">
        <v>42515.375</v>
      </c>
      <c r="G2443" s="37">
        <v>42515.75</v>
      </c>
      <c r="H2443" s="1" t="s">
        <v>6</v>
      </c>
      <c r="I2443" s="1" t="s">
        <v>38</v>
      </c>
      <c r="J2443" s="1">
        <v>42520.748171296298</v>
      </c>
      <c r="K2443" s="1" t="s">
        <v>2865</v>
      </c>
      <c r="L2443" s="14">
        <f>24*(TblTimeSheet[[#This Row],[End Date and Time]]-TblTimeSheet[[#This Row],[Start Date and Time]])</f>
        <v>9</v>
      </c>
      <c r="M24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3" s="14">
        <f>--(0&gt;(TblTimeSheet[[#This Row],[End Date and Time]]-TblTimeSheet[[#This Row],[Start Date and Time]]))</f>
        <v>0</v>
      </c>
    </row>
    <row r="2444" spans="1:14" x14ac:dyDescent="0.25">
      <c r="A2444" s="1"/>
      <c r="B2444" s="2" t="s">
        <v>2878</v>
      </c>
      <c r="C2444" s="2" t="s">
        <v>1117</v>
      </c>
      <c r="D2444" s="2" t="s">
        <v>3263</v>
      </c>
      <c r="E2444" s="7" t="s">
        <v>3346</v>
      </c>
      <c r="F2444" s="37">
        <v>42516.375</v>
      </c>
      <c r="G2444" s="37">
        <v>42516.770833333336</v>
      </c>
      <c r="H2444" s="1" t="s">
        <v>6</v>
      </c>
      <c r="I2444" s="1" t="s">
        <v>38</v>
      </c>
      <c r="J2444" s="1">
        <v>42520.748495370368</v>
      </c>
      <c r="K2444" s="1" t="s">
        <v>2865</v>
      </c>
      <c r="L2444" s="14">
        <f>24*(TblTimeSheet[[#This Row],[End Date and Time]]-TblTimeSheet[[#This Row],[Start Date and Time]])</f>
        <v>9.5000000000582077</v>
      </c>
      <c r="M24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4" s="14">
        <f>--(0&gt;(TblTimeSheet[[#This Row],[End Date and Time]]-TblTimeSheet[[#This Row],[Start Date and Time]]))</f>
        <v>0</v>
      </c>
    </row>
    <row r="2445" spans="1:14" x14ac:dyDescent="0.25">
      <c r="A2445" s="1"/>
      <c r="B2445" s="2" t="s">
        <v>2878</v>
      </c>
      <c r="C2445" s="2" t="s">
        <v>1117</v>
      </c>
      <c r="D2445" s="2" t="s">
        <v>3263</v>
      </c>
      <c r="E2445" s="7" t="s">
        <v>3346</v>
      </c>
      <c r="F2445" s="37">
        <v>42520.375</v>
      </c>
      <c r="G2445" s="37">
        <v>42520.75</v>
      </c>
      <c r="H2445" s="1" t="s">
        <v>6</v>
      </c>
      <c r="I2445" s="1" t="s">
        <v>38</v>
      </c>
      <c r="J2445" s="1">
        <v>42520.748796296299</v>
      </c>
      <c r="K2445" s="1" t="s">
        <v>2865</v>
      </c>
      <c r="L2445" s="14">
        <f>24*(TblTimeSheet[[#This Row],[End Date and Time]]-TblTimeSheet[[#This Row],[Start Date and Time]])</f>
        <v>9</v>
      </c>
      <c r="M24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5" s="14">
        <f>--(0&gt;(TblTimeSheet[[#This Row],[End Date and Time]]-TblTimeSheet[[#This Row],[Start Date and Time]]))</f>
        <v>0</v>
      </c>
    </row>
    <row r="2446" spans="1:14" x14ac:dyDescent="0.25">
      <c r="A2446" s="1"/>
      <c r="B2446" s="2" t="s">
        <v>2878</v>
      </c>
      <c r="C2446" s="2" t="s">
        <v>42</v>
      </c>
      <c r="D2446" s="2" t="s">
        <v>3263</v>
      </c>
      <c r="E2446" s="7" t="s">
        <v>3347</v>
      </c>
      <c r="F2446" s="37">
        <v>42518.666666666664</v>
      </c>
      <c r="G2446" s="37">
        <v>42518.729166666664</v>
      </c>
      <c r="H2446" s="1" t="s">
        <v>6</v>
      </c>
      <c r="I2446" s="1" t="s">
        <v>38</v>
      </c>
      <c r="J2446" s="1">
        <v>42521.537557870368</v>
      </c>
      <c r="K2446" s="1" t="s">
        <v>42</v>
      </c>
      <c r="L2446" s="14">
        <f>24*(TblTimeSheet[[#This Row],[End Date and Time]]-TblTimeSheet[[#This Row],[Start Date and Time]])</f>
        <v>1.5</v>
      </c>
      <c r="M24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6" s="14">
        <f>--(0&gt;(TblTimeSheet[[#This Row],[End Date and Time]]-TblTimeSheet[[#This Row],[Start Date and Time]]))</f>
        <v>0</v>
      </c>
    </row>
    <row r="2447" spans="1:14" x14ac:dyDescent="0.25">
      <c r="A2447" s="1"/>
      <c r="B2447" s="2" t="s">
        <v>2878</v>
      </c>
      <c r="C2447" s="2" t="s">
        <v>42</v>
      </c>
      <c r="D2447" s="2" t="s">
        <v>3263</v>
      </c>
      <c r="E2447" s="7" t="s">
        <v>3347</v>
      </c>
      <c r="F2447" s="37">
        <v>42520.395833333336</v>
      </c>
      <c r="G2447" s="37">
        <v>42520.541666666664</v>
      </c>
      <c r="H2447" s="1" t="s">
        <v>6</v>
      </c>
      <c r="I2447" s="1" t="s">
        <v>38</v>
      </c>
      <c r="J2447" s="1">
        <v>42521.53802083333</v>
      </c>
      <c r="K2447" s="1" t="s">
        <v>42</v>
      </c>
      <c r="L2447" s="14">
        <f>24*(TblTimeSheet[[#This Row],[End Date and Time]]-TblTimeSheet[[#This Row],[Start Date and Time]])</f>
        <v>3.4999999998835847</v>
      </c>
      <c r="M24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7" s="14">
        <f>--(0&gt;(TblTimeSheet[[#This Row],[End Date and Time]]-TblTimeSheet[[#This Row],[Start Date and Time]]))</f>
        <v>0</v>
      </c>
    </row>
    <row r="2448" spans="1:14" x14ac:dyDescent="0.25">
      <c r="A2448" s="1"/>
      <c r="B2448" s="2" t="s">
        <v>2878</v>
      </c>
      <c r="C2448" s="2" t="s">
        <v>42</v>
      </c>
      <c r="D2448" s="2" t="s">
        <v>3261</v>
      </c>
      <c r="E2448" s="7" t="s">
        <v>3348</v>
      </c>
      <c r="F2448" s="37">
        <v>42520.375</v>
      </c>
      <c r="G2448" s="37">
        <v>42520.395833333336</v>
      </c>
      <c r="H2448" s="1" t="s">
        <v>6</v>
      </c>
      <c r="I2448" s="1" t="s">
        <v>38</v>
      </c>
      <c r="J2448" s="1">
        <v>42521.538483796299</v>
      </c>
      <c r="K2448" s="1" t="s">
        <v>42</v>
      </c>
      <c r="L2448" s="14">
        <f>24*(TblTimeSheet[[#This Row],[End Date and Time]]-TblTimeSheet[[#This Row],[Start Date and Time]])</f>
        <v>0.50000000005820766</v>
      </c>
      <c r="M24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8" s="14">
        <f>--(0&gt;(TblTimeSheet[[#This Row],[End Date and Time]]-TblTimeSheet[[#This Row],[Start Date and Time]]))</f>
        <v>0</v>
      </c>
    </row>
    <row r="2449" spans="1:14" x14ac:dyDescent="0.25">
      <c r="A2449" s="1"/>
      <c r="B2449" s="2" t="s">
        <v>2878</v>
      </c>
      <c r="C2449" s="2" t="s">
        <v>42</v>
      </c>
      <c r="D2449" s="2" t="s">
        <v>3263</v>
      </c>
      <c r="E2449" s="7" t="s">
        <v>3349</v>
      </c>
      <c r="F2449" s="37">
        <v>42520.583333333336</v>
      </c>
      <c r="G2449" s="37">
        <v>42520.666666666664</v>
      </c>
      <c r="H2449" s="1" t="s">
        <v>6</v>
      </c>
      <c r="I2449" s="1" t="s">
        <v>38</v>
      </c>
      <c r="J2449" s="1">
        <v>42521.539236111108</v>
      </c>
      <c r="K2449" s="1" t="s">
        <v>42</v>
      </c>
      <c r="L2449" s="14">
        <f>24*(TblTimeSheet[[#This Row],[End Date and Time]]-TblTimeSheet[[#This Row],[Start Date and Time]])</f>
        <v>1.9999999998835847</v>
      </c>
      <c r="M24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49" s="14">
        <f>--(0&gt;(TblTimeSheet[[#This Row],[End Date and Time]]-TblTimeSheet[[#This Row],[Start Date and Time]]))</f>
        <v>0</v>
      </c>
    </row>
    <row r="2450" spans="1:14" x14ac:dyDescent="0.25">
      <c r="A2450" s="1"/>
      <c r="B2450" s="2" t="s">
        <v>2878</v>
      </c>
      <c r="C2450" s="2" t="s">
        <v>42</v>
      </c>
      <c r="D2450" s="2" t="s">
        <v>3263</v>
      </c>
      <c r="E2450" s="7" t="s">
        <v>3350</v>
      </c>
      <c r="F2450" s="37">
        <v>42520.666666666664</v>
      </c>
      <c r="G2450" s="37">
        <v>42521.736111111109</v>
      </c>
      <c r="H2450" s="1" t="s">
        <v>6</v>
      </c>
      <c r="I2450" s="1" t="s">
        <v>38</v>
      </c>
      <c r="J2450" s="1">
        <v>42521.539768518516</v>
      </c>
      <c r="K2450" s="1" t="s">
        <v>42</v>
      </c>
      <c r="L2450" s="14">
        <f>24*(TblTimeSheet[[#This Row],[End Date and Time]]-TblTimeSheet[[#This Row],[Start Date and Time]])</f>
        <v>25.666666666686069</v>
      </c>
      <c r="M24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0" s="14">
        <f>--(0&gt;(TblTimeSheet[[#This Row],[End Date and Time]]-TblTimeSheet[[#This Row],[Start Date and Time]]))</f>
        <v>0</v>
      </c>
    </row>
    <row r="2451" spans="1:14" x14ac:dyDescent="0.25">
      <c r="A2451" s="1"/>
      <c r="B2451" s="2" t="s">
        <v>2878</v>
      </c>
      <c r="C2451" s="2" t="s">
        <v>42</v>
      </c>
      <c r="D2451" s="2" t="s">
        <v>3261</v>
      </c>
      <c r="E2451" s="7" t="s">
        <v>3351</v>
      </c>
      <c r="F2451" s="37">
        <v>42521.375</v>
      </c>
      <c r="G2451" s="37">
        <v>42521.416666666664</v>
      </c>
      <c r="H2451" s="1" t="s">
        <v>6</v>
      </c>
      <c r="I2451" s="1" t="s">
        <v>38</v>
      </c>
      <c r="J2451" s="1">
        <v>42521.550555555557</v>
      </c>
      <c r="K2451" s="1" t="s">
        <v>42</v>
      </c>
      <c r="L2451" s="14">
        <f>24*(TblTimeSheet[[#This Row],[End Date and Time]]-TblTimeSheet[[#This Row],[Start Date and Time]])</f>
        <v>0.99999999994179234</v>
      </c>
      <c r="M24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1" s="14">
        <f>--(0&gt;(TblTimeSheet[[#This Row],[End Date and Time]]-TblTimeSheet[[#This Row],[Start Date and Time]]))</f>
        <v>0</v>
      </c>
    </row>
    <row r="2452" spans="1:14" ht="30" x14ac:dyDescent="0.25">
      <c r="A2452" s="1"/>
      <c r="B2452" s="2" t="s">
        <v>2878</v>
      </c>
      <c r="C2452" s="2" t="s">
        <v>42</v>
      </c>
      <c r="D2452" s="2" t="s">
        <v>3261</v>
      </c>
      <c r="E2452" s="7" t="s">
        <v>3842</v>
      </c>
      <c r="F2452" s="37">
        <v>42521.416666666664</v>
      </c>
      <c r="G2452" s="37">
        <v>42521.447916666664</v>
      </c>
      <c r="H2452" s="1" t="s">
        <v>6</v>
      </c>
      <c r="I2452" s="1" t="s">
        <v>38</v>
      </c>
      <c r="J2452" s="1">
        <v>42521.551689814813</v>
      </c>
      <c r="K2452" s="1" t="s">
        <v>42</v>
      </c>
      <c r="L2452" s="14">
        <f>24*(TblTimeSheet[[#This Row],[End Date and Time]]-TblTimeSheet[[#This Row],[Start Date and Time]])</f>
        <v>0.75</v>
      </c>
      <c r="M24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2" s="14">
        <f>--(0&gt;(TblTimeSheet[[#This Row],[End Date and Time]]-TblTimeSheet[[#This Row],[Start Date and Time]]))</f>
        <v>0</v>
      </c>
    </row>
    <row r="2453" spans="1:14" x14ac:dyDescent="0.25">
      <c r="A2453" s="1"/>
      <c r="B2453" s="2" t="s">
        <v>2878</v>
      </c>
      <c r="C2453" s="2" t="s">
        <v>42</v>
      </c>
      <c r="D2453" s="2" t="s">
        <v>3261</v>
      </c>
      <c r="E2453" s="7" t="s">
        <v>3352</v>
      </c>
      <c r="F2453" s="37">
        <v>42521.447916666664</v>
      </c>
      <c r="G2453" s="37">
        <v>42521.458333333336</v>
      </c>
      <c r="H2453" s="1" t="s">
        <v>6</v>
      </c>
      <c r="I2453" s="1" t="s">
        <v>38</v>
      </c>
      <c r="J2453" s="1">
        <v>42521.552986111114</v>
      </c>
      <c r="K2453" s="1" t="s">
        <v>42</v>
      </c>
      <c r="L2453" s="14">
        <f>24*(TblTimeSheet[[#This Row],[End Date and Time]]-TblTimeSheet[[#This Row],[Start Date and Time]])</f>
        <v>0.25000000011641532</v>
      </c>
      <c r="M24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3" s="14">
        <f>--(0&gt;(TblTimeSheet[[#This Row],[End Date and Time]]-TblTimeSheet[[#This Row],[Start Date and Time]]))</f>
        <v>0</v>
      </c>
    </row>
    <row r="2454" spans="1:14" x14ac:dyDescent="0.25">
      <c r="A2454" s="1"/>
      <c r="B2454" s="2" t="s">
        <v>2878</v>
      </c>
      <c r="C2454" s="2" t="s">
        <v>42</v>
      </c>
      <c r="D2454" s="2" t="s">
        <v>3261</v>
      </c>
      <c r="E2454" s="7" t="s">
        <v>3353</v>
      </c>
      <c r="F2454" s="37">
        <v>42521.458333333336</v>
      </c>
      <c r="G2454" s="37">
        <v>42521.46875</v>
      </c>
      <c r="H2454" s="1" t="s">
        <v>6</v>
      </c>
      <c r="I2454" s="1" t="s">
        <v>38</v>
      </c>
      <c r="J2454" s="1">
        <v>42521.554432870369</v>
      </c>
      <c r="K2454" s="1" t="s">
        <v>42</v>
      </c>
      <c r="L2454" s="14">
        <f>24*(TblTimeSheet[[#This Row],[End Date and Time]]-TblTimeSheet[[#This Row],[Start Date and Time]])</f>
        <v>0.24999999994179234</v>
      </c>
      <c r="M24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4" s="14">
        <f>--(0&gt;(TblTimeSheet[[#This Row],[End Date and Time]]-TblTimeSheet[[#This Row],[Start Date and Time]]))</f>
        <v>0</v>
      </c>
    </row>
    <row r="2455" spans="1:14" x14ac:dyDescent="0.25">
      <c r="A2455" s="1"/>
      <c r="B2455" s="2" t="s">
        <v>2878</v>
      </c>
      <c r="C2455" s="2" t="s">
        <v>42</v>
      </c>
      <c r="D2455" s="2" t="s">
        <v>3261</v>
      </c>
      <c r="E2455" s="7" t="s">
        <v>3354</v>
      </c>
      <c r="F2455" s="37">
        <v>42521.46875</v>
      </c>
      <c r="G2455" s="37">
        <v>42521.486111111109</v>
      </c>
      <c r="H2455" s="1" t="s">
        <v>6</v>
      </c>
      <c r="I2455" s="1" t="s">
        <v>38</v>
      </c>
      <c r="J2455" s="1">
        <v>42521.554189814815</v>
      </c>
      <c r="K2455" s="1" t="s">
        <v>42</v>
      </c>
      <c r="L2455" s="14">
        <f>24*(TblTimeSheet[[#This Row],[End Date and Time]]-TblTimeSheet[[#This Row],[Start Date and Time]])</f>
        <v>0.41666666662786156</v>
      </c>
      <c r="M24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5" s="14">
        <f>--(0&gt;(TblTimeSheet[[#This Row],[End Date and Time]]-TblTimeSheet[[#This Row],[Start Date and Time]]))</f>
        <v>0</v>
      </c>
    </row>
    <row r="2456" spans="1:14" x14ac:dyDescent="0.25">
      <c r="A2456" s="1"/>
      <c r="B2456" s="2" t="s">
        <v>2878</v>
      </c>
      <c r="C2456" s="2" t="s">
        <v>42</v>
      </c>
      <c r="D2456" s="2" t="s">
        <v>3263</v>
      </c>
      <c r="E2456" s="7" t="s">
        <v>3355</v>
      </c>
      <c r="F2456" s="37">
        <v>42521.486111111109</v>
      </c>
      <c r="G2456" s="37">
        <v>42521.5625</v>
      </c>
      <c r="H2456" s="1" t="s">
        <v>6</v>
      </c>
      <c r="I2456" s="1" t="s">
        <v>38</v>
      </c>
      <c r="J2456" s="1">
        <v>42521.557476851849</v>
      </c>
      <c r="K2456" s="1" t="s">
        <v>42</v>
      </c>
      <c r="L2456" s="14">
        <f>24*(TblTimeSheet[[#This Row],[End Date and Time]]-TblTimeSheet[[#This Row],[Start Date and Time]])</f>
        <v>1.8333333333721384</v>
      </c>
      <c r="M24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6" s="14">
        <f>--(0&gt;(TblTimeSheet[[#This Row],[End Date and Time]]-TblTimeSheet[[#This Row],[Start Date and Time]]))</f>
        <v>0</v>
      </c>
    </row>
    <row r="2457" spans="1:14" x14ac:dyDescent="0.25">
      <c r="A2457" s="1"/>
      <c r="B2457" s="2" t="s">
        <v>2878</v>
      </c>
      <c r="C2457" s="2" t="s">
        <v>1469</v>
      </c>
      <c r="D2457" s="2" t="s">
        <v>3263</v>
      </c>
      <c r="E2457" s="7" t="s">
        <v>3843</v>
      </c>
      <c r="F2457" s="37">
        <v>42521.375</v>
      </c>
      <c r="G2457" s="37">
        <v>42521.5</v>
      </c>
      <c r="H2457" s="1" t="s">
        <v>6</v>
      </c>
      <c r="I2457" s="1" t="s">
        <v>38</v>
      </c>
      <c r="J2457" s="1">
        <v>42521.636678240742</v>
      </c>
      <c r="K2457" s="1" t="s">
        <v>1469</v>
      </c>
      <c r="L2457" s="14">
        <f>24*(TblTimeSheet[[#This Row],[End Date and Time]]-TblTimeSheet[[#This Row],[Start Date and Time]])</f>
        <v>3</v>
      </c>
      <c r="M24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57" s="14">
        <f>--(0&gt;(TblTimeSheet[[#This Row],[End Date and Time]]-TblTimeSheet[[#This Row],[Start Date and Time]]))</f>
        <v>0</v>
      </c>
    </row>
    <row r="2458" spans="1:14" x14ac:dyDescent="0.25">
      <c r="A2458" s="1"/>
      <c r="B2458" s="2" t="s">
        <v>2878</v>
      </c>
      <c r="C2458" s="2" t="s">
        <v>1469</v>
      </c>
      <c r="D2458" s="2" t="s">
        <v>3263</v>
      </c>
      <c r="E2458" s="7" t="s">
        <v>3844</v>
      </c>
      <c r="F2458" s="37">
        <v>42521.510416666664</v>
      </c>
      <c r="G2458" s="37">
        <v>42521.5625</v>
      </c>
      <c r="H2458" s="1" t="s">
        <v>6</v>
      </c>
      <c r="I2458" s="1" t="s">
        <v>38</v>
      </c>
      <c r="J2458" s="1">
        <v>42521.639537037037</v>
      </c>
      <c r="K2458" s="1" t="s">
        <v>1469</v>
      </c>
      <c r="L2458" s="14">
        <f>24*(TblTimeSheet[[#This Row],[End Date and Time]]-TblTimeSheet[[#This Row],[Start Date and Time]])</f>
        <v>1.2500000000582077</v>
      </c>
      <c r="M24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58" s="14">
        <f>--(0&gt;(TblTimeSheet[[#This Row],[End Date and Time]]-TblTimeSheet[[#This Row],[Start Date and Time]]))</f>
        <v>0</v>
      </c>
    </row>
    <row r="2459" spans="1:14" x14ac:dyDescent="0.25">
      <c r="A2459" s="1"/>
      <c r="B2459" s="2" t="s">
        <v>2876</v>
      </c>
      <c r="C2459" s="2" t="s">
        <v>42</v>
      </c>
      <c r="D2459" s="2" t="s">
        <v>3279</v>
      </c>
      <c r="E2459" s="7" t="s">
        <v>3356</v>
      </c>
      <c r="F2459" s="37">
        <v>42521.666666666664</v>
      </c>
      <c r="G2459" s="37">
        <v>42521.711805555555</v>
      </c>
      <c r="H2459" s="1" t="s">
        <v>6</v>
      </c>
      <c r="I2459" s="1" t="s">
        <v>38</v>
      </c>
      <c r="J2459" s="1">
        <v>42521.711805555555</v>
      </c>
      <c r="K2459" s="1" t="s">
        <v>42</v>
      </c>
      <c r="L2459" s="14">
        <f>24*(TblTimeSheet[[#This Row],[End Date and Time]]-TblTimeSheet[[#This Row],[Start Date and Time]])</f>
        <v>1.0833333333721384</v>
      </c>
      <c r="M24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59" s="14">
        <f>--(0&gt;(TblTimeSheet[[#This Row],[End Date and Time]]-TblTimeSheet[[#This Row],[Start Date and Time]]))</f>
        <v>0</v>
      </c>
    </row>
    <row r="2460" spans="1:14" x14ac:dyDescent="0.25">
      <c r="A2460" s="1"/>
      <c r="B2460" s="2" t="s">
        <v>2876</v>
      </c>
      <c r="C2460" s="2" t="s">
        <v>144</v>
      </c>
      <c r="D2460" s="2" t="s">
        <v>3279</v>
      </c>
      <c r="E2460" s="7" t="s">
        <v>3845</v>
      </c>
      <c r="F2460" s="37">
        <v>42521.666666666664</v>
      </c>
      <c r="G2460" s="37">
        <v>42521.711805555555</v>
      </c>
      <c r="H2460" s="1" t="s">
        <v>6</v>
      </c>
      <c r="I2460" s="1" t="s">
        <v>38</v>
      </c>
      <c r="J2460" s="1">
        <v>42521.711840277778</v>
      </c>
      <c r="K2460" s="1" t="s">
        <v>144</v>
      </c>
      <c r="L2460" s="14">
        <f>24*(TblTimeSheet[[#This Row],[End Date and Time]]-TblTimeSheet[[#This Row],[Start Date and Time]])</f>
        <v>1.0833333333721384</v>
      </c>
      <c r="M24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60" s="14">
        <f>--(0&gt;(TblTimeSheet[[#This Row],[End Date and Time]]-TblTimeSheet[[#This Row],[Start Date and Time]]))</f>
        <v>0</v>
      </c>
    </row>
    <row r="2461" spans="1:14" x14ac:dyDescent="0.25">
      <c r="A2461" s="1"/>
      <c r="B2461" s="2" t="s">
        <v>2878</v>
      </c>
      <c r="C2461" s="2" t="s">
        <v>42</v>
      </c>
      <c r="D2461" s="2" t="s">
        <v>3261</v>
      </c>
      <c r="E2461" s="7" t="s">
        <v>3357</v>
      </c>
      <c r="F2461" s="37">
        <v>42521.59375</v>
      </c>
      <c r="G2461" s="37">
        <v>42521.645833333336</v>
      </c>
      <c r="H2461" s="1" t="s">
        <v>6</v>
      </c>
      <c r="I2461" s="1" t="s">
        <v>38</v>
      </c>
      <c r="J2461" s="1">
        <v>42521.713518518518</v>
      </c>
      <c r="K2461" s="1" t="s">
        <v>42</v>
      </c>
      <c r="L2461" s="14">
        <f>24*(TblTimeSheet[[#This Row],[End Date and Time]]-TblTimeSheet[[#This Row],[Start Date and Time]])</f>
        <v>1.2500000000582077</v>
      </c>
      <c r="M24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61" s="14">
        <f>--(0&gt;(TblTimeSheet[[#This Row],[End Date and Time]]-TblTimeSheet[[#This Row],[Start Date and Time]]))</f>
        <v>0</v>
      </c>
    </row>
    <row r="2462" spans="1:14" x14ac:dyDescent="0.25">
      <c r="A2462" s="1"/>
      <c r="B2462" s="2" t="s">
        <v>2878</v>
      </c>
      <c r="C2462" s="2" t="s">
        <v>42</v>
      </c>
      <c r="D2462" s="2" t="s">
        <v>3261</v>
      </c>
      <c r="E2462" s="7" t="s">
        <v>3358</v>
      </c>
      <c r="F2462" s="37">
        <v>42521.645833333336</v>
      </c>
      <c r="G2462" s="37">
        <v>42521.65625</v>
      </c>
      <c r="H2462" s="1" t="s">
        <v>6</v>
      </c>
      <c r="I2462" s="1" t="s">
        <v>38</v>
      </c>
      <c r="J2462" s="1">
        <v>42521.714733796296</v>
      </c>
      <c r="K2462" s="1" t="s">
        <v>42</v>
      </c>
      <c r="L2462" s="14">
        <f>24*(TblTimeSheet[[#This Row],[End Date and Time]]-TblTimeSheet[[#This Row],[Start Date and Time]])</f>
        <v>0.24999999994179234</v>
      </c>
      <c r="M24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62" s="14">
        <f>--(0&gt;(TblTimeSheet[[#This Row],[End Date and Time]]-TblTimeSheet[[#This Row],[Start Date and Time]]))</f>
        <v>0</v>
      </c>
    </row>
    <row r="2463" spans="1:14" x14ac:dyDescent="0.25">
      <c r="A2463" s="1"/>
      <c r="B2463" s="2" t="s">
        <v>2878</v>
      </c>
      <c r="C2463" s="2" t="s">
        <v>1503</v>
      </c>
      <c r="D2463" s="2" t="s">
        <v>3263</v>
      </c>
      <c r="E2463" s="7" t="s">
        <v>3359</v>
      </c>
      <c r="F2463" s="37">
        <v>42521.375</v>
      </c>
      <c r="G2463" s="37">
        <v>42521.541666666664</v>
      </c>
      <c r="H2463" s="1" t="s">
        <v>6</v>
      </c>
      <c r="I2463" s="1" t="s">
        <v>38</v>
      </c>
      <c r="J2463" s="1">
        <v>42521.715046296296</v>
      </c>
      <c r="K2463" s="1" t="s">
        <v>2866</v>
      </c>
      <c r="L2463" s="14">
        <f>24*(TblTimeSheet[[#This Row],[End Date and Time]]-TblTimeSheet[[#This Row],[Start Date and Time]])</f>
        <v>3.9999999999417923</v>
      </c>
      <c r="M24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3" s="14">
        <f>--(0&gt;(TblTimeSheet[[#This Row],[End Date and Time]]-TblTimeSheet[[#This Row],[Start Date and Time]]))</f>
        <v>0</v>
      </c>
    </row>
    <row r="2464" spans="1:14" x14ac:dyDescent="0.25">
      <c r="A2464" s="1"/>
      <c r="B2464" s="2" t="s">
        <v>2876</v>
      </c>
      <c r="C2464" s="2" t="s">
        <v>1469</v>
      </c>
      <c r="D2464" s="2" t="s">
        <v>3279</v>
      </c>
      <c r="E2464" s="7" t="s">
        <v>449</v>
      </c>
      <c r="F2464" s="37">
        <v>42521.666666666664</v>
      </c>
      <c r="G2464" s="37">
        <v>42521.711805555555</v>
      </c>
      <c r="H2464" s="1" t="s">
        <v>6</v>
      </c>
      <c r="I2464" s="1" t="s">
        <v>38</v>
      </c>
      <c r="J2464" s="1">
        <v>42521.716261574074</v>
      </c>
      <c r="K2464" s="1" t="s">
        <v>1469</v>
      </c>
      <c r="L2464" s="14">
        <f>24*(TblTimeSheet[[#This Row],[End Date and Time]]-TblTimeSheet[[#This Row],[Start Date and Time]])</f>
        <v>1.0833333333721384</v>
      </c>
      <c r="M24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4" s="14">
        <f>--(0&gt;(TblTimeSheet[[#This Row],[End Date and Time]]-TblTimeSheet[[#This Row],[Start Date and Time]]))</f>
        <v>0</v>
      </c>
    </row>
    <row r="2465" spans="1:14" x14ac:dyDescent="0.25">
      <c r="A2465" s="1"/>
      <c r="B2465" s="2" t="s">
        <v>2878</v>
      </c>
      <c r="C2465" s="2" t="s">
        <v>1503</v>
      </c>
      <c r="D2465" s="2" t="s">
        <v>3263</v>
      </c>
      <c r="E2465" s="7" t="s">
        <v>3360</v>
      </c>
      <c r="F2465" s="37">
        <v>42521.5625</v>
      </c>
      <c r="G2465" s="37">
        <v>42521.628472222219</v>
      </c>
      <c r="H2465" s="1" t="s">
        <v>6</v>
      </c>
      <c r="I2465" s="1" t="s">
        <v>38</v>
      </c>
      <c r="J2465" s="1">
        <v>42521.716574074075</v>
      </c>
      <c r="K2465" s="1" t="s">
        <v>2866</v>
      </c>
      <c r="L2465" s="14">
        <f>24*(TblTimeSheet[[#This Row],[End Date and Time]]-TblTimeSheet[[#This Row],[Start Date and Time]])</f>
        <v>1.5833333332557231</v>
      </c>
      <c r="M24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5" s="14">
        <f>--(0&gt;(TblTimeSheet[[#This Row],[End Date and Time]]-TblTimeSheet[[#This Row],[Start Date and Time]]))</f>
        <v>0</v>
      </c>
    </row>
    <row r="2466" spans="1:14" x14ac:dyDescent="0.25">
      <c r="A2466" s="1"/>
      <c r="B2466" s="2" t="s">
        <v>2878</v>
      </c>
      <c r="C2466" s="2" t="s">
        <v>1503</v>
      </c>
      <c r="D2466" s="2" t="s">
        <v>3263</v>
      </c>
      <c r="E2466" s="7" t="s">
        <v>3361</v>
      </c>
      <c r="F2466" s="37">
        <v>42521.645833333336</v>
      </c>
      <c r="G2466" s="37">
        <v>42521.666666666664</v>
      </c>
      <c r="H2466" s="1" t="s">
        <v>6</v>
      </c>
      <c r="I2466" s="1" t="s">
        <v>38</v>
      </c>
      <c r="J2466" s="1">
        <v>42521.717407407406</v>
      </c>
      <c r="K2466" s="1" t="s">
        <v>2866</v>
      </c>
      <c r="L2466" s="14">
        <f>24*(TblTimeSheet[[#This Row],[End Date and Time]]-TblTimeSheet[[#This Row],[Start Date and Time]])</f>
        <v>0.49999999988358468</v>
      </c>
      <c r="M24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6" s="14">
        <f>--(0&gt;(TblTimeSheet[[#This Row],[End Date and Time]]-TblTimeSheet[[#This Row],[Start Date and Time]]))</f>
        <v>0</v>
      </c>
    </row>
    <row r="2467" spans="1:14" x14ac:dyDescent="0.25">
      <c r="A2467" s="1"/>
      <c r="B2467" s="2" t="s">
        <v>2878</v>
      </c>
      <c r="C2467" s="2" t="s">
        <v>1469</v>
      </c>
      <c r="D2467" s="2" t="s">
        <v>3263</v>
      </c>
      <c r="E2467" s="7" t="s">
        <v>3362</v>
      </c>
      <c r="F2467" s="37">
        <v>42521.583333333336</v>
      </c>
      <c r="G2467" s="37">
        <v>42521.666666666664</v>
      </c>
      <c r="H2467" s="1" t="s">
        <v>6</v>
      </c>
      <c r="I2467" s="1" t="s">
        <v>38</v>
      </c>
      <c r="J2467" s="1">
        <v>42521.718263888892</v>
      </c>
      <c r="K2467" s="1" t="s">
        <v>1469</v>
      </c>
      <c r="L2467" s="14">
        <f>24*(TblTimeSheet[[#This Row],[End Date and Time]]-TblTimeSheet[[#This Row],[Start Date and Time]])</f>
        <v>1.9999999998835847</v>
      </c>
      <c r="M24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7" s="14">
        <f>--(0&gt;(TblTimeSheet[[#This Row],[End Date and Time]]-TblTimeSheet[[#This Row],[Start Date and Time]]))</f>
        <v>0</v>
      </c>
    </row>
    <row r="2468" spans="1:14" x14ac:dyDescent="0.25">
      <c r="A2468" s="1"/>
      <c r="B2468" s="2" t="s">
        <v>2878</v>
      </c>
      <c r="C2468" s="2" t="s">
        <v>1503</v>
      </c>
      <c r="D2468" s="2" t="s">
        <v>3261</v>
      </c>
      <c r="E2468" s="7" t="s">
        <v>3363</v>
      </c>
      <c r="F2468" s="37">
        <v>42521.666666666664</v>
      </c>
      <c r="G2468" s="37">
        <v>42521.677083333336</v>
      </c>
      <c r="H2468" s="1" t="s">
        <v>6</v>
      </c>
      <c r="I2468" s="1" t="s">
        <v>38</v>
      </c>
      <c r="J2468" s="1">
        <v>42521.733807870369</v>
      </c>
      <c r="K2468" s="1" t="s">
        <v>2866</v>
      </c>
      <c r="L2468" s="14">
        <f>24*(TblTimeSheet[[#This Row],[End Date and Time]]-TblTimeSheet[[#This Row],[Start Date and Time]])</f>
        <v>0.25000000011641532</v>
      </c>
      <c r="M24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8" s="14">
        <f>--(0&gt;(TblTimeSheet[[#This Row],[End Date and Time]]-TblTimeSheet[[#This Row],[Start Date and Time]]))</f>
        <v>0</v>
      </c>
    </row>
    <row r="2469" spans="1:14" x14ac:dyDescent="0.25">
      <c r="A2469" s="1"/>
      <c r="B2469" s="2" t="s">
        <v>2878</v>
      </c>
      <c r="C2469" s="2" t="s">
        <v>1503</v>
      </c>
      <c r="D2469" s="2" t="s">
        <v>3261</v>
      </c>
      <c r="E2469" s="7" t="s">
        <v>3846</v>
      </c>
      <c r="F2469" s="37">
        <v>42521.6875</v>
      </c>
      <c r="G2469" s="37">
        <v>42521.729166666664</v>
      </c>
      <c r="H2469" s="1" t="s">
        <v>6</v>
      </c>
      <c r="I2469" s="1" t="s">
        <v>38</v>
      </c>
      <c r="J2469" s="1">
        <v>42521.733842592592</v>
      </c>
      <c r="K2469" s="1" t="s">
        <v>2866</v>
      </c>
      <c r="L2469" s="14">
        <f>24*(TblTimeSheet[[#This Row],[End Date and Time]]-TblTimeSheet[[#This Row],[Start Date and Time]])</f>
        <v>0.99999999994179234</v>
      </c>
      <c r="M24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69" s="14">
        <f>--(0&gt;(TblTimeSheet[[#This Row],[End Date and Time]]-TblTimeSheet[[#This Row],[Start Date and Time]]))</f>
        <v>0</v>
      </c>
    </row>
    <row r="2470" spans="1:14" x14ac:dyDescent="0.25">
      <c r="A2470" s="1"/>
      <c r="B2470" s="2" t="s">
        <v>2876</v>
      </c>
      <c r="C2470" s="2" t="s">
        <v>144</v>
      </c>
      <c r="D2470" s="2" t="s">
        <v>3279</v>
      </c>
      <c r="E2470" s="7" t="s">
        <v>3364</v>
      </c>
      <c r="F2470" s="37">
        <v>42521.722222222219</v>
      </c>
      <c r="G2470" s="37">
        <v>42521.736111111109</v>
      </c>
      <c r="H2470" s="1" t="s">
        <v>6</v>
      </c>
      <c r="I2470" s="1" t="s">
        <v>38</v>
      </c>
      <c r="J2470" s="1">
        <v>42521.735335648147</v>
      </c>
      <c r="K2470" s="1" t="s">
        <v>144</v>
      </c>
      <c r="L2470" s="14">
        <f>24*(TblTimeSheet[[#This Row],[End Date and Time]]-TblTimeSheet[[#This Row],[Start Date and Time]])</f>
        <v>0.33333333337213844</v>
      </c>
      <c r="M24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70" s="14">
        <f>--(0&gt;(TblTimeSheet[[#This Row],[End Date and Time]]-TblTimeSheet[[#This Row],[Start Date and Time]]))</f>
        <v>0</v>
      </c>
    </row>
    <row r="2471" spans="1:14" x14ac:dyDescent="0.25">
      <c r="A2471" s="1"/>
      <c r="B2471" s="2" t="s">
        <v>2878</v>
      </c>
      <c r="C2471" s="2" t="s">
        <v>144</v>
      </c>
      <c r="D2471" s="2" t="s">
        <v>3263</v>
      </c>
      <c r="E2471" s="7" t="s">
        <v>3365</v>
      </c>
      <c r="F2471" s="37">
        <v>42521.375</v>
      </c>
      <c r="G2471" s="37">
        <v>42521.732638888891</v>
      </c>
      <c r="H2471" s="1" t="s">
        <v>6</v>
      </c>
      <c r="I2471" s="1" t="s">
        <v>38</v>
      </c>
      <c r="J2471" s="1">
        <v>42521.735868055555</v>
      </c>
      <c r="K2471" s="1" t="s">
        <v>144</v>
      </c>
      <c r="L2471" s="14">
        <f>24*(TblTimeSheet[[#This Row],[End Date and Time]]-TblTimeSheet[[#This Row],[Start Date and Time]])</f>
        <v>8.5833333333721384</v>
      </c>
      <c r="M24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71" s="14">
        <f>--(0&gt;(TblTimeSheet[[#This Row],[End Date and Time]]-TblTimeSheet[[#This Row],[Start Date and Time]]))</f>
        <v>0</v>
      </c>
    </row>
    <row r="2472" spans="1:14" x14ac:dyDescent="0.25">
      <c r="A2472" s="1"/>
      <c r="B2472" s="2" t="s">
        <v>2878</v>
      </c>
      <c r="C2472" s="2" t="s">
        <v>171</v>
      </c>
      <c r="D2472" s="2" t="s">
        <v>3263</v>
      </c>
      <c r="E2472" s="7" t="s">
        <v>3366</v>
      </c>
      <c r="F2472" s="37">
        <v>42518.40625</v>
      </c>
      <c r="G2472" s="37">
        <v>42518.725694444445</v>
      </c>
      <c r="H2472" s="1" t="s">
        <v>6</v>
      </c>
      <c r="I2472" s="1" t="s">
        <v>38</v>
      </c>
      <c r="J2472" s="1">
        <v>42521.74590277778</v>
      </c>
      <c r="K2472" s="1" t="s">
        <v>171</v>
      </c>
      <c r="L2472" s="14">
        <f>24*(TblTimeSheet[[#This Row],[End Date and Time]]-TblTimeSheet[[#This Row],[Start Date and Time]])</f>
        <v>7.6666666666860692</v>
      </c>
      <c r="M24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2" s="14">
        <f>--(0&gt;(TblTimeSheet[[#This Row],[End Date and Time]]-TblTimeSheet[[#This Row],[Start Date and Time]]))</f>
        <v>0</v>
      </c>
    </row>
    <row r="2473" spans="1:14" x14ac:dyDescent="0.25">
      <c r="A2473" s="1"/>
      <c r="B2473" s="2" t="s">
        <v>2878</v>
      </c>
      <c r="C2473" s="2" t="s">
        <v>116</v>
      </c>
      <c r="D2473" s="2" t="s">
        <v>3263</v>
      </c>
      <c r="E2473" s="7" t="s">
        <v>3847</v>
      </c>
      <c r="F2473" s="37">
        <v>42518.395833333336</v>
      </c>
      <c r="G2473" s="37">
        <v>42518.75</v>
      </c>
      <c r="H2473" s="1" t="s">
        <v>6</v>
      </c>
      <c r="I2473" s="1" t="s">
        <v>38</v>
      </c>
      <c r="J2473" s="1">
        <v>42521.746446759258</v>
      </c>
      <c r="K2473" s="1" t="s">
        <v>701</v>
      </c>
      <c r="L2473" s="14">
        <f>24*(TblTimeSheet[[#This Row],[End Date and Time]]-TblTimeSheet[[#This Row],[Start Date and Time]])</f>
        <v>8.4999999999417923</v>
      </c>
      <c r="M24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3" s="14">
        <f>--(0&gt;(TblTimeSheet[[#This Row],[End Date and Time]]-TblTimeSheet[[#This Row],[Start Date and Time]]))</f>
        <v>0</v>
      </c>
    </row>
    <row r="2474" spans="1:14" x14ac:dyDescent="0.25">
      <c r="A2474" s="1"/>
      <c r="B2474" s="2" t="s">
        <v>2878</v>
      </c>
      <c r="C2474" s="2" t="s">
        <v>171</v>
      </c>
      <c r="D2474" s="2" t="s">
        <v>3263</v>
      </c>
      <c r="E2474" s="7" t="s">
        <v>3366</v>
      </c>
      <c r="F2474" s="37">
        <v>42520.402777777781</v>
      </c>
      <c r="G2474" s="37">
        <v>42520.75</v>
      </c>
      <c r="H2474" s="1" t="s">
        <v>6</v>
      </c>
      <c r="I2474" s="1" t="s">
        <v>38</v>
      </c>
      <c r="J2474" s="1">
        <v>42521.74658564815</v>
      </c>
      <c r="K2474" s="1" t="s">
        <v>171</v>
      </c>
      <c r="L2474" s="14">
        <f>24*(TblTimeSheet[[#This Row],[End Date and Time]]-TblTimeSheet[[#This Row],[Start Date and Time]])</f>
        <v>8.3333333332557231</v>
      </c>
      <c r="M24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4" s="14">
        <f>--(0&gt;(TblTimeSheet[[#This Row],[End Date and Time]]-TblTimeSheet[[#This Row],[Start Date and Time]]))</f>
        <v>0</v>
      </c>
    </row>
    <row r="2475" spans="1:14" x14ac:dyDescent="0.25">
      <c r="A2475" s="1"/>
      <c r="B2475" s="2" t="s">
        <v>2878</v>
      </c>
      <c r="C2475" s="2" t="s">
        <v>171</v>
      </c>
      <c r="D2475" s="2" t="s">
        <v>3263</v>
      </c>
      <c r="E2475" s="7" t="s">
        <v>3367</v>
      </c>
      <c r="F2475" s="37">
        <v>42521.402777777781</v>
      </c>
      <c r="G2475" s="37">
        <v>42521.743055555555</v>
      </c>
      <c r="H2475" s="1" t="s">
        <v>6</v>
      </c>
      <c r="I2475" s="1" t="s">
        <v>38</v>
      </c>
      <c r="J2475" s="1">
        <v>42521.747256944444</v>
      </c>
      <c r="K2475" s="1" t="s">
        <v>171</v>
      </c>
      <c r="L2475" s="14">
        <f>24*(TblTimeSheet[[#This Row],[End Date and Time]]-TblTimeSheet[[#This Row],[Start Date and Time]])</f>
        <v>8.1666666665696539</v>
      </c>
      <c r="M24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5" s="14">
        <f>--(0&gt;(TblTimeSheet[[#This Row],[End Date and Time]]-TblTimeSheet[[#This Row],[Start Date and Time]]))</f>
        <v>0</v>
      </c>
    </row>
    <row r="2476" spans="1:14" x14ac:dyDescent="0.25">
      <c r="A2476" s="1"/>
      <c r="B2476" s="2" t="s">
        <v>2878</v>
      </c>
      <c r="C2476" s="2" t="s">
        <v>116</v>
      </c>
      <c r="D2476" s="2" t="s">
        <v>3263</v>
      </c>
      <c r="E2476" s="7" t="s">
        <v>3368</v>
      </c>
      <c r="F2476" s="37">
        <v>42520.395833333336</v>
      </c>
      <c r="G2476" s="37">
        <v>42520.770833333336</v>
      </c>
      <c r="H2476" s="1" t="s">
        <v>6</v>
      </c>
      <c r="I2476" s="1" t="s">
        <v>38</v>
      </c>
      <c r="J2476" s="1">
        <v>42521.747488425928</v>
      </c>
      <c r="K2476" s="1" t="s">
        <v>701</v>
      </c>
      <c r="L2476" s="14">
        <f>24*(TblTimeSheet[[#This Row],[End Date and Time]]-TblTimeSheet[[#This Row],[Start Date and Time]])</f>
        <v>9</v>
      </c>
      <c r="M24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6" s="14">
        <f>--(0&gt;(TblTimeSheet[[#This Row],[End Date and Time]]-TblTimeSheet[[#This Row],[Start Date and Time]]))</f>
        <v>0</v>
      </c>
    </row>
    <row r="2477" spans="1:14" ht="30" x14ac:dyDescent="0.25">
      <c r="A2477" s="1"/>
      <c r="B2477" s="2" t="s">
        <v>2878</v>
      </c>
      <c r="C2477" s="2" t="s">
        <v>42</v>
      </c>
      <c r="D2477" s="2" t="s">
        <v>3261</v>
      </c>
      <c r="E2477" s="7" t="s">
        <v>3848</v>
      </c>
      <c r="F2477" s="37">
        <v>42522.385416666664</v>
      </c>
      <c r="G2477" s="37">
        <v>42522.416666666664</v>
      </c>
      <c r="H2477" s="1" t="s">
        <v>6</v>
      </c>
      <c r="I2477" s="1" t="s">
        <v>38</v>
      </c>
      <c r="J2477" s="1">
        <v>42522.561354166668</v>
      </c>
      <c r="K2477" s="1" t="s">
        <v>42</v>
      </c>
      <c r="L2477" s="14">
        <f>24*(TblTimeSheet[[#This Row],[End Date and Time]]-TblTimeSheet[[#This Row],[Start Date and Time]])</f>
        <v>0.75</v>
      </c>
      <c r="M24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7" s="14">
        <f>--(0&gt;(TblTimeSheet[[#This Row],[End Date and Time]]-TblTimeSheet[[#This Row],[Start Date and Time]]))</f>
        <v>0</v>
      </c>
    </row>
    <row r="2478" spans="1:14" x14ac:dyDescent="0.25">
      <c r="A2478" s="1"/>
      <c r="B2478" s="2" t="s">
        <v>2878</v>
      </c>
      <c r="C2478" s="2" t="s">
        <v>42</v>
      </c>
      <c r="D2478" s="2" t="s">
        <v>3261</v>
      </c>
      <c r="E2478" s="7" t="s">
        <v>3849</v>
      </c>
      <c r="F2478" s="37">
        <v>42522.416666666664</v>
      </c>
      <c r="G2478" s="37">
        <v>42522.4375</v>
      </c>
      <c r="H2478" s="1" t="s">
        <v>6</v>
      </c>
      <c r="I2478" s="1" t="s">
        <v>38</v>
      </c>
      <c r="J2478" s="1">
        <v>42522.592048611114</v>
      </c>
      <c r="K2478" s="1" t="s">
        <v>42</v>
      </c>
      <c r="L2478" s="14">
        <f>24*(TblTimeSheet[[#This Row],[End Date and Time]]-TblTimeSheet[[#This Row],[Start Date and Time]])</f>
        <v>0.50000000005820766</v>
      </c>
      <c r="M24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8" s="14">
        <f>--(0&gt;(TblTimeSheet[[#This Row],[End Date and Time]]-TblTimeSheet[[#This Row],[Start Date and Time]]))</f>
        <v>0</v>
      </c>
    </row>
    <row r="2479" spans="1:14" x14ac:dyDescent="0.25">
      <c r="A2479" s="1"/>
      <c r="B2479" s="2" t="s">
        <v>2878</v>
      </c>
      <c r="C2479" s="2" t="s">
        <v>42</v>
      </c>
      <c r="D2479" s="2" t="s">
        <v>3261</v>
      </c>
      <c r="E2479" s="7" t="s">
        <v>3850</v>
      </c>
      <c r="F2479" s="37">
        <v>42522.4375</v>
      </c>
      <c r="G2479" s="37">
        <v>42522.444444444445</v>
      </c>
      <c r="H2479" s="1" t="s">
        <v>6</v>
      </c>
      <c r="I2479" s="1" t="s">
        <v>38</v>
      </c>
      <c r="J2479" s="1">
        <v>42522.592569444445</v>
      </c>
      <c r="K2479" s="1" t="s">
        <v>42</v>
      </c>
      <c r="L2479" s="14">
        <f>24*(TblTimeSheet[[#This Row],[End Date and Time]]-TblTimeSheet[[#This Row],[Start Date and Time]])</f>
        <v>0.16666666668606922</v>
      </c>
      <c r="M24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79" s="14">
        <f>--(0&gt;(TblTimeSheet[[#This Row],[End Date and Time]]-TblTimeSheet[[#This Row],[Start Date and Time]]))</f>
        <v>0</v>
      </c>
    </row>
    <row r="2480" spans="1:14" ht="30" x14ac:dyDescent="0.25">
      <c r="A2480" s="1"/>
      <c r="B2480" s="2" t="s">
        <v>2878</v>
      </c>
      <c r="C2480" s="2" t="s">
        <v>42</v>
      </c>
      <c r="D2480" s="2" t="s">
        <v>3261</v>
      </c>
      <c r="E2480" s="7" t="s">
        <v>3851</v>
      </c>
      <c r="F2480" s="37">
        <v>42522.444444444445</v>
      </c>
      <c r="G2480" s="37">
        <v>42522.465277777781</v>
      </c>
      <c r="H2480" s="1" t="s">
        <v>6</v>
      </c>
      <c r="I2480" s="1" t="s">
        <v>38</v>
      </c>
      <c r="J2480" s="1">
        <v>42522.594178240739</v>
      </c>
      <c r="K2480" s="1" t="s">
        <v>42</v>
      </c>
      <c r="L2480" s="14">
        <f>24*(TblTimeSheet[[#This Row],[End Date and Time]]-TblTimeSheet[[#This Row],[Start Date and Time]])</f>
        <v>0.50000000005820766</v>
      </c>
      <c r="M24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0" s="14">
        <f>--(0&gt;(TblTimeSheet[[#This Row],[End Date and Time]]-TblTimeSheet[[#This Row],[Start Date and Time]]))</f>
        <v>0</v>
      </c>
    </row>
    <row r="2481" spans="1:14" x14ac:dyDescent="0.25">
      <c r="A2481" s="1"/>
      <c r="B2481" s="2" t="s">
        <v>2878</v>
      </c>
      <c r="C2481" s="2" t="s">
        <v>42</v>
      </c>
      <c r="D2481" s="2" t="s">
        <v>3261</v>
      </c>
      <c r="E2481" s="7" t="s">
        <v>3852</v>
      </c>
      <c r="F2481" s="37">
        <v>42522.465277777781</v>
      </c>
      <c r="G2481" s="37">
        <v>42522.541666666664</v>
      </c>
      <c r="H2481" s="1" t="s">
        <v>6</v>
      </c>
      <c r="I2481" s="1" t="s">
        <v>38</v>
      </c>
      <c r="J2481" s="1">
        <v>42522.596817129626</v>
      </c>
      <c r="K2481" s="1" t="s">
        <v>42</v>
      </c>
      <c r="L2481" s="14">
        <f>24*(TblTimeSheet[[#This Row],[End Date and Time]]-TblTimeSheet[[#This Row],[Start Date and Time]])</f>
        <v>1.8333333331975155</v>
      </c>
      <c r="M24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1" s="14">
        <f>--(0&gt;(TblTimeSheet[[#This Row],[End Date and Time]]-TblTimeSheet[[#This Row],[Start Date and Time]]))</f>
        <v>0</v>
      </c>
    </row>
    <row r="2482" spans="1:14" x14ac:dyDescent="0.25">
      <c r="A2482" s="1"/>
      <c r="B2482" s="2" t="s">
        <v>2878</v>
      </c>
      <c r="C2482" s="2" t="s">
        <v>42</v>
      </c>
      <c r="D2482" s="2" t="s">
        <v>3261</v>
      </c>
      <c r="E2482" s="7" t="s">
        <v>3369</v>
      </c>
      <c r="F2482" s="37">
        <v>42522.541666666664</v>
      </c>
      <c r="G2482" s="37">
        <v>42522.552083333336</v>
      </c>
      <c r="H2482" s="1" t="s">
        <v>6</v>
      </c>
      <c r="I2482" s="1" t="s">
        <v>38</v>
      </c>
      <c r="J2482" s="1">
        <v>42522.602581018517</v>
      </c>
      <c r="K2482" s="1" t="s">
        <v>42</v>
      </c>
      <c r="L2482" s="14">
        <f>24*(TblTimeSheet[[#This Row],[End Date and Time]]-TblTimeSheet[[#This Row],[Start Date and Time]])</f>
        <v>0.25000000011641532</v>
      </c>
      <c r="M24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2" s="14">
        <f>--(0&gt;(TblTimeSheet[[#This Row],[End Date and Time]]-TblTimeSheet[[#This Row],[Start Date and Time]]))</f>
        <v>0</v>
      </c>
    </row>
    <row r="2483" spans="1:14" ht="30" x14ac:dyDescent="0.25">
      <c r="A2483" s="1"/>
      <c r="B2483" s="2" t="s">
        <v>2878</v>
      </c>
      <c r="C2483" s="2" t="s">
        <v>42</v>
      </c>
      <c r="D2483" s="2" t="s">
        <v>3261</v>
      </c>
      <c r="E2483" s="7" t="s">
        <v>3370</v>
      </c>
      <c r="F2483" s="37">
        <v>42522.590277777781</v>
      </c>
      <c r="G2483" s="37">
        <v>42522.607638888891</v>
      </c>
      <c r="H2483" s="1" t="s">
        <v>6</v>
      </c>
      <c r="I2483" s="1" t="s">
        <v>38</v>
      </c>
      <c r="J2483" s="1">
        <v>42522.6091087963</v>
      </c>
      <c r="K2483" s="1" t="s">
        <v>42</v>
      </c>
      <c r="L2483" s="14">
        <f>24*(TblTimeSheet[[#This Row],[End Date and Time]]-TblTimeSheet[[#This Row],[Start Date and Time]])</f>
        <v>0.41666666662786156</v>
      </c>
      <c r="M24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3" s="14">
        <f>--(0&gt;(TblTimeSheet[[#This Row],[End Date and Time]]-TblTimeSheet[[#This Row],[Start Date and Time]]))</f>
        <v>0</v>
      </c>
    </row>
    <row r="2484" spans="1:14" x14ac:dyDescent="0.25">
      <c r="A2484" s="1"/>
      <c r="B2484" s="2" t="s">
        <v>2878</v>
      </c>
      <c r="C2484" s="2" t="s">
        <v>42</v>
      </c>
      <c r="D2484" s="2" t="s">
        <v>3261</v>
      </c>
      <c r="E2484" s="7" t="s">
        <v>3371</v>
      </c>
      <c r="F2484" s="37">
        <v>42522.607638888891</v>
      </c>
      <c r="G2484" s="37">
        <v>42522.625</v>
      </c>
      <c r="H2484" s="1" t="s">
        <v>6</v>
      </c>
      <c r="I2484" s="1" t="s">
        <v>38</v>
      </c>
      <c r="J2484" s="1">
        <v>42522.624780092592</v>
      </c>
      <c r="K2484" s="1" t="s">
        <v>42</v>
      </c>
      <c r="L2484" s="14">
        <f>24*(TblTimeSheet[[#This Row],[End Date and Time]]-TblTimeSheet[[#This Row],[Start Date and Time]])</f>
        <v>0.41666666662786156</v>
      </c>
      <c r="M24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4" s="14">
        <f>--(0&gt;(TblTimeSheet[[#This Row],[End Date and Time]]-TblTimeSheet[[#This Row],[Start Date and Time]]))</f>
        <v>0</v>
      </c>
    </row>
    <row r="2485" spans="1:14" x14ac:dyDescent="0.25">
      <c r="A2485" s="1"/>
      <c r="B2485" s="2" t="s">
        <v>2878</v>
      </c>
      <c r="C2485" s="2" t="s">
        <v>42</v>
      </c>
      <c r="D2485" s="2" t="s">
        <v>3261</v>
      </c>
      <c r="E2485" s="7" t="s">
        <v>3853</v>
      </c>
      <c r="F2485" s="37">
        <v>42522.625</v>
      </c>
      <c r="G2485" s="37">
        <v>42522.645833333336</v>
      </c>
      <c r="H2485" s="1" t="s">
        <v>6</v>
      </c>
      <c r="I2485" s="1" t="s">
        <v>38</v>
      </c>
      <c r="J2485" s="1">
        <v>42522.646701388891</v>
      </c>
      <c r="K2485" s="1" t="s">
        <v>42</v>
      </c>
      <c r="L2485" s="14">
        <f>24*(TblTimeSheet[[#This Row],[End Date and Time]]-TblTimeSheet[[#This Row],[Start Date and Time]])</f>
        <v>0.50000000005820766</v>
      </c>
      <c r="M24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5" s="14">
        <f>--(0&gt;(TblTimeSheet[[#This Row],[End Date and Time]]-TblTimeSheet[[#This Row],[Start Date and Time]]))</f>
        <v>0</v>
      </c>
    </row>
    <row r="2486" spans="1:14" x14ac:dyDescent="0.25">
      <c r="A2486" s="1"/>
      <c r="B2486" s="2" t="s">
        <v>2878</v>
      </c>
      <c r="C2486" s="2" t="s">
        <v>42</v>
      </c>
      <c r="D2486" s="2" t="s">
        <v>3261</v>
      </c>
      <c r="E2486" s="7" t="s">
        <v>3372</v>
      </c>
      <c r="F2486" s="37">
        <v>42522.645833333336</v>
      </c>
      <c r="G2486" s="37">
        <v>42522.652777777781</v>
      </c>
      <c r="H2486" s="1" t="s">
        <v>6</v>
      </c>
      <c r="I2486" s="1" t="s">
        <v>38</v>
      </c>
      <c r="J2486" s="1">
        <v>42522.698067129626</v>
      </c>
      <c r="K2486" s="1" t="s">
        <v>42</v>
      </c>
      <c r="L2486" s="14">
        <f>24*(TblTimeSheet[[#This Row],[End Date and Time]]-TblTimeSheet[[#This Row],[Start Date and Time]])</f>
        <v>0.16666666668606922</v>
      </c>
      <c r="M24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6" s="14">
        <f>--(0&gt;(TblTimeSheet[[#This Row],[End Date and Time]]-TblTimeSheet[[#This Row],[Start Date and Time]]))</f>
        <v>0</v>
      </c>
    </row>
    <row r="2487" spans="1:14" x14ac:dyDescent="0.25">
      <c r="A2487" s="1"/>
      <c r="B2487" s="2" t="s">
        <v>2876</v>
      </c>
      <c r="C2487" s="2" t="s">
        <v>42</v>
      </c>
      <c r="D2487" s="2" t="s">
        <v>3279</v>
      </c>
      <c r="E2487" s="7" t="s">
        <v>3373</v>
      </c>
      <c r="F2487" s="37">
        <v>42521.722222222219</v>
      </c>
      <c r="G2487" s="37">
        <v>42521.736111111109</v>
      </c>
      <c r="H2487" s="1" t="s">
        <v>6</v>
      </c>
      <c r="I2487" s="1" t="s">
        <v>38</v>
      </c>
      <c r="J2487" s="1">
        <v>42522.699062500003</v>
      </c>
      <c r="K2487" s="1" t="s">
        <v>42</v>
      </c>
      <c r="L2487" s="14">
        <f>24*(TblTimeSheet[[#This Row],[End Date and Time]]-TblTimeSheet[[#This Row],[Start Date and Time]])</f>
        <v>0.33333333337213844</v>
      </c>
      <c r="M24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487" s="14">
        <f>--(0&gt;(TblTimeSheet[[#This Row],[End Date and Time]]-TblTimeSheet[[#This Row],[Start Date and Time]]))</f>
        <v>0</v>
      </c>
    </row>
    <row r="2488" spans="1:14" x14ac:dyDescent="0.25">
      <c r="A2488" s="1"/>
      <c r="B2488" s="2" t="s">
        <v>2876</v>
      </c>
      <c r="C2488" s="2" t="s">
        <v>1469</v>
      </c>
      <c r="D2488" s="2" t="s">
        <v>3279</v>
      </c>
      <c r="E2488" s="7" t="s">
        <v>3854</v>
      </c>
      <c r="F2488" s="37">
        <v>42522.722222222219</v>
      </c>
      <c r="G2488" s="37">
        <v>42522.736111111109</v>
      </c>
      <c r="H2488" s="1" t="s">
        <v>6</v>
      </c>
      <c r="I2488" s="1" t="s">
        <v>38</v>
      </c>
      <c r="J2488" s="1">
        <v>42522.699548611112</v>
      </c>
      <c r="K2488" s="1" t="s">
        <v>1469</v>
      </c>
      <c r="L2488" s="14">
        <f>24*(TblTimeSheet[[#This Row],[End Date and Time]]-TblTimeSheet[[#This Row],[Start Date and Time]])</f>
        <v>0.33333333337213844</v>
      </c>
      <c r="M24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8" s="14">
        <f>--(0&gt;(TblTimeSheet[[#This Row],[End Date and Time]]-TblTimeSheet[[#This Row],[Start Date and Time]]))</f>
        <v>0</v>
      </c>
    </row>
    <row r="2489" spans="1:14" ht="30" x14ac:dyDescent="0.25">
      <c r="A2489" s="1"/>
      <c r="B2489" s="2" t="s">
        <v>2878</v>
      </c>
      <c r="C2489" s="2" t="s">
        <v>1469</v>
      </c>
      <c r="D2489" s="2" t="s">
        <v>3263</v>
      </c>
      <c r="E2489" s="7" t="s">
        <v>3855</v>
      </c>
      <c r="F2489" s="37">
        <v>42522.375</v>
      </c>
      <c r="G2489" s="37">
        <v>42522.458333333336</v>
      </c>
      <c r="H2489" s="1" t="s">
        <v>6</v>
      </c>
      <c r="I2489" s="1" t="s">
        <v>38</v>
      </c>
      <c r="J2489" s="1">
        <v>42522.702731481484</v>
      </c>
      <c r="K2489" s="1" t="s">
        <v>1469</v>
      </c>
      <c r="L2489" s="14">
        <f>24*(TblTimeSheet[[#This Row],[End Date and Time]]-TblTimeSheet[[#This Row],[Start Date and Time]])</f>
        <v>2.0000000000582077</v>
      </c>
      <c r="M24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89" s="14">
        <f>--(0&gt;(TblTimeSheet[[#This Row],[End Date and Time]]-TblTimeSheet[[#This Row],[Start Date and Time]]))</f>
        <v>0</v>
      </c>
    </row>
    <row r="2490" spans="1:14" x14ac:dyDescent="0.25">
      <c r="A2490" s="1"/>
      <c r="B2490" s="2" t="s">
        <v>2878</v>
      </c>
      <c r="C2490" s="2" t="s">
        <v>1469</v>
      </c>
      <c r="D2490" s="2" t="s">
        <v>3263</v>
      </c>
      <c r="E2490" s="7" t="s">
        <v>3374</v>
      </c>
      <c r="F2490" s="37">
        <v>42522.458333333336</v>
      </c>
      <c r="G2490" s="37">
        <v>42522.5625</v>
      </c>
      <c r="H2490" s="1" t="s">
        <v>6</v>
      </c>
      <c r="I2490" s="1" t="s">
        <v>38</v>
      </c>
      <c r="J2490" s="1">
        <v>42522.704826388886</v>
      </c>
      <c r="K2490" s="1" t="s">
        <v>1469</v>
      </c>
      <c r="L2490" s="14">
        <f>24*(TblTimeSheet[[#This Row],[End Date and Time]]-TblTimeSheet[[#This Row],[Start Date and Time]])</f>
        <v>2.4999999999417923</v>
      </c>
      <c r="M24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0" s="14">
        <f>--(0&gt;(TblTimeSheet[[#This Row],[End Date and Time]]-TblTimeSheet[[#This Row],[Start Date and Time]]))</f>
        <v>0</v>
      </c>
    </row>
    <row r="2491" spans="1:14" x14ac:dyDescent="0.25">
      <c r="A2491" s="1"/>
      <c r="B2491" s="2" t="s">
        <v>2878</v>
      </c>
      <c r="C2491" s="2" t="s">
        <v>42</v>
      </c>
      <c r="D2491" s="2" t="s">
        <v>3261</v>
      </c>
      <c r="E2491" s="7" t="s">
        <v>3375</v>
      </c>
      <c r="F2491" s="37">
        <v>42522.652777777781</v>
      </c>
      <c r="G2491" s="37">
        <v>42522.6875</v>
      </c>
      <c r="H2491" s="1" t="s">
        <v>6</v>
      </c>
      <c r="I2491" s="1" t="s">
        <v>38</v>
      </c>
      <c r="J2491" s="1">
        <v>42522.719143518516</v>
      </c>
      <c r="K2491" s="1" t="s">
        <v>42</v>
      </c>
      <c r="L2491" s="14">
        <f>24*(TblTimeSheet[[#This Row],[End Date and Time]]-TblTimeSheet[[#This Row],[Start Date and Time]])</f>
        <v>0.83333333325572312</v>
      </c>
      <c r="M24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1" s="14">
        <f>--(0&gt;(TblTimeSheet[[#This Row],[End Date and Time]]-TblTimeSheet[[#This Row],[Start Date and Time]]))</f>
        <v>0</v>
      </c>
    </row>
    <row r="2492" spans="1:14" x14ac:dyDescent="0.25">
      <c r="A2492" s="1"/>
      <c r="B2492" s="2" t="s">
        <v>2878</v>
      </c>
      <c r="C2492" s="2" t="s">
        <v>1469</v>
      </c>
      <c r="D2492" s="2" t="s">
        <v>3263</v>
      </c>
      <c r="E2492" s="7" t="s">
        <v>3856</v>
      </c>
      <c r="F2492" s="37">
        <v>42522.583333333336</v>
      </c>
      <c r="G2492" s="37">
        <v>42522.708333333336</v>
      </c>
      <c r="H2492" s="1" t="s">
        <v>6</v>
      </c>
      <c r="I2492" s="1" t="s">
        <v>38</v>
      </c>
      <c r="J2492" s="1">
        <v>42522.722534722219</v>
      </c>
      <c r="K2492" s="1" t="s">
        <v>1469</v>
      </c>
      <c r="L2492" s="14">
        <f>24*(TblTimeSheet[[#This Row],[End Date and Time]]-TblTimeSheet[[#This Row],[Start Date and Time]])</f>
        <v>3</v>
      </c>
      <c r="M24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2" s="14">
        <f>--(0&gt;(TblTimeSheet[[#This Row],[End Date and Time]]-TblTimeSheet[[#This Row],[Start Date and Time]]))</f>
        <v>0</v>
      </c>
    </row>
    <row r="2493" spans="1:14" ht="30" x14ac:dyDescent="0.25">
      <c r="A2493" s="1"/>
      <c r="B2493" s="2" t="s">
        <v>2876</v>
      </c>
      <c r="C2493" s="2" t="s">
        <v>42</v>
      </c>
      <c r="D2493" s="2" t="s">
        <v>3279</v>
      </c>
      <c r="E2493" s="7" t="s">
        <v>3376</v>
      </c>
      <c r="F2493" s="37">
        <v>42522.6875</v>
      </c>
      <c r="G2493" s="37">
        <v>42522.725694444445</v>
      </c>
      <c r="H2493" s="1" t="s">
        <v>6</v>
      </c>
      <c r="I2493" s="1" t="s">
        <v>38</v>
      </c>
      <c r="J2493" s="1">
        <v>42522.727592592593</v>
      </c>
      <c r="K2493" s="1" t="s">
        <v>42</v>
      </c>
      <c r="L2493" s="14">
        <f>24*(TblTimeSheet[[#This Row],[End Date and Time]]-TblTimeSheet[[#This Row],[Start Date and Time]])</f>
        <v>0.91666666668606922</v>
      </c>
      <c r="M24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3" s="14">
        <f>--(0&gt;(TblTimeSheet[[#This Row],[End Date and Time]]-TblTimeSheet[[#This Row],[Start Date and Time]]))</f>
        <v>0</v>
      </c>
    </row>
    <row r="2494" spans="1:14" x14ac:dyDescent="0.25">
      <c r="A2494" s="1"/>
      <c r="B2494" s="2" t="s">
        <v>2878</v>
      </c>
      <c r="C2494" s="2" t="s">
        <v>171</v>
      </c>
      <c r="D2494" s="2" t="s">
        <v>3263</v>
      </c>
      <c r="E2494" s="7" t="s">
        <v>3377</v>
      </c>
      <c r="F2494" s="37">
        <v>42522.388888888891</v>
      </c>
      <c r="G2494" s="37">
        <v>42522.736111111109</v>
      </c>
      <c r="H2494" s="1" t="s">
        <v>6</v>
      </c>
      <c r="I2494" s="1" t="s">
        <v>38</v>
      </c>
      <c r="J2494" s="1">
        <v>42522.742442129631</v>
      </c>
      <c r="K2494" s="1" t="s">
        <v>171</v>
      </c>
      <c r="L2494" s="14">
        <f>24*(TblTimeSheet[[#This Row],[End Date and Time]]-TblTimeSheet[[#This Row],[Start Date and Time]])</f>
        <v>8.3333333332557231</v>
      </c>
      <c r="M24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4" s="14">
        <f>--(0&gt;(TblTimeSheet[[#This Row],[End Date and Time]]-TblTimeSheet[[#This Row],[Start Date and Time]]))</f>
        <v>0</v>
      </c>
    </row>
    <row r="2495" spans="1:14" x14ac:dyDescent="0.25">
      <c r="A2495" s="1"/>
      <c r="B2495" s="2" t="s">
        <v>2878</v>
      </c>
      <c r="C2495" s="2" t="s">
        <v>116</v>
      </c>
      <c r="D2495" s="2" t="s">
        <v>3263</v>
      </c>
      <c r="E2495" s="7" t="s">
        <v>3378</v>
      </c>
      <c r="F2495" s="37">
        <v>42522.395833333336</v>
      </c>
      <c r="G2495" s="37">
        <v>42522.802083333336</v>
      </c>
      <c r="H2495" s="1" t="s">
        <v>6</v>
      </c>
      <c r="I2495" s="1" t="s">
        <v>38</v>
      </c>
      <c r="J2495" s="1">
        <v>42522.804976851854</v>
      </c>
      <c r="K2495" s="1" t="s">
        <v>701</v>
      </c>
      <c r="L2495" s="14">
        <f>24*(TblTimeSheet[[#This Row],[End Date and Time]]-TblTimeSheet[[#This Row],[Start Date and Time]])</f>
        <v>9.75</v>
      </c>
      <c r="M24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5" s="14">
        <f>--(0&gt;(TblTimeSheet[[#This Row],[End Date and Time]]-TblTimeSheet[[#This Row],[Start Date and Time]]))</f>
        <v>0</v>
      </c>
    </row>
    <row r="2496" spans="1:14" x14ac:dyDescent="0.25">
      <c r="A2496" s="1"/>
      <c r="B2496" s="2" t="s">
        <v>2878</v>
      </c>
      <c r="C2496" s="2" t="s">
        <v>116</v>
      </c>
      <c r="D2496" s="2" t="s">
        <v>3263</v>
      </c>
      <c r="E2496" s="7" t="s">
        <v>3379</v>
      </c>
      <c r="F2496" s="37">
        <v>42521.479166666664</v>
      </c>
      <c r="G2496" s="37">
        <v>42521.770833333336</v>
      </c>
      <c r="H2496" s="1" t="s">
        <v>6</v>
      </c>
      <c r="I2496" s="1" t="s">
        <v>38</v>
      </c>
      <c r="J2496" s="1">
        <v>42522.805891203701</v>
      </c>
      <c r="K2496" s="1" t="s">
        <v>701</v>
      </c>
      <c r="L2496" s="14">
        <f>24*(TblTimeSheet[[#This Row],[End Date and Time]]-TblTimeSheet[[#This Row],[Start Date and Time]])</f>
        <v>7.0000000001164153</v>
      </c>
      <c r="M24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6" s="14">
        <f>--(0&gt;(TblTimeSheet[[#This Row],[End Date and Time]]-TblTimeSheet[[#This Row],[Start Date and Time]]))</f>
        <v>0</v>
      </c>
    </row>
    <row r="2497" spans="1:14" x14ac:dyDescent="0.25">
      <c r="A2497" s="1"/>
      <c r="B2497" s="2" t="s">
        <v>2878</v>
      </c>
      <c r="C2497" s="2" t="s">
        <v>144</v>
      </c>
      <c r="D2497" s="2" t="s">
        <v>3261</v>
      </c>
      <c r="E2497" s="7" t="s">
        <v>3857</v>
      </c>
      <c r="F2497" s="37">
        <v>42522.395833333336</v>
      </c>
      <c r="G2497" s="37">
        <v>42522.541666666664</v>
      </c>
      <c r="H2497" s="1" t="s">
        <v>6</v>
      </c>
      <c r="I2497" s="1" t="s">
        <v>38</v>
      </c>
      <c r="J2497" s="1">
        <v>42523.544606481482</v>
      </c>
      <c r="K2497" s="1" t="s">
        <v>144</v>
      </c>
      <c r="L2497" s="14">
        <f>24*(TblTimeSheet[[#This Row],[End Date and Time]]-TblTimeSheet[[#This Row],[Start Date and Time]])</f>
        <v>3.4999999998835847</v>
      </c>
      <c r="M24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7" s="14">
        <f>--(0&gt;(TblTimeSheet[[#This Row],[End Date and Time]]-TblTimeSheet[[#This Row],[Start Date and Time]]))</f>
        <v>0</v>
      </c>
    </row>
    <row r="2498" spans="1:14" x14ac:dyDescent="0.25">
      <c r="A2498" s="1"/>
      <c r="B2498" s="2" t="s">
        <v>2878</v>
      </c>
      <c r="C2498" s="2" t="s">
        <v>144</v>
      </c>
      <c r="D2498" s="2" t="s">
        <v>3261</v>
      </c>
      <c r="E2498" s="7" t="s">
        <v>3380</v>
      </c>
      <c r="F2498" s="37">
        <v>42522.604166666664</v>
      </c>
      <c r="G2498" s="37">
        <v>42522.666666666664</v>
      </c>
      <c r="H2498" s="1" t="s">
        <v>6</v>
      </c>
      <c r="I2498" s="1" t="s">
        <v>38</v>
      </c>
      <c r="J2498" s="1">
        <v>42523.545081018521</v>
      </c>
      <c r="K2498" s="1" t="s">
        <v>144</v>
      </c>
      <c r="L2498" s="14">
        <f>24*(TblTimeSheet[[#This Row],[End Date and Time]]-TblTimeSheet[[#This Row],[Start Date and Time]])</f>
        <v>1.5</v>
      </c>
      <c r="M24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8" s="14">
        <f>--(0&gt;(TblTimeSheet[[#This Row],[End Date and Time]]-TblTimeSheet[[#This Row],[Start Date and Time]]))</f>
        <v>0</v>
      </c>
    </row>
    <row r="2499" spans="1:14" ht="30" x14ac:dyDescent="0.25">
      <c r="A2499" s="1"/>
      <c r="B2499" s="2" t="s">
        <v>2878</v>
      </c>
      <c r="C2499" s="2" t="s">
        <v>144</v>
      </c>
      <c r="D2499" s="2" t="s">
        <v>3261</v>
      </c>
      <c r="E2499" s="7" t="s">
        <v>3381</v>
      </c>
      <c r="F2499" s="37">
        <v>42523.381944444445</v>
      </c>
      <c r="G2499" s="37">
        <v>42523.458333333336</v>
      </c>
      <c r="H2499" s="1" t="s">
        <v>6</v>
      </c>
      <c r="I2499" s="1" t="s">
        <v>38</v>
      </c>
      <c r="J2499" s="1">
        <v>42523.54614583333</v>
      </c>
      <c r="K2499" s="1" t="s">
        <v>144</v>
      </c>
      <c r="L2499" s="14">
        <f>24*(TblTimeSheet[[#This Row],[End Date and Time]]-TblTimeSheet[[#This Row],[Start Date and Time]])</f>
        <v>1.8333333333721384</v>
      </c>
      <c r="M24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499" s="14">
        <f>--(0&gt;(TblTimeSheet[[#This Row],[End Date and Time]]-TblTimeSheet[[#This Row],[Start Date and Time]]))</f>
        <v>0</v>
      </c>
    </row>
    <row r="2500" spans="1:14" x14ac:dyDescent="0.25">
      <c r="A2500" s="1"/>
      <c r="B2500" s="2" t="s">
        <v>2878</v>
      </c>
      <c r="C2500" s="2" t="s">
        <v>144</v>
      </c>
      <c r="D2500" s="2" t="s">
        <v>3263</v>
      </c>
      <c r="E2500" s="7" t="s">
        <v>3382</v>
      </c>
      <c r="F2500" s="37">
        <v>42523.46875</v>
      </c>
      <c r="G2500" s="37">
        <v>42523.631944444445</v>
      </c>
      <c r="H2500" s="1" t="s">
        <v>6</v>
      </c>
      <c r="I2500" s="1" t="s">
        <v>38</v>
      </c>
      <c r="J2500" s="1">
        <v>42523.635208333333</v>
      </c>
      <c r="K2500" s="1" t="s">
        <v>144</v>
      </c>
      <c r="L2500" s="14">
        <f>24*(TblTimeSheet[[#This Row],[End Date and Time]]-TblTimeSheet[[#This Row],[Start Date and Time]])</f>
        <v>3.9166666666860692</v>
      </c>
      <c r="M25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0" s="14">
        <f>--(0&gt;(TblTimeSheet[[#This Row],[End Date and Time]]-TblTimeSheet[[#This Row],[Start Date and Time]]))</f>
        <v>0</v>
      </c>
    </row>
    <row r="2501" spans="1:14" x14ac:dyDescent="0.25">
      <c r="A2501" s="1"/>
      <c r="B2501" s="2" t="s">
        <v>2878</v>
      </c>
      <c r="C2501" s="2" t="s">
        <v>144</v>
      </c>
      <c r="D2501" s="2" t="s">
        <v>3263</v>
      </c>
      <c r="E2501" s="7" t="s">
        <v>3383</v>
      </c>
      <c r="F2501" s="37">
        <v>42523.638888888891</v>
      </c>
      <c r="G2501" s="37">
        <v>42523.659722222219</v>
      </c>
      <c r="H2501" s="1" t="s">
        <v>6</v>
      </c>
      <c r="I2501" s="1" t="s">
        <v>38</v>
      </c>
      <c r="J2501" s="1">
        <v>42523.677777777775</v>
      </c>
      <c r="K2501" s="1" t="s">
        <v>144</v>
      </c>
      <c r="L2501" s="14">
        <f>24*(TblTimeSheet[[#This Row],[End Date and Time]]-TblTimeSheet[[#This Row],[Start Date and Time]])</f>
        <v>0.49999999988358468</v>
      </c>
      <c r="M25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1" s="14">
        <f>--(0&gt;(TblTimeSheet[[#This Row],[End Date and Time]]-TblTimeSheet[[#This Row],[Start Date and Time]]))</f>
        <v>0</v>
      </c>
    </row>
    <row r="2502" spans="1:14" ht="30" x14ac:dyDescent="0.25">
      <c r="A2502" s="1"/>
      <c r="B2502" s="2" t="s">
        <v>2878</v>
      </c>
      <c r="C2502" s="2" t="s">
        <v>1469</v>
      </c>
      <c r="D2502" s="2" t="s">
        <v>3263</v>
      </c>
      <c r="E2502" s="7" t="s">
        <v>3384</v>
      </c>
      <c r="F2502" s="37">
        <v>42523.5</v>
      </c>
      <c r="G2502" s="37">
        <v>42523.5625</v>
      </c>
      <c r="H2502" s="1" t="s">
        <v>6</v>
      </c>
      <c r="I2502" s="1" t="s">
        <v>38</v>
      </c>
      <c r="J2502" s="1">
        <v>42523.726747685185</v>
      </c>
      <c r="K2502" s="1" t="s">
        <v>1469</v>
      </c>
      <c r="L2502" s="14">
        <f>24*(TblTimeSheet[[#This Row],[End Date and Time]]-TblTimeSheet[[#This Row],[Start Date and Time]])</f>
        <v>1.5</v>
      </c>
      <c r="M25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2" s="14">
        <f>--(0&gt;(TblTimeSheet[[#This Row],[End Date and Time]]-TblTimeSheet[[#This Row],[Start Date and Time]]))</f>
        <v>0</v>
      </c>
    </row>
    <row r="2503" spans="1:14" x14ac:dyDescent="0.25">
      <c r="A2503" s="1"/>
      <c r="B2503" s="2" t="s">
        <v>2878</v>
      </c>
      <c r="C2503" s="2" t="s">
        <v>1469</v>
      </c>
      <c r="D2503" s="2" t="s">
        <v>3263</v>
      </c>
      <c r="E2503" s="7" t="s">
        <v>3385</v>
      </c>
      <c r="F2503" s="37">
        <v>42523.583333333336</v>
      </c>
      <c r="G2503" s="37">
        <v>42523.645833333336</v>
      </c>
      <c r="H2503" s="1" t="s">
        <v>6</v>
      </c>
      <c r="I2503" s="1" t="s">
        <v>38</v>
      </c>
      <c r="J2503" s="1">
        <v>42523.728159722225</v>
      </c>
      <c r="K2503" s="1" t="s">
        <v>1469</v>
      </c>
      <c r="L2503" s="14">
        <f>24*(TblTimeSheet[[#This Row],[End Date and Time]]-TblTimeSheet[[#This Row],[Start Date and Time]])</f>
        <v>1.5</v>
      </c>
      <c r="M25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3" s="14">
        <f>--(0&gt;(TblTimeSheet[[#This Row],[End Date and Time]]-TblTimeSheet[[#This Row],[Start Date and Time]]))</f>
        <v>0</v>
      </c>
    </row>
    <row r="2504" spans="1:14" x14ac:dyDescent="0.25">
      <c r="A2504" s="1"/>
      <c r="B2504" s="2" t="s">
        <v>2878</v>
      </c>
      <c r="C2504" s="2" t="s">
        <v>1469</v>
      </c>
      <c r="D2504" s="2" t="s">
        <v>3263</v>
      </c>
      <c r="E2504" s="7" t="s">
        <v>3386</v>
      </c>
      <c r="F2504" s="37">
        <v>42523.666666666664</v>
      </c>
      <c r="G2504" s="37">
        <v>42523.729166666664</v>
      </c>
      <c r="H2504" s="1" t="s">
        <v>6</v>
      </c>
      <c r="I2504" s="1" t="s">
        <v>38</v>
      </c>
      <c r="J2504" s="1">
        <v>42523.729618055557</v>
      </c>
      <c r="K2504" s="1" t="s">
        <v>1469</v>
      </c>
      <c r="L2504" s="14">
        <f>24*(TblTimeSheet[[#This Row],[End Date and Time]]-TblTimeSheet[[#This Row],[Start Date and Time]])</f>
        <v>1.5</v>
      </c>
      <c r="M25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4" s="14">
        <f>--(0&gt;(TblTimeSheet[[#This Row],[End Date and Time]]-TblTimeSheet[[#This Row],[Start Date and Time]]))</f>
        <v>0</v>
      </c>
    </row>
    <row r="2505" spans="1:14" x14ac:dyDescent="0.25">
      <c r="A2505" s="1"/>
      <c r="B2505" s="2" t="s">
        <v>2878</v>
      </c>
      <c r="C2505" s="2" t="s">
        <v>171</v>
      </c>
      <c r="D2505" s="2" t="s">
        <v>3263</v>
      </c>
      <c r="E2505" s="7" t="s">
        <v>3858</v>
      </c>
      <c r="F2505" s="37">
        <v>42523.402777777781</v>
      </c>
      <c r="G2505" s="37">
        <v>42523.736111111109</v>
      </c>
      <c r="H2505" s="1" t="s">
        <v>6</v>
      </c>
      <c r="I2505" s="1" t="s">
        <v>38</v>
      </c>
      <c r="J2505" s="1">
        <v>42523.736909722225</v>
      </c>
      <c r="K2505" s="1" t="s">
        <v>171</v>
      </c>
      <c r="L2505" s="14">
        <f>24*(TblTimeSheet[[#This Row],[End Date and Time]]-TblTimeSheet[[#This Row],[Start Date and Time]])</f>
        <v>7.9999999998835847</v>
      </c>
      <c r="M25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5" s="14">
        <f>--(0&gt;(TblTimeSheet[[#This Row],[End Date and Time]]-TblTimeSheet[[#This Row],[Start Date and Time]]))</f>
        <v>0</v>
      </c>
    </row>
    <row r="2506" spans="1:14" x14ac:dyDescent="0.25">
      <c r="A2506" s="1"/>
      <c r="B2506" s="2" t="s">
        <v>2878</v>
      </c>
      <c r="C2506" s="2" t="s">
        <v>116</v>
      </c>
      <c r="D2506" s="2" t="s">
        <v>3263</v>
      </c>
      <c r="E2506" s="7" t="s">
        <v>3387</v>
      </c>
      <c r="F2506" s="37">
        <v>42523.479166666664</v>
      </c>
      <c r="G2506" s="37">
        <v>42523.791666666664</v>
      </c>
      <c r="H2506" s="1" t="s">
        <v>6</v>
      </c>
      <c r="I2506" s="1" t="s">
        <v>38</v>
      </c>
      <c r="J2506" s="1">
        <v>42523.800486111111</v>
      </c>
      <c r="K2506" s="1" t="s">
        <v>701</v>
      </c>
      <c r="L2506" s="14">
        <f>24*(TblTimeSheet[[#This Row],[End Date and Time]]-TblTimeSheet[[#This Row],[Start Date and Time]])</f>
        <v>7.5</v>
      </c>
      <c r="M25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6" s="14">
        <f>--(0&gt;(TblTimeSheet[[#This Row],[End Date and Time]]-TblTimeSheet[[#This Row],[Start Date and Time]]))</f>
        <v>0</v>
      </c>
    </row>
    <row r="2507" spans="1:14" x14ac:dyDescent="0.25">
      <c r="A2507" s="1"/>
      <c r="B2507" s="2" t="s">
        <v>2878</v>
      </c>
      <c r="C2507" s="2" t="s">
        <v>144</v>
      </c>
      <c r="D2507" s="2" t="s">
        <v>3261</v>
      </c>
      <c r="E2507" s="7" t="s">
        <v>3859</v>
      </c>
      <c r="F2507" s="37">
        <v>42523.670138888891</v>
      </c>
      <c r="G2507" s="37">
        <v>42523.743055555555</v>
      </c>
      <c r="H2507" s="1" t="s">
        <v>6</v>
      </c>
      <c r="I2507" s="1" t="s">
        <v>38</v>
      </c>
      <c r="J2507" s="1">
        <v>42524.380636574075</v>
      </c>
      <c r="K2507" s="1" t="s">
        <v>144</v>
      </c>
      <c r="L2507" s="14">
        <f>24*(TblTimeSheet[[#This Row],[End Date and Time]]-TblTimeSheet[[#This Row],[Start Date and Time]])</f>
        <v>1.7499999999417923</v>
      </c>
      <c r="M25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7" s="14">
        <f>--(0&gt;(TblTimeSheet[[#This Row],[End Date and Time]]-TblTimeSheet[[#This Row],[Start Date and Time]]))</f>
        <v>0</v>
      </c>
    </row>
    <row r="2508" spans="1:14" x14ac:dyDescent="0.25">
      <c r="A2508" s="1"/>
      <c r="B2508" s="2" t="s">
        <v>2878</v>
      </c>
      <c r="C2508" s="2" t="s">
        <v>143</v>
      </c>
      <c r="D2508" s="2" t="s">
        <v>3261</v>
      </c>
      <c r="E2508" s="7" t="s">
        <v>3388</v>
      </c>
      <c r="F2508" s="37">
        <v>42520.583333333336</v>
      </c>
      <c r="G2508" s="37">
        <v>42520.729166666664</v>
      </c>
      <c r="H2508" s="1" t="s">
        <v>6</v>
      </c>
      <c r="I2508" s="1" t="s">
        <v>38</v>
      </c>
      <c r="J2508" s="1">
        <v>42524.385983796295</v>
      </c>
      <c r="K2508" s="1" t="s">
        <v>143</v>
      </c>
      <c r="L2508" s="14">
        <f>24*(TblTimeSheet[[#This Row],[End Date and Time]]-TblTimeSheet[[#This Row],[Start Date and Time]])</f>
        <v>3.4999999998835847</v>
      </c>
      <c r="M25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8" s="14">
        <f>--(0&gt;(TblTimeSheet[[#This Row],[End Date and Time]]-TblTimeSheet[[#This Row],[Start Date and Time]]))</f>
        <v>0</v>
      </c>
    </row>
    <row r="2509" spans="1:14" x14ac:dyDescent="0.25">
      <c r="A2509" s="1"/>
      <c r="B2509" s="2" t="s">
        <v>2878</v>
      </c>
      <c r="C2509" s="2" t="s">
        <v>143</v>
      </c>
      <c r="D2509" s="2" t="s">
        <v>3263</v>
      </c>
      <c r="E2509" s="7" t="s">
        <v>3389</v>
      </c>
      <c r="F2509" s="37">
        <v>42521.416666666664</v>
      </c>
      <c r="G2509" s="37">
        <v>42521.541666666664</v>
      </c>
      <c r="H2509" s="1" t="s">
        <v>6</v>
      </c>
      <c r="I2509" s="1" t="s">
        <v>38</v>
      </c>
      <c r="J2509" s="1">
        <v>42524.387731481482</v>
      </c>
      <c r="K2509" s="1" t="s">
        <v>143</v>
      </c>
      <c r="L2509" s="14">
        <f>24*(TblTimeSheet[[#This Row],[End Date and Time]]-TblTimeSheet[[#This Row],[Start Date and Time]])</f>
        <v>3</v>
      </c>
      <c r="M25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09" s="14">
        <f>--(0&gt;(TblTimeSheet[[#This Row],[End Date and Time]]-TblTimeSheet[[#This Row],[Start Date and Time]]))</f>
        <v>0</v>
      </c>
    </row>
    <row r="2510" spans="1:14" x14ac:dyDescent="0.25">
      <c r="A2510" s="1"/>
      <c r="B2510" s="2" t="s">
        <v>2878</v>
      </c>
      <c r="C2510" s="2" t="s">
        <v>143</v>
      </c>
      <c r="D2510" s="2" t="s">
        <v>3263</v>
      </c>
      <c r="E2510" s="7" t="s">
        <v>3390</v>
      </c>
      <c r="F2510" s="37">
        <v>42521.583333333336</v>
      </c>
      <c r="G2510" s="37">
        <v>42521.729166666664</v>
      </c>
      <c r="H2510" s="1" t="s">
        <v>6</v>
      </c>
      <c r="I2510" s="1" t="s">
        <v>38</v>
      </c>
      <c r="J2510" s="1">
        <v>42524.388414351852</v>
      </c>
      <c r="K2510" s="1" t="s">
        <v>143</v>
      </c>
      <c r="L2510" s="14">
        <f>24*(TblTimeSheet[[#This Row],[End Date and Time]]-TblTimeSheet[[#This Row],[Start Date and Time]])</f>
        <v>3.4999999998835847</v>
      </c>
      <c r="M25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0" s="14">
        <f>--(0&gt;(TblTimeSheet[[#This Row],[End Date and Time]]-TblTimeSheet[[#This Row],[Start Date and Time]]))</f>
        <v>0</v>
      </c>
    </row>
    <row r="2511" spans="1:14" x14ac:dyDescent="0.25">
      <c r="A2511" s="1"/>
      <c r="B2511" s="2" t="s">
        <v>2878</v>
      </c>
      <c r="C2511" s="2" t="s">
        <v>143</v>
      </c>
      <c r="D2511" s="2" t="s">
        <v>3263</v>
      </c>
      <c r="E2511" s="7" t="s">
        <v>3391</v>
      </c>
      <c r="F2511" s="37">
        <v>42522.375</v>
      </c>
      <c r="G2511" s="37">
        <v>42522.541666666664</v>
      </c>
      <c r="H2511" s="1" t="s">
        <v>6</v>
      </c>
      <c r="I2511" s="1" t="s">
        <v>38</v>
      </c>
      <c r="J2511" s="1">
        <v>42524.389398148145</v>
      </c>
      <c r="K2511" s="1" t="s">
        <v>143</v>
      </c>
      <c r="L2511" s="14">
        <f>24*(TblTimeSheet[[#This Row],[End Date and Time]]-TblTimeSheet[[#This Row],[Start Date and Time]])</f>
        <v>3.9999999999417923</v>
      </c>
      <c r="M25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1" s="14">
        <f>--(0&gt;(TblTimeSheet[[#This Row],[End Date and Time]]-TblTimeSheet[[#This Row],[Start Date and Time]]))</f>
        <v>0</v>
      </c>
    </row>
    <row r="2512" spans="1:14" x14ac:dyDescent="0.25">
      <c r="A2512" s="1"/>
      <c r="B2512" s="2" t="s">
        <v>2878</v>
      </c>
      <c r="C2512" s="2" t="s">
        <v>143</v>
      </c>
      <c r="D2512" s="2" t="s">
        <v>3263</v>
      </c>
      <c r="E2512" s="7" t="s">
        <v>3392</v>
      </c>
      <c r="F2512" s="37">
        <v>42522.583333333336</v>
      </c>
      <c r="G2512" s="37">
        <v>42522.729166666664</v>
      </c>
      <c r="H2512" s="1" t="s">
        <v>6</v>
      </c>
      <c r="I2512" s="1" t="s">
        <v>38</v>
      </c>
      <c r="J2512" s="1">
        <v>42524.389953703707</v>
      </c>
      <c r="K2512" s="1" t="s">
        <v>143</v>
      </c>
      <c r="L2512" s="14">
        <f>24*(TblTimeSheet[[#This Row],[End Date and Time]]-TblTimeSheet[[#This Row],[Start Date and Time]])</f>
        <v>3.4999999998835847</v>
      </c>
      <c r="M25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2" s="14">
        <f>--(0&gt;(TblTimeSheet[[#This Row],[End Date and Time]]-TblTimeSheet[[#This Row],[Start Date and Time]]))</f>
        <v>0</v>
      </c>
    </row>
    <row r="2513" spans="1:14" x14ac:dyDescent="0.25">
      <c r="A2513" s="1"/>
      <c r="B2513" s="2" t="s">
        <v>2878</v>
      </c>
      <c r="C2513" s="2" t="s">
        <v>143</v>
      </c>
      <c r="D2513" s="2" t="s">
        <v>3263</v>
      </c>
      <c r="E2513" s="7" t="s">
        <v>3393</v>
      </c>
      <c r="F2513" s="37">
        <v>42523.375</v>
      </c>
      <c r="G2513" s="37">
        <v>42523.541666666664</v>
      </c>
      <c r="H2513" s="1" t="s">
        <v>6</v>
      </c>
      <c r="I2513" s="1" t="s">
        <v>38</v>
      </c>
      <c r="J2513" s="1">
        <v>42524.390543981484</v>
      </c>
      <c r="K2513" s="1" t="s">
        <v>143</v>
      </c>
      <c r="L2513" s="14">
        <f>24*(TblTimeSheet[[#This Row],[End Date and Time]]-TblTimeSheet[[#This Row],[Start Date and Time]])</f>
        <v>3.9999999999417923</v>
      </c>
      <c r="M25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3" s="14">
        <f>--(0&gt;(TblTimeSheet[[#This Row],[End Date and Time]]-TblTimeSheet[[#This Row],[Start Date and Time]]))</f>
        <v>0</v>
      </c>
    </row>
    <row r="2514" spans="1:14" x14ac:dyDescent="0.25">
      <c r="A2514" s="1"/>
      <c r="B2514" s="2" t="s">
        <v>2878</v>
      </c>
      <c r="C2514" s="2" t="s">
        <v>143</v>
      </c>
      <c r="D2514" s="2" t="s">
        <v>3263</v>
      </c>
      <c r="E2514" s="7" t="s">
        <v>3394</v>
      </c>
      <c r="F2514" s="37">
        <v>42523.583333333336</v>
      </c>
      <c r="G2514" s="37">
        <v>42523.729166666664</v>
      </c>
      <c r="H2514" s="1" t="s">
        <v>6</v>
      </c>
      <c r="I2514" s="1" t="s">
        <v>38</v>
      </c>
      <c r="J2514" s="1">
        <v>42524.391064814816</v>
      </c>
      <c r="K2514" s="1" t="s">
        <v>143</v>
      </c>
      <c r="L2514" s="14">
        <f>24*(TblTimeSheet[[#This Row],[End Date and Time]]-TblTimeSheet[[#This Row],[Start Date and Time]])</f>
        <v>3.4999999998835847</v>
      </c>
      <c r="M25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4" s="14">
        <f>--(0&gt;(TblTimeSheet[[#This Row],[End Date and Time]]-TblTimeSheet[[#This Row],[Start Date and Time]]))</f>
        <v>0</v>
      </c>
    </row>
    <row r="2515" spans="1:14" ht="30" x14ac:dyDescent="0.25">
      <c r="A2515" s="1"/>
      <c r="B2515" s="2" t="s">
        <v>2878</v>
      </c>
      <c r="C2515" s="2" t="s">
        <v>144</v>
      </c>
      <c r="D2515" s="2" t="s">
        <v>3263</v>
      </c>
      <c r="E2515" s="7" t="s">
        <v>3860</v>
      </c>
      <c r="F2515" s="37">
        <v>42524.375</v>
      </c>
      <c r="G2515" s="37">
        <v>42524.677083333336</v>
      </c>
      <c r="H2515" s="1" t="s">
        <v>6</v>
      </c>
      <c r="I2515" s="1" t="s">
        <v>38</v>
      </c>
      <c r="J2515" s="1">
        <v>42524.676944444444</v>
      </c>
      <c r="K2515" s="1" t="s">
        <v>144</v>
      </c>
      <c r="L2515" s="14">
        <f>24*(TblTimeSheet[[#This Row],[End Date and Time]]-TblTimeSheet[[#This Row],[Start Date and Time]])</f>
        <v>7.2500000000582077</v>
      </c>
      <c r="M25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5" s="14">
        <f>--(0&gt;(TblTimeSheet[[#This Row],[End Date and Time]]-TblTimeSheet[[#This Row],[Start Date and Time]]))</f>
        <v>0</v>
      </c>
    </row>
    <row r="2516" spans="1:14" x14ac:dyDescent="0.25">
      <c r="A2516" s="1"/>
      <c r="B2516" s="2" t="s">
        <v>2876</v>
      </c>
      <c r="C2516" s="2" t="s">
        <v>144</v>
      </c>
      <c r="D2516" s="2" t="s">
        <v>3279</v>
      </c>
      <c r="E2516" s="7" t="s">
        <v>3395</v>
      </c>
      <c r="F2516" s="37">
        <v>42524.6875</v>
      </c>
      <c r="G2516" s="37">
        <v>42524.711805555555</v>
      </c>
      <c r="H2516" s="1" t="s">
        <v>6</v>
      </c>
      <c r="I2516" s="1" t="s">
        <v>38</v>
      </c>
      <c r="J2516" s="1">
        <v>42524.722500000003</v>
      </c>
      <c r="K2516" s="1" t="s">
        <v>144</v>
      </c>
      <c r="L2516" s="14">
        <f>24*(TblTimeSheet[[#This Row],[End Date and Time]]-TblTimeSheet[[#This Row],[Start Date and Time]])</f>
        <v>0.58333333331393078</v>
      </c>
      <c r="M25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6" s="14">
        <f>--(0&gt;(TblTimeSheet[[#This Row],[End Date and Time]]-TblTimeSheet[[#This Row],[Start Date and Time]]))</f>
        <v>0</v>
      </c>
    </row>
    <row r="2517" spans="1:14" x14ac:dyDescent="0.25">
      <c r="A2517" s="1"/>
      <c r="B2517" s="2" t="s">
        <v>2876</v>
      </c>
      <c r="C2517" s="2" t="s">
        <v>1469</v>
      </c>
      <c r="D2517" s="2" t="s">
        <v>3279</v>
      </c>
      <c r="E2517" s="7" t="s">
        <v>3395</v>
      </c>
      <c r="F2517" s="37">
        <v>42524.666666666664</v>
      </c>
      <c r="G2517" s="37">
        <v>42524.6875</v>
      </c>
      <c r="H2517" s="1" t="s">
        <v>6</v>
      </c>
      <c r="I2517" s="1" t="s">
        <v>38</v>
      </c>
      <c r="J2517" s="1">
        <v>42524.725347222222</v>
      </c>
      <c r="K2517" s="1" t="s">
        <v>1469</v>
      </c>
      <c r="L2517" s="14">
        <f>24*(TblTimeSheet[[#This Row],[End Date and Time]]-TblTimeSheet[[#This Row],[Start Date and Time]])</f>
        <v>0.50000000005820766</v>
      </c>
      <c r="M25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7" s="14">
        <f>--(0&gt;(TblTimeSheet[[#This Row],[End Date and Time]]-TblTimeSheet[[#This Row],[Start Date and Time]]))</f>
        <v>0</v>
      </c>
    </row>
    <row r="2518" spans="1:14" x14ac:dyDescent="0.25">
      <c r="A2518" s="1"/>
      <c r="B2518" s="2" t="s">
        <v>2876</v>
      </c>
      <c r="C2518" s="2" t="s">
        <v>42</v>
      </c>
      <c r="D2518" s="2" t="s">
        <v>3279</v>
      </c>
      <c r="E2518" s="7" t="s">
        <v>3395</v>
      </c>
      <c r="F2518" s="37">
        <v>42524.6875</v>
      </c>
      <c r="G2518" s="37">
        <v>42524.711805555555</v>
      </c>
      <c r="H2518" s="1" t="s">
        <v>6</v>
      </c>
      <c r="I2518" s="1" t="s">
        <v>38</v>
      </c>
      <c r="J2518" s="1">
        <v>42525.542060185187</v>
      </c>
      <c r="K2518" s="1" t="s">
        <v>42</v>
      </c>
      <c r="L2518" s="14">
        <f>24*(TblTimeSheet[[#This Row],[End Date and Time]]-TblTimeSheet[[#This Row],[Start Date and Time]])</f>
        <v>0.58333333331393078</v>
      </c>
      <c r="M25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8" s="14">
        <f>--(0&gt;(TblTimeSheet[[#This Row],[End Date and Time]]-TblTimeSheet[[#This Row],[Start Date and Time]]))</f>
        <v>0</v>
      </c>
    </row>
    <row r="2519" spans="1:14" x14ac:dyDescent="0.25">
      <c r="A2519" s="1"/>
      <c r="B2519" s="2" t="s">
        <v>2876</v>
      </c>
      <c r="C2519" s="2" t="s">
        <v>42</v>
      </c>
      <c r="D2519" s="2" t="s">
        <v>3279</v>
      </c>
      <c r="E2519" s="7" t="s">
        <v>3396</v>
      </c>
      <c r="F2519" s="37">
        <v>42525.5</v>
      </c>
      <c r="G2519" s="37">
        <v>42525.538194444445</v>
      </c>
      <c r="H2519" s="1" t="s">
        <v>6</v>
      </c>
      <c r="I2519" s="1" t="s">
        <v>38</v>
      </c>
      <c r="J2519" s="1">
        <v>42525.539166666669</v>
      </c>
      <c r="K2519" s="1" t="s">
        <v>42</v>
      </c>
      <c r="L2519" s="14">
        <f>24*(TblTimeSheet[[#This Row],[End Date and Time]]-TblTimeSheet[[#This Row],[Start Date and Time]])</f>
        <v>0.91666666668606922</v>
      </c>
      <c r="M25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19" s="14">
        <f>--(0&gt;(TblTimeSheet[[#This Row],[End Date and Time]]-TblTimeSheet[[#This Row],[Start Date and Time]]))</f>
        <v>0</v>
      </c>
    </row>
    <row r="2520" spans="1:14" x14ac:dyDescent="0.25">
      <c r="A2520" s="1"/>
      <c r="B2520" s="2" t="s">
        <v>2878</v>
      </c>
      <c r="C2520" s="2" t="s">
        <v>42</v>
      </c>
      <c r="D2520" s="2" t="s">
        <v>3261</v>
      </c>
      <c r="E2520" s="7" t="s">
        <v>3397</v>
      </c>
      <c r="F2520" s="37">
        <v>42525.385416666664</v>
      </c>
      <c r="G2520" s="37">
        <v>42525.4375</v>
      </c>
      <c r="H2520" s="1" t="s">
        <v>6</v>
      </c>
      <c r="I2520" s="1" t="s">
        <v>38</v>
      </c>
      <c r="J2520" s="1">
        <v>42525.539618055554</v>
      </c>
      <c r="K2520" s="1" t="s">
        <v>42</v>
      </c>
      <c r="L2520" s="14">
        <f>24*(TblTimeSheet[[#This Row],[End Date and Time]]-TblTimeSheet[[#This Row],[Start Date and Time]])</f>
        <v>1.2500000000582077</v>
      </c>
      <c r="M25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0" s="14">
        <f>--(0&gt;(TblTimeSheet[[#This Row],[End Date and Time]]-TblTimeSheet[[#This Row],[Start Date and Time]]))</f>
        <v>0</v>
      </c>
    </row>
    <row r="2521" spans="1:14" x14ac:dyDescent="0.25">
      <c r="A2521" s="1"/>
      <c r="B2521" s="2" t="s">
        <v>2878</v>
      </c>
      <c r="C2521" s="2" t="s">
        <v>42</v>
      </c>
      <c r="D2521" s="2" t="s">
        <v>3261</v>
      </c>
      <c r="E2521" s="7" t="s">
        <v>3398</v>
      </c>
      <c r="F2521" s="37">
        <v>42525.447916666664</v>
      </c>
      <c r="G2521" s="37">
        <v>42525.458333333336</v>
      </c>
      <c r="H2521" s="1" t="s">
        <v>6</v>
      </c>
      <c r="I2521" s="1" t="s">
        <v>38</v>
      </c>
      <c r="J2521" s="1">
        <v>42525.540046296293</v>
      </c>
      <c r="K2521" s="1" t="s">
        <v>42</v>
      </c>
      <c r="L2521" s="14">
        <f>24*(TblTimeSheet[[#This Row],[End Date and Time]]-TblTimeSheet[[#This Row],[Start Date and Time]])</f>
        <v>0.25000000011641532</v>
      </c>
      <c r="M25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1" s="14">
        <f>--(0&gt;(TblTimeSheet[[#This Row],[End Date and Time]]-TblTimeSheet[[#This Row],[Start Date and Time]]))</f>
        <v>0</v>
      </c>
    </row>
    <row r="2522" spans="1:14" ht="30" x14ac:dyDescent="0.25">
      <c r="A2522" s="1"/>
      <c r="B2522" s="2" t="s">
        <v>2878</v>
      </c>
      <c r="C2522" s="2" t="s">
        <v>42</v>
      </c>
      <c r="D2522" s="2" t="s">
        <v>3261</v>
      </c>
      <c r="E2522" s="7" t="s">
        <v>3399</v>
      </c>
      <c r="F2522" s="37">
        <v>42525.46875</v>
      </c>
      <c r="G2522" s="37">
        <v>42525.5</v>
      </c>
      <c r="H2522" s="1" t="s">
        <v>6</v>
      </c>
      <c r="I2522" s="1" t="s">
        <v>38</v>
      </c>
      <c r="J2522" s="1">
        <v>42525.540625000001</v>
      </c>
      <c r="K2522" s="1" t="s">
        <v>42</v>
      </c>
      <c r="L2522" s="14">
        <f>24*(TblTimeSheet[[#This Row],[End Date and Time]]-TblTimeSheet[[#This Row],[Start Date and Time]])</f>
        <v>0.75</v>
      </c>
      <c r="M25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2" s="14">
        <f>--(0&gt;(TblTimeSheet[[#This Row],[End Date and Time]]-TblTimeSheet[[#This Row],[Start Date and Time]]))</f>
        <v>0</v>
      </c>
    </row>
    <row r="2523" spans="1:14" x14ac:dyDescent="0.25">
      <c r="A2523" s="1"/>
      <c r="B2523" s="2" t="s">
        <v>2878</v>
      </c>
      <c r="C2523" s="2" t="s">
        <v>42</v>
      </c>
      <c r="D2523" s="2" t="s">
        <v>3261</v>
      </c>
      <c r="E2523" s="7" t="s">
        <v>3400</v>
      </c>
      <c r="F2523" s="37">
        <v>42525.458333333336</v>
      </c>
      <c r="G2523" s="37">
        <v>42525.46875</v>
      </c>
      <c r="H2523" s="1" t="s">
        <v>6</v>
      </c>
      <c r="I2523" s="1" t="s">
        <v>38</v>
      </c>
      <c r="J2523" s="1">
        <v>42525.541180555556</v>
      </c>
      <c r="K2523" s="1" t="s">
        <v>42</v>
      </c>
      <c r="L2523" s="14">
        <f>24*(TblTimeSheet[[#This Row],[End Date and Time]]-TblTimeSheet[[#This Row],[Start Date and Time]])</f>
        <v>0.24999999994179234</v>
      </c>
      <c r="M25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3" s="14">
        <f>--(0&gt;(TblTimeSheet[[#This Row],[End Date and Time]]-TblTimeSheet[[#This Row],[Start Date and Time]]))</f>
        <v>0</v>
      </c>
    </row>
    <row r="2524" spans="1:14" x14ac:dyDescent="0.25">
      <c r="A2524" s="1"/>
      <c r="B2524" s="2" t="s">
        <v>2878</v>
      </c>
      <c r="C2524" s="2" t="s">
        <v>42</v>
      </c>
      <c r="D2524" s="2" t="s">
        <v>3263</v>
      </c>
      <c r="E2524" s="7" t="s">
        <v>3401</v>
      </c>
      <c r="F2524" s="37">
        <v>42524.583333333336</v>
      </c>
      <c r="G2524" s="37">
        <v>42524.604166666664</v>
      </c>
      <c r="H2524" s="1" t="s">
        <v>6</v>
      </c>
      <c r="I2524" s="1" t="s">
        <v>38</v>
      </c>
      <c r="J2524" s="1">
        <v>42525.550104166665</v>
      </c>
      <c r="K2524" s="1" t="s">
        <v>42</v>
      </c>
      <c r="L2524" s="14">
        <f>24*(TblTimeSheet[[#This Row],[End Date and Time]]-TblTimeSheet[[#This Row],[Start Date and Time]])</f>
        <v>0.49999999988358468</v>
      </c>
      <c r="M25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4" s="14">
        <f>--(0&gt;(TblTimeSheet[[#This Row],[End Date and Time]]-TblTimeSheet[[#This Row],[Start Date and Time]]))</f>
        <v>0</v>
      </c>
    </row>
    <row r="2525" spans="1:14" ht="30" x14ac:dyDescent="0.25">
      <c r="A2525" s="1"/>
      <c r="B2525" s="2" t="s">
        <v>2878</v>
      </c>
      <c r="C2525" s="2" t="s">
        <v>42</v>
      </c>
      <c r="D2525" s="2" t="s">
        <v>3261</v>
      </c>
      <c r="E2525" s="7" t="s">
        <v>3402</v>
      </c>
      <c r="F2525" s="37">
        <v>42524.625</v>
      </c>
      <c r="G2525" s="37">
        <v>42524.645833333336</v>
      </c>
      <c r="H2525" s="1" t="s">
        <v>6</v>
      </c>
      <c r="I2525" s="1" t="s">
        <v>38</v>
      </c>
      <c r="J2525" s="1">
        <v>42525.544189814813</v>
      </c>
      <c r="K2525" s="1" t="s">
        <v>42</v>
      </c>
      <c r="L2525" s="14">
        <f>24*(TblTimeSheet[[#This Row],[End Date and Time]]-TblTimeSheet[[#This Row],[Start Date and Time]])</f>
        <v>0.50000000005820766</v>
      </c>
      <c r="M25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5" s="14">
        <f>--(0&gt;(TblTimeSheet[[#This Row],[End Date and Time]]-TblTimeSheet[[#This Row],[Start Date and Time]]))</f>
        <v>0</v>
      </c>
    </row>
    <row r="2526" spans="1:14" x14ac:dyDescent="0.25">
      <c r="A2526" s="1"/>
      <c r="B2526" s="2" t="s">
        <v>2878</v>
      </c>
      <c r="C2526" s="2" t="s">
        <v>42</v>
      </c>
      <c r="D2526" s="2" t="s">
        <v>3261</v>
      </c>
      <c r="E2526" s="7" t="s">
        <v>3403</v>
      </c>
      <c r="F2526" s="37">
        <v>42524.645833333336</v>
      </c>
      <c r="G2526" s="37">
        <v>42524.6875</v>
      </c>
      <c r="H2526" s="1" t="s">
        <v>6</v>
      </c>
      <c r="I2526" s="1" t="s">
        <v>38</v>
      </c>
      <c r="J2526" s="1">
        <v>42525.545185185183</v>
      </c>
      <c r="K2526" s="1" t="s">
        <v>42</v>
      </c>
      <c r="L2526" s="14">
        <f>24*(TblTimeSheet[[#This Row],[End Date and Time]]-TblTimeSheet[[#This Row],[Start Date and Time]])</f>
        <v>0.99999999994179234</v>
      </c>
      <c r="M25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6" s="14">
        <f>--(0&gt;(TblTimeSheet[[#This Row],[End Date and Time]]-TblTimeSheet[[#This Row],[Start Date and Time]]))</f>
        <v>0</v>
      </c>
    </row>
    <row r="2527" spans="1:14" x14ac:dyDescent="0.25">
      <c r="A2527" s="1"/>
      <c r="B2527" s="2" t="s">
        <v>2878</v>
      </c>
      <c r="C2527" s="2" t="s">
        <v>42</v>
      </c>
      <c r="D2527" s="2" t="s">
        <v>3263</v>
      </c>
      <c r="E2527" s="7" t="s">
        <v>3404</v>
      </c>
      <c r="F2527" s="37">
        <v>42524.711805555555</v>
      </c>
      <c r="G2527" s="37">
        <v>42524.729166666664</v>
      </c>
      <c r="H2527" s="1" t="s">
        <v>6</v>
      </c>
      <c r="I2527" s="1" t="s">
        <v>38</v>
      </c>
      <c r="J2527" s="1">
        <v>42525.550196759257</v>
      </c>
      <c r="K2527" s="1" t="s">
        <v>42</v>
      </c>
      <c r="L2527" s="14">
        <f>24*(TblTimeSheet[[#This Row],[End Date and Time]]-TblTimeSheet[[#This Row],[Start Date and Time]])</f>
        <v>0.41666666662786156</v>
      </c>
      <c r="M25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7" s="14">
        <f>--(0&gt;(TblTimeSheet[[#This Row],[End Date and Time]]-TblTimeSheet[[#This Row],[Start Date and Time]]))</f>
        <v>0</v>
      </c>
    </row>
    <row r="2528" spans="1:14" x14ac:dyDescent="0.25">
      <c r="A2528" s="1"/>
      <c r="B2528" s="2" t="s">
        <v>2878</v>
      </c>
      <c r="C2528" s="2" t="s">
        <v>42</v>
      </c>
      <c r="D2528" s="2" t="s">
        <v>3261</v>
      </c>
      <c r="E2528" s="7" t="s">
        <v>3405</v>
      </c>
      <c r="F2528" s="37">
        <v>42524.729166666664</v>
      </c>
      <c r="G2528" s="37">
        <v>42524.739583333336</v>
      </c>
      <c r="H2528" s="1" t="s">
        <v>6</v>
      </c>
      <c r="I2528" s="1" t="s">
        <v>38</v>
      </c>
      <c r="J2528" s="1">
        <v>42525.546342592592</v>
      </c>
      <c r="K2528" s="1" t="s">
        <v>42</v>
      </c>
      <c r="L2528" s="14">
        <f>24*(TblTimeSheet[[#This Row],[End Date and Time]]-TblTimeSheet[[#This Row],[Start Date and Time]])</f>
        <v>0.25000000011641532</v>
      </c>
      <c r="M25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8" s="14">
        <f>--(0&gt;(TblTimeSheet[[#This Row],[End Date and Time]]-TblTimeSheet[[#This Row],[Start Date and Time]]))</f>
        <v>0</v>
      </c>
    </row>
    <row r="2529" spans="1:14" x14ac:dyDescent="0.25">
      <c r="A2529" s="1"/>
      <c r="B2529" s="2" t="s">
        <v>2878</v>
      </c>
      <c r="C2529" s="2" t="s">
        <v>42</v>
      </c>
      <c r="D2529" s="2" t="s">
        <v>3261</v>
      </c>
      <c r="E2529" s="7" t="s">
        <v>3406</v>
      </c>
      <c r="F2529" s="37">
        <v>42524.5</v>
      </c>
      <c r="G2529" s="37">
        <v>42524.541666666664</v>
      </c>
      <c r="H2529" s="1" t="s">
        <v>6</v>
      </c>
      <c r="I2529" s="1" t="s">
        <v>38</v>
      </c>
      <c r="J2529" s="1">
        <v>42525.546851851854</v>
      </c>
      <c r="K2529" s="1" t="s">
        <v>42</v>
      </c>
      <c r="L2529" s="14">
        <f>24*(TblTimeSheet[[#This Row],[End Date and Time]]-TblTimeSheet[[#This Row],[Start Date and Time]])</f>
        <v>0.99999999994179234</v>
      </c>
      <c r="M25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29" s="14">
        <f>--(0&gt;(TblTimeSheet[[#This Row],[End Date and Time]]-TblTimeSheet[[#This Row],[Start Date and Time]]))</f>
        <v>0</v>
      </c>
    </row>
    <row r="2530" spans="1:14" x14ac:dyDescent="0.25">
      <c r="A2530" s="1"/>
      <c r="B2530" s="2" t="s">
        <v>2878</v>
      </c>
      <c r="C2530" s="2" t="s">
        <v>42</v>
      </c>
      <c r="D2530" s="2" t="s">
        <v>3261</v>
      </c>
      <c r="E2530" s="7" t="s">
        <v>3407</v>
      </c>
      <c r="F2530" s="37">
        <v>42524.395833333336</v>
      </c>
      <c r="G2530" s="37">
        <v>42524.416666666664</v>
      </c>
      <c r="H2530" s="1" t="s">
        <v>6</v>
      </c>
      <c r="I2530" s="1" t="s">
        <v>38</v>
      </c>
      <c r="J2530" s="1">
        <v>42525.548368055555</v>
      </c>
      <c r="K2530" s="1" t="s">
        <v>42</v>
      </c>
      <c r="L2530" s="14">
        <f>24*(TblTimeSheet[[#This Row],[End Date and Time]]-TblTimeSheet[[#This Row],[Start Date and Time]])</f>
        <v>0.49999999988358468</v>
      </c>
      <c r="M25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0" s="14">
        <f>--(0&gt;(TblTimeSheet[[#This Row],[End Date and Time]]-TblTimeSheet[[#This Row],[Start Date and Time]]))</f>
        <v>0</v>
      </c>
    </row>
    <row r="2531" spans="1:14" x14ac:dyDescent="0.25">
      <c r="A2531" s="1"/>
      <c r="B2531" s="2" t="s">
        <v>2878</v>
      </c>
      <c r="C2531" s="2" t="s">
        <v>42</v>
      </c>
      <c r="D2531" s="2" t="s">
        <v>3263</v>
      </c>
      <c r="E2531" s="7" t="s">
        <v>3408</v>
      </c>
      <c r="F2531" s="37">
        <v>42524.416666666664</v>
      </c>
      <c r="G2531" s="37">
        <v>42524.5</v>
      </c>
      <c r="H2531" s="1" t="s">
        <v>6</v>
      </c>
      <c r="I2531" s="1" t="s">
        <v>38</v>
      </c>
      <c r="J2531" s="1">
        <v>42525.54886574074</v>
      </c>
      <c r="K2531" s="1" t="s">
        <v>42</v>
      </c>
      <c r="L2531" s="14">
        <f>24*(TblTimeSheet[[#This Row],[End Date and Time]]-TblTimeSheet[[#This Row],[Start Date and Time]])</f>
        <v>2.0000000000582077</v>
      </c>
      <c r="M25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1" s="14">
        <f>--(0&gt;(TblTimeSheet[[#This Row],[End Date and Time]]-TblTimeSheet[[#This Row],[Start Date and Time]]))</f>
        <v>0</v>
      </c>
    </row>
    <row r="2532" spans="1:14" ht="30" x14ac:dyDescent="0.25">
      <c r="A2532" s="1"/>
      <c r="B2532" s="2" t="s">
        <v>2878</v>
      </c>
      <c r="C2532" s="2" t="s">
        <v>42</v>
      </c>
      <c r="D2532" s="2" t="s">
        <v>3261</v>
      </c>
      <c r="E2532" s="7" t="s">
        <v>3409</v>
      </c>
      <c r="F2532" s="37">
        <v>42524.604166666664</v>
      </c>
      <c r="G2532" s="37">
        <v>42524.625</v>
      </c>
      <c r="H2532" s="1" t="s">
        <v>6</v>
      </c>
      <c r="I2532" s="1" t="s">
        <v>38</v>
      </c>
      <c r="J2532" s="1">
        <v>42525.549814814818</v>
      </c>
      <c r="K2532" s="1" t="s">
        <v>42</v>
      </c>
      <c r="L2532" s="14">
        <f>24*(TblTimeSheet[[#This Row],[End Date and Time]]-TblTimeSheet[[#This Row],[Start Date and Time]])</f>
        <v>0.50000000005820766</v>
      </c>
      <c r="M25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2" s="14">
        <f>--(0&gt;(TblTimeSheet[[#This Row],[End Date and Time]]-TblTimeSheet[[#This Row],[Start Date and Time]]))</f>
        <v>0</v>
      </c>
    </row>
    <row r="2533" spans="1:14" x14ac:dyDescent="0.25">
      <c r="A2533" s="1"/>
      <c r="B2533" s="2" t="s">
        <v>2878</v>
      </c>
      <c r="C2533" s="2" t="s">
        <v>42</v>
      </c>
      <c r="D2533" s="2" t="s">
        <v>3261</v>
      </c>
      <c r="E2533" s="7" t="s">
        <v>3410</v>
      </c>
      <c r="F2533" s="37">
        <v>42523.6875</v>
      </c>
      <c r="G2533" s="37">
        <v>42523.729166666664</v>
      </c>
      <c r="H2533" s="1" t="s">
        <v>6</v>
      </c>
      <c r="I2533" s="1" t="s">
        <v>38</v>
      </c>
      <c r="J2533" s="1">
        <v>42525.551261574074</v>
      </c>
      <c r="K2533" s="1" t="s">
        <v>42</v>
      </c>
      <c r="L2533" s="14">
        <f>24*(TblTimeSheet[[#This Row],[End Date and Time]]-TblTimeSheet[[#This Row],[Start Date and Time]])</f>
        <v>0.99999999994179234</v>
      </c>
      <c r="M25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3" s="14">
        <f>--(0&gt;(TblTimeSheet[[#This Row],[End Date and Time]]-TblTimeSheet[[#This Row],[Start Date and Time]]))</f>
        <v>0</v>
      </c>
    </row>
    <row r="2534" spans="1:14" x14ac:dyDescent="0.25">
      <c r="A2534" s="1"/>
      <c r="B2534" s="2" t="s">
        <v>2878</v>
      </c>
      <c r="C2534" s="2" t="s">
        <v>42</v>
      </c>
      <c r="D2534" s="2" t="s">
        <v>3261</v>
      </c>
      <c r="E2534" s="7" t="s">
        <v>3411</v>
      </c>
      <c r="F2534" s="37">
        <v>42523.666666666664</v>
      </c>
      <c r="G2534" s="37">
        <v>42523.6875</v>
      </c>
      <c r="H2534" s="1" t="s">
        <v>6</v>
      </c>
      <c r="I2534" s="1" t="s">
        <v>38</v>
      </c>
      <c r="J2534" s="1">
        <v>42525.552060185182</v>
      </c>
      <c r="K2534" s="1" t="s">
        <v>42</v>
      </c>
      <c r="L2534" s="14">
        <f>24*(TblTimeSheet[[#This Row],[End Date and Time]]-TblTimeSheet[[#This Row],[Start Date and Time]])</f>
        <v>0.50000000005820766</v>
      </c>
      <c r="M25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4" s="14">
        <f>--(0&gt;(TblTimeSheet[[#This Row],[End Date and Time]]-TblTimeSheet[[#This Row],[Start Date and Time]]))</f>
        <v>0</v>
      </c>
    </row>
    <row r="2535" spans="1:14" x14ac:dyDescent="0.25">
      <c r="A2535" s="1"/>
      <c r="B2535" s="2" t="s">
        <v>2878</v>
      </c>
      <c r="C2535" s="2" t="s">
        <v>42</v>
      </c>
      <c r="D2535" s="2" t="s">
        <v>3261</v>
      </c>
      <c r="E2535" s="7" t="s">
        <v>3412</v>
      </c>
      <c r="F2535" s="37">
        <v>42523.59375</v>
      </c>
      <c r="G2535" s="37">
        <v>42523.659722222219</v>
      </c>
      <c r="H2535" s="1" t="s">
        <v>6</v>
      </c>
      <c r="I2535" s="1" t="s">
        <v>38</v>
      </c>
      <c r="J2535" s="1">
        <v>42525.554907407408</v>
      </c>
      <c r="K2535" s="1" t="s">
        <v>42</v>
      </c>
      <c r="L2535" s="14">
        <f>24*(TblTimeSheet[[#This Row],[End Date and Time]]-TblTimeSheet[[#This Row],[Start Date and Time]])</f>
        <v>1.5833333332557231</v>
      </c>
      <c r="M25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5" s="14">
        <f>--(0&gt;(TblTimeSheet[[#This Row],[End Date and Time]]-TblTimeSheet[[#This Row],[Start Date and Time]]))</f>
        <v>0</v>
      </c>
    </row>
    <row r="2536" spans="1:14" x14ac:dyDescent="0.25">
      <c r="A2536" s="1"/>
      <c r="B2536" s="2" t="s">
        <v>2878</v>
      </c>
      <c r="C2536" s="2" t="s">
        <v>42</v>
      </c>
      <c r="D2536" s="2" t="s">
        <v>3263</v>
      </c>
      <c r="E2536" s="7" t="s">
        <v>3413</v>
      </c>
      <c r="F2536" s="37">
        <v>42523.416666666664</v>
      </c>
      <c r="G2536" s="37">
        <v>42523.5</v>
      </c>
      <c r="H2536" s="1" t="s">
        <v>6</v>
      </c>
      <c r="I2536" s="1" t="s">
        <v>38</v>
      </c>
      <c r="J2536" s="1">
        <v>42525.554814814815</v>
      </c>
      <c r="K2536" s="1" t="s">
        <v>42</v>
      </c>
      <c r="L2536" s="14">
        <f>24*(TblTimeSheet[[#This Row],[End Date and Time]]-TblTimeSheet[[#This Row],[Start Date and Time]])</f>
        <v>2.0000000000582077</v>
      </c>
      <c r="M25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6" s="14">
        <f>--(0&gt;(TblTimeSheet[[#This Row],[End Date and Time]]-TblTimeSheet[[#This Row],[Start Date and Time]]))</f>
        <v>0</v>
      </c>
    </row>
    <row r="2537" spans="1:14" x14ac:dyDescent="0.25">
      <c r="A2537" s="1"/>
      <c r="B2537" s="2" t="s">
        <v>2878</v>
      </c>
      <c r="C2537" s="2" t="s">
        <v>1105</v>
      </c>
      <c r="D2537" s="2" t="s">
        <v>3261</v>
      </c>
      <c r="E2537" s="7" t="s">
        <v>3414</v>
      </c>
      <c r="F2537" s="37">
        <v>42521.583333333336</v>
      </c>
      <c r="G2537" s="37">
        <v>42521.729166666664</v>
      </c>
      <c r="H2537" s="1" t="s">
        <v>6</v>
      </c>
      <c r="I2537" s="1" t="s">
        <v>38</v>
      </c>
      <c r="J2537" s="1">
        <v>42525.605995370373</v>
      </c>
      <c r="K2537" s="1" t="s">
        <v>2864</v>
      </c>
      <c r="L2537" s="14">
        <f>24*(TblTimeSheet[[#This Row],[End Date and Time]]-TblTimeSheet[[#This Row],[Start Date and Time]])</f>
        <v>3.4999999998835847</v>
      </c>
      <c r="M25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7" s="14">
        <f>--(0&gt;(TblTimeSheet[[#This Row],[End Date and Time]]-TblTimeSheet[[#This Row],[Start Date and Time]]))</f>
        <v>0</v>
      </c>
    </row>
    <row r="2538" spans="1:14" x14ac:dyDescent="0.25">
      <c r="A2538" s="1"/>
      <c r="B2538" s="2" t="s">
        <v>2878</v>
      </c>
      <c r="C2538" s="2" t="s">
        <v>1105</v>
      </c>
      <c r="D2538" s="2" t="s">
        <v>3263</v>
      </c>
      <c r="E2538" s="7" t="s">
        <v>3415</v>
      </c>
      <c r="F2538" s="37">
        <v>42522.375</v>
      </c>
      <c r="G2538" s="37">
        <v>42522.729166666664</v>
      </c>
      <c r="H2538" s="1" t="s">
        <v>6</v>
      </c>
      <c r="I2538" s="1" t="s">
        <v>38</v>
      </c>
      <c r="J2538" s="1">
        <v>42525.607245370367</v>
      </c>
      <c r="K2538" s="1" t="s">
        <v>2864</v>
      </c>
      <c r="L2538" s="14">
        <f>24*(TblTimeSheet[[#This Row],[End Date and Time]]-TblTimeSheet[[#This Row],[Start Date and Time]])</f>
        <v>8.4999999999417923</v>
      </c>
      <c r="M25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8" s="14">
        <f>--(0&gt;(TblTimeSheet[[#This Row],[End Date and Time]]-TblTimeSheet[[#This Row],[Start Date and Time]]))</f>
        <v>0</v>
      </c>
    </row>
    <row r="2539" spans="1:14" x14ac:dyDescent="0.25">
      <c r="A2539" s="1"/>
      <c r="B2539" s="2" t="s">
        <v>2878</v>
      </c>
      <c r="C2539" s="2" t="s">
        <v>1105</v>
      </c>
      <c r="D2539" s="2" t="s">
        <v>3263</v>
      </c>
      <c r="E2539" s="7" t="s">
        <v>3415</v>
      </c>
      <c r="F2539" s="37">
        <v>42523.375</v>
      </c>
      <c r="G2539" s="37">
        <v>42523.729166666664</v>
      </c>
      <c r="H2539" s="1" t="s">
        <v>6</v>
      </c>
      <c r="I2539" s="1" t="s">
        <v>38</v>
      </c>
      <c r="J2539" s="1">
        <v>42525.607662037037</v>
      </c>
      <c r="K2539" s="1" t="s">
        <v>2864</v>
      </c>
      <c r="L2539" s="14">
        <f>24*(TblTimeSheet[[#This Row],[End Date and Time]]-TblTimeSheet[[#This Row],[Start Date and Time]])</f>
        <v>8.4999999999417923</v>
      </c>
      <c r="M25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39" s="14">
        <f>--(0&gt;(TblTimeSheet[[#This Row],[End Date and Time]]-TblTimeSheet[[#This Row],[Start Date and Time]]))</f>
        <v>0</v>
      </c>
    </row>
    <row r="2540" spans="1:14" x14ac:dyDescent="0.25">
      <c r="A2540" s="1"/>
      <c r="B2540" s="2" t="s">
        <v>2878</v>
      </c>
      <c r="C2540" s="2" t="s">
        <v>1105</v>
      </c>
      <c r="D2540" s="2" t="s">
        <v>3263</v>
      </c>
      <c r="E2540" s="7" t="s">
        <v>3415</v>
      </c>
      <c r="F2540" s="37">
        <v>42524.375</v>
      </c>
      <c r="G2540" s="37">
        <v>42524.729166666664</v>
      </c>
      <c r="H2540" s="1" t="s">
        <v>6</v>
      </c>
      <c r="I2540" s="1" t="s">
        <v>38</v>
      </c>
      <c r="J2540" s="1">
        <v>42525.608043981483</v>
      </c>
      <c r="K2540" s="1" t="s">
        <v>2864</v>
      </c>
      <c r="L2540" s="14">
        <f>24*(TblTimeSheet[[#This Row],[End Date and Time]]-TblTimeSheet[[#This Row],[Start Date and Time]])</f>
        <v>8.4999999999417923</v>
      </c>
      <c r="M25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0" s="14">
        <f>--(0&gt;(TblTimeSheet[[#This Row],[End Date and Time]]-TblTimeSheet[[#This Row],[Start Date and Time]]))</f>
        <v>0</v>
      </c>
    </row>
    <row r="2541" spans="1:14" x14ac:dyDescent="0.25">
      <c r="A2541" s="1"/>
      <c r="B2541" s="2" t="s">
        <v>2878</v>
      </c>
      <c r="C2541" s="2" t="s">
        <v>1105</v>
      </c>
      <c r="D2541" s="2" t="s">
        <v>3263</v>
      </c>
      <c r="E2541" s="7" t="s">
        <v>3415</v>
      </c>
      <c r="F2541" s="37">
        <v>42525.375</v>
      </c>
      <c r="G2541" s="37">
        <v>42525.541666666664</v>
      </c>
      <c r="H2541" s="1" t="s">
        <v>6</v>
      </c>
      <c r="I2541" s="1" t="s">
        <v>38</v>
      </c>
      <c r="J2541" s="1">
        <v>42525.609027777777</v>
      </c>
      <c r="K2541" s="1" t="s">
        <v>2864</v>
      </c>
      <c r="L2541" s="14">
        <f>24*(TblTimeSheet[[#This Row],[End Date and Time]]-TblTimeSheet[[#This Row],[Start Date and Time]])</f>
        <v>3.9999999999417923</v>
      </c>
      <c r="M25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1" s="14">
        <f>--(0&gt;(TblTimeSheet[[#This Row],[End Date and Time]]-TblTimeSheet[[#This Row],[Start Date and Time]]))</f>
        <v>0</v>
      </c>
    </row>
    <row r="2542" spans="1:14" x14ac:dyDescent="0.25">
      <c r="A2542" s="1"/>
      <c r="B2542" s="2" t="s">
        <v>2878</v>
      </c>
      <c r="C2542" s="2" t="s">
        <v>1105</v>
      </c>
      <c r="D2542" s="2" t="s">
        <v>3263</v>
      </c>
      <c r="E2542" s="7" t="s">
        <v>3861</v>
      </c>
      <c r="F2542" s="37">
        <v>42520.583333333336</v>
      </c>
      <c r="G2542" s="37">
        <v>42520.729166666664</v>
      </c>
      <c r="H2542" s="1" t="s">
        <v>6</v>
      </c>
      <c r="I2542" s="1" t="s">
        <v>38</v>
      </c>
      <c r="J2542" s="1">
        <v>42525.66777777778</v>
      </c>
      <c r="K2542" s="1" t="s">
        <v>2864</v>
      </c>
      <c r="L2542" s="14">
        <f>24*(TblTimeSheet[[#This Row],[End Date and Time]]-TblTimeSheet[[#This Row],[Start Date and Time]])</f>
        <v>3.4999999998835847</v>
      </c>
      <c r="M25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2" s="14">
        <f>--(0&gt;(TblTimeSheet[[#This Row],[End Date and Time]]-TblTimeSheet[[#This Row],[Start Date and Time]]))</f>
        <v>0</v>
      </c>
    </row>
    <row r="2543" spans="1:14" x14ac:dyDescent="0.25">
      <c r="A2543" s="1"/>
      <c r="B2543" s="2" t="s">
        <v>2878</v>
      </c>
      <c r="C2543" s="2" t="s">
        <v>42</v>
      </c>
      <c r="D2543" s="2" t="s">
        <v>3263</v>
      </c>
      <c r="E2543" s="7" t="s">
        <v>3416</v>
      </c>
      <c r="F2543" s="37">
        <v>42525.604166666664</v>
      </c>
      <c r="G2543" s="37">
        <v>42525.625</v>
      </c>
      <c r="H2543" s="1" t="s">
        <v>6</v>
      </c>
      <c r="I2543" s="1" t="s">
        <v>38</v>
      </c>
      <c r="J2543" s="1">
        <v>42525.656655092593</v>
      </c>
      <c r="K2543" s="1" t="s">
        <v>42</v>
      </c>
      <c r="L2543" s="14">
        <f>24*(TblTimeSheet[[#This Row],[End Date and Time]]-TblTimeSheet[[#This Row],[Start Date and Time]])</f>
        <v>0.50000000005820766</v>
      </c>
      <c r="M25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3" s="14">
        <f>--(0&gt;(TblTimeSheet[[#This Row],[End Date and Time]]-TblTimeSheet[[#This Row],[Start Date and Time]]))</f>
        <v>0</v>
      </c>
    </row>
    <row r="2544" spans="1:14" x14ac:dyDescent="0.25">
      <c r="A2544" s="1"/>
      <c r="B2544" s="2" t="s">
        <v>2878</v>
      </c>
      <c r="C2544" s="2" t="s">
        <v>42</v>
      </c>
      <c r="D2544" s="2" t="s">
        <v>3261</v>
      </c>
      <c r="E2544" s="7" t="s">
        <v>3417</v>
      </c>
      <c r="F2544" s="37">
        <v>42525.583333333336</v>
      </c>
      <c r="G2544" s="37">
        <v>42525.604166666664</v>
      </c>
      <c r="H2544" s="1" t="s">
        <v>6</v>
      </c>
      <c r="I2544" s="1" t="s">
        <v>38</v>
      </c>
      <c r="J2544" s="1">
        <v>42525.657210648147</v>
      </c>
      <c r="K2544" s="1" t="s">
        <v>42</v>
      </c>
      <c r="L2544" s="14">
        <f>24*(TblTimeSheet[[#This Row],[End Date and Time]]-TblTimeSheet[[#This Row],[Start Date and Time]])</f>
        <v>0.49999999988358468</v>
      </c>
      <c r="M25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4" s="14">
        <f>--(0&gt;(TblTimeSheet[[#This Row],[End Date and Time]]-TblTimeSheet[[#This Row],[Start Date and Time]]))</f>
        <v>0</v>
      </c>
    </row>
    <row r="2545" spans="1:14" ht="30" x14ac:dyDescent="0.25">
      <c r="A2545" s="1"/>
      <c r="B2545" s="2" t="s">
        <v>2878</v>
      </c>
      <c r="C2545" s="2" t="s">
        <v>42</v>
      </c>
      <c r="D2545" s="2" t="s">
        <v>3261</v>
      </c>
      <c r="E2545" s="7" t="s">
        <v>3862</v>
      </c>
      <c r="F2545" s="37">
        <v>42525.625</v>
      </c>
      <c r="G2545" s="37">
        <v>42525.666666666664</v>
      </c>
      <c r="H2545" s="1" t="s">
        <v>6</v>
      </c>
      <c r="I2545" s="1" t="s">
        <v>38</v>
      </c>
      <c r="J2545" s="1">
        <v>42525.666458333333</v>
      </c>
      <c r="K2545" s="1" t="s">
        <v>42</v>
      </c>
      <c r="L2545" s="14">
        <f>24*(TblTimeSheet[[#This Row],[End Date and Time]]-TblTimeSheet[[#This Row],[Start Date and Time]])</f>
        <v>0.99999999994179234</v>
      </c>
      <c r="M25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5" s="14">
        <f>--(0&gt;(TblTimeSheet[[#This Row],[End Date and Time]]-TblTimeSheet[[#This Row],[Start Date and Time]]))</f>
        <v>0</v>
      </c>
    </row>
    <row r="2546" spans="1:14" ht="30" x14ac:dyDescent="0.25">
      <c r="A2546" s="1"/>
      <c r="B2546" s="2" t="s">
        <v>2878</v>
      </c>
      <c r="C2546" s="2" t="s">
        <v>144</v>
      </c>
      <c r="D2546" s="2" t="s">
        <v>3261</v>
      </c>
      <c r="E2546" s="7" t="s">
        <v>3418</v>
      </c>
      <c r="F2546" s="37">
        <v>42525.375</v>
      </c>
      <c r="G2546" s="37">
        <v>42525.722222222219</v>
      </c>
      <c r="H2546" s="1" t="s">
        <v>6</v>
      </c>
      <c r="I2546" s="1" t="s">
        <v>38</v>
      </c>
      <c r="J2546" s="1">
        <v>42525.722199074073</v>
      </c>
      <c r="K2546" s="1" t="s">
        <v>144</v>
      </c>
      <c r="L2546" s="14">
        <f>24*(TblTimeSheet[[#This Row],[End Date and Time]]-TblTimeSheet[[#This Row],[Start Date and Time]])</f>
        <v>8.3333333332557231</v>
      </c>
      <c r="M25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6" s="14">
        <f>--(0&gt;(TblTimeSheet[[#This Row],[End Date and Time]]-TblTimeSheet[[#This Row],[Start Date and Time]]))</f>
        <v>0</v>
      </c>
    </row>
    <row r="2547" spans="1:14" x14ac:dyDescent="0.25">
      <c r="A2547" s="1"/>
      <c r="B2547" s="2" t="s">
        <v>2878</v>
      </c>
      <c r="C2547" s="2" t="s">
        <v>42</v>
      </c>
      <c r="D2547" s="2" t="s">
        <v>3263</v>
      </c>
      <c r="E2547" s="7" t="s">
        <v>3413</v>
      </c>
      <c r="F2547" s="37">
        <v>42525.666666666664</v>
      </c>
      <c r="G2547" s="37">
        <v>42525.729166666664</v>
      </c>
      <c r="H2547" s="1" t="s">
        <v>6</v>
      </c>
      <c r="I2547" s="1" t="s">
        <v>38</v>
      </c>
      <c r="J2547" s="1">
        <v>42525.730497685188</v>
      </c>
      <c r="K2547" s="1" t="s">
        <v>42</v>
      </c>
      <c r="L2547" s="14">
        <f>24*(TblTimeSheet[[#This Row],[End Date and Time]]-TblTimeSheet[[#This Row],[Start Date and Time]])</f>
        <v>1.5</v>
      </c>
      <c r="M25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7" s="14">
        <f>--(0&gt;(TblTimeSheet[[#This Row],[End Date and Time]]-TblTimeSheet[[#This Row],[Start Date and Time]]))</f>
        <v>0</v>
      </c>
    </row>
    <row r="2548" spans="1:14" x14ac:dyDescent="0.25">
      <c r="A2548" s="1"/>
      <c r="B2548" s="2" t="s">
        <v>2878</v>
      </c>
      <c r="C2548" s="2" t="s">
        <v>1105</v>
      </c>
      <c r="D2548" s="2" t="s">
        <v>3263</v>
      </c>
      <c r="E2548" s="7" t="s">
        <v>3415</v>
      </c>
      <c r="F2548" s="37">
        <v>42527.375</v>
      </c>
      <c r="G2548" s="37">
        <v>42527.625</v>
      </c>
      <c r="H2548" s="1" t="s">
        <v>6</v>
      </c>
      <c r="I2548" s="1" t="s">
        <v>38</v>
      </c>
      <c r="J2548" s="1">
        <v>42527.713634259257</v>
      </c>
      <c r="K2548" s="1" t="s">
        <v>2864</v>
      </c>
      <c r="L2548" s="14">
        <f>24*(TblTimeSheet[[#This Row],[End Date and Time]]-TblTimeSheet[[#This Row],[Start Date and Time]])</f>
        <v>6</v>
      </c>
      <c r="M25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8" s="14">
        <f>--(0&gt;(TblTimeSheet[[#This Row],[End Date and Time]]-TblTimeSheet[[#This Row],[Start Date and Time]]))</f>
        <v>0</v>
      </c>
    </row>
    <row r="2549" spans="1:14" x14ac:dyDescent="0.25">
      <c r="A2549" s="1"/>
      <c r="B2549" s="2" t="s">
        <v>2878</v>
      </c>
      <c r="C2549" s="2" t="s">
        <v>144</v>
      </c>
      <c r="D2549" s="2" t="s">
        <v>3263</v>
      </c>
      <c r="E2549" s="7" t="s">
        <v>3419</v>
      </c>
      <c r="F2549" s="37">
        <v>42527.395833333336</v>
      </c>
      <c r="G2549" s="37">
        <v>42527.458333333336</v>
      </c>
      <c r="H2549" s="1" t="s">
        <v>6</v>
      </c>
      <c r="I2549" s="1" t="s">
        <v>38</v>
      </c>
      <c r="J2549" s="1">
        <v>42528.476446759261</v>
      </c>
      <c r="K2549" s="1" t="s">
        <v>144</v>
      </c>
      <c r="L2549" s="14">
        <f>24*(TblTimeSheet[[#This Row],[End Date and Time]]-TblTimeSheet[[#This Row],[Start Date and Time]])</f>
        <v>1.5</v>
      </c>
      <c r="M25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49" s="14">
        <f>--(0&gt;(TblTimeSheet[[#This Row],[End Date and Time]]-TblTimeSheet[[#This Row],[Start Date and Time]]))</f>
        <v>0</v>
      </c>
    </row>
    <row r="2550" spans="1:14" x14ac:dyDescent="0.25">
      <c r="A2550" s="1"/>
      <c r="B2550" s="2" t="s">
        <v>2878</v>
      </c>
      <c r="C2550" s="2" t="s">
        <v>144</v>
      </c>
      <c r="D2550" s="2" t="s">
        <v>3261</v>
      </c>
      <c r="E2550" s="7" t="s">
        <v>3420</v>
      </c>
      <c r="F2550" s="37">
        <v>42527.46875</v>
      </c>
      <c r="G2550" s="37">
        <v>42527.548611111109</v>
      </c>
      <c r="H2550" s="1" t="s">
        <v>6</v>
      </c>
      <c r="I2550" s="1" t="s">
        <v>38</v>
      </c>
      <c r="J2550" s="1">
        <v>42528.47729166667</v>
      </c>
      <c r="K2550" s="1" t="s">
        <v>144</v>
      </c>
      <c r="L2550" s="14">
        <f>24*(TblTimeSheet[[#This Row],[End Date and Time]]-TblTimeSheet[[#This Row],[Start Date and Time]])</f>
        <v>1.9166666666278616</v>
      </c>
      <c r="M25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0" s="14">
        <f>--(0&gt;(TblTimeSheet[[#This Row],[End Date and Time]]-TblTimeSheet[[#This Row],[Start Date and Time]]))</f>
        <v>0</v>
      </c>
    </row>
    <row r="2551" spans="1:14" x14ac:dyDescent="0.25">
      <c r="A2551" s="1"/>
      <c r="B2551" s="2" t="s">
        <v>2878</v>
      </c>
      <c r="C2551" s="2" t="s">
        <v>144</v>
      </c>
      <c r="D2551" s="2" t="s">
        <v>3261</v>
      </c>
      <c r="E2551" s="7" t="s">
        <v>3421</v>
      </c>
      <c r="F2551" s="37">
        <v>42527.604166666664</v>
      </c>
      <c r="G2551" s="37">
        <v>42527.666666666664</v>
      </c>
      <c r="H2551" s="1" t="s">
        <v>6</v>
      </c>
      <c r="I2551" s="1" t="s">
        <v>38</v>
      </c>
      <c r="J2551" s="1">
        <v>42528.478206018517</v>
      </c>
      <c r="K2551" s="1" t="s">
        <v>144</v>
      </c>
      <c r="L2551" s="14">
        <f>24*(TblTimeSheet[[#This Row],[End Date and Time]]-TblTimeSheet[[#This Row],[Start Date and Time]])</f>
        <v>1.5</v>
      </c>
      <c r="M25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1" s="14">
        <f>--(0&gt;(TblTimeSheet[[#This Row],[End Date and Time]]-TblTimeSheet[[#This Row],[Start Date and Time]]))</f>
        <v>0</v>
      </c>
    </row>
    <row r="2552" spans="1:14" x14ac:dyDescent="0.25">
      <c r="A2552" s="1"/>
      <c r="B2552" s="2" t="s">
        <v>2878</v>
      </c>
      <c r="C2552" s="2" t="s">
        <v>144</v>
      </c>
      <c r="D2552" s="2" t="s">
        <v>3263</v>
      </c>
      <c r="E2552" s="7" t="s">
        <v>3422</v>
      </c>
      <c r="F2552" s="37">
        <v>42527.680555555555</v>
      </c>
      <c r="G2552" s="37">
        <v>42527.763888888891</v>
      </c>
      <c r="H2552" s="1" t="s">
        <v>6</v>
      </c>
      <c r="I2552" s="1" t="s">
        <v>38</v>
      </c>
      <c r="J2552" s="1">
        <v>42528.479386574072</v>
      </c>
      <c r="K2552" s="1" t="s">
        <v>144</v>
      </c>
      <c r="L2552" s="14">
        <f>24*(TblTimeSheet[[#This Row],[End Date and Time]]-TblTimeSheet[[#This Row],[Start Date and Time]])</f>
        <v>2.0000000000582077</v>
      </c>
      <c r="M25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2" s="14">
        <f>--(0&gt;(TblTimeSheet[[#This Row],[End Date and Time]]-TblTimeSheet[[#This Row],[Start Date and Time]]))</f>
        <v>0</v>
      </c>
    </row>
    <row r="2553" spans="1:14" x14ac:dyDescent="0.25">
      <c r="A2553" s="1"/>
      <c r="B2553" s="2" t="s">
        <v>2878</v>
      </c>
      <c r="C2553" s="2" t="s">
        <v>36</v>
      </c>
      <c r="D2553" s="2" t="s">
        <v>3261</v>
      </c>
      <c r="E2553" s="7" t="s">
        <v>3863</v>
      </c>
      <c r="F2553" s="37">
        <v>42527.381944444445</v>
      </c>
      <c r="G2553" s="37">
        <v>42527.5</v>
      </c>
      <c r="H2553" s="1" t="s">
        <v>6</v>
      </c>
      <c r="I2553" s="1" t="s">
        <v>38</v>
      </c>
      <c r="J2553" s="1">
        <v>42528.491180555553</v>
      </c>
      <c r="K2553" s="1" t="s">
        <v>36</v>
      </c>
      <c r="L2553" s="14">
        <f>24*(TblTimeSheet[[#This Row],[End Date and Time]]-TblTimeSheet[[#This Row],[Start Date and Time]])</f>
        <v>2.8333333333139308</v>
      </c>
      <c r="M25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3" s="14">
        <f>--(0&gt;(TblTimeSheet[[#This Row],[End Date and Time]]-TblTimeSheet[[#This Row],[Start Date and Time]]))</f>
        <v>0</v>
      </c>
    </row>
    <row r="2554" spans="1:14" x14ac:dyDescent="0.25">
      <c r="A2554" s="1"/>
      <c r="B2554" s="2" t="s">
        <v>2878</v>
      </c>
      <c r="C2554" s="2" t="s">
        <v>36</v>
      </c>
      <c r="D2554" s="2" t="s">
        <v>3261</v>
      </c>
      <c r="E2554" s="7" t="s">
        <v>3423</v>
      </c>
      <c r="F2554" s="37">
        <v>42527.583333333336</v>
      </c>
      <c r="G2554" s="37">
        <v>42527.625</v>
      </c>
      <c r="H2554" s="1" t="s">
        <v>6</v>
      </c>
      <c r="I2554" s="1" t="s">
        <v>38</v>
      </c>
      <c r="J2554" s="1">
        <v>42528.492534722223</v>
      </c>
      <c r="K2554" s="1" t="s">
        <v>36</v>
      </c>
      <c r="L2554" s="14">
        <f>24*(TblTimeSheet[[#This Row],[End Date and Time]]-TblTimeSheet[[#This Row],[Start Date and Time]])</f>
        <v>0.99999999994179234</v>
      </c>
      <c r="M25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4" s="14">
        <f>--(0&gt;(TblTimeSheet[[#This Row],[End Date and Time]]-TblTimeSheet[[#This Row],[Start Date and Time]]))</f>
        <v>0</v>
      </c>
    </row>
    <row r="2555" spans="1:14" ht="30" x14ac:dyDescent="0.25">
      <c r="A2555" s="1"/>
      <c r="B2555" s="2" t="s">
        <v>2878</v>
      </c>
      <c r="C2555" s="2" t="s">
        <v>36</v>
      </c>
      <c r="D2555" s="2" t="s">
        <v>3261</v>
      </c>
      <c r="E2555" s="7" t="s">
        <v>3424</v>
      </c>
      <c r="F2555" s="37">
        <v>42527.635416666664</v>
      </c>
      <c r="G2555" s="37">
        <v>42527.729166666664</v>
      </c>
      <c r="H2555" s="1" t="s">
        <v>6</v>
      </c>
      <c r="I2555" s="1" t="s">
        <v>38</v>
      </c>
      <c r="J2555" s="1">
        <v>42528.493333333332</v>
      </c>
      <c r="K2555" s="1" t="s">
        <v>36</v>
      </c>
      <c r="L2555" s="14">
        <f>24*(TblTimeSheet[[#This Row],[End Date and Time]]-TblTimeSheet[[#This Row],[Start Date and Time]])</f>
        <v>2.25</v>
      </c>
      <c r="M25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5" s="14">
        <f>--(0&gt;(TblTimeSheet[[#This Row],[End Date and Time]]-TblTimeSheet[[#This Row],[Start Date and Time]]))</f>
        <v>0</v>
      </c>
    </row>
    <row r="2556" spans="1:14" ht="30" x14ac:dyDescent="0.25">
      <c r="A2556" s="1"/>
      <c r="B2556" s="2" t="s">
        <v>2878</v>
      </c>
      <c r="C2556" s="2" t="s">
        <v>36</v>
      </c>
      <c r="D2556" s="2" t="s">
        <v>3261</v>
      </c>
      <c r="E2556" s="7" t="s">
        <v>3864</v>
      </c>
      <c r="F2556" s="37">
        <v>42528.381944444445</v>
      </c>
      <c r="G2556" s="37">
        <v>42528.465277777781</v>
      </c>
      <c r="H2556" s="1" t="s">
        <v>6</v>
      </c>
      <c r="I2556" s="1" t="s">
        <v>38</v>
      </c>
      <c r="J2556" s="1">
        <v>42528.494375000002</v>
      </c>
      <c r="K2556" s="1" t="s">
        <v>36</v>
      </c>
      <c r="L2556" s="14">
        <f>24*(TblTimeSheet[[#This Row],[End Date and Time]]-TblTimeSheet[[#This Row],[Start Date and Time]])</f>
        <v>2.0000000000582077</v>
      </c>
      <c r="M25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6" s="14">
        <f>--(0&gt;(TblTimeSheet[[#This Row],[End Date and Time]]-TblTimeSheet[[#This Row],[Start Date and Time]]))</f>
        <v>0</v>
      </c>
    </row>
    <row r="2557" spans="1:14" x14ac:dyDescent="0.25">
      <c r="A2557" s="1"/>
      <c r="B2557" s="2" t="s">
        <v>105</v>
      </c>
      <c r="C2557" s="2" t="s">
        <v>36</v>
      </c>
      <c r="D2557" s="2" t="s">
        <v>105</v>
      </c>
      <c r="E2557" s="7" t="s">
        <v>3425</v>
      </c>
      <c r="F2557" s="37">
        <v>42528.475694444445</v>
      </c>
      <c r="G2557" s="37">
        <v>42528.503472222219</v>
      </c>
      <c r="H2557" s="1" t="s">
        <v>6</v>
      </c>
      <c r="I2557" s="1" t="s">
        <v>38</v>
      </c>
      <c r="J2557" s="1">
        <v>42528.50267361111</v>
      </c>
      <c r="K2557" s="1" t="s">
        <v>36</v>
      </c>
      <c r="L2557" s="14">
        <f>24*(TblTimeSheet[[#This Row],[End Date and Time]]-TblTimeSheet[[#This Row],[Start Date and Time]])</f>
        <v>0.6666666665696539</v>
      </c>
      <c r="M25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7" s="14">
        <f>--(0&gt;(TblTimeSheet[[#This Row],[End Date and Time]]-TblTimeSheet[[#This Row],[Start Date and Time]]))</f>
        <v>0</v>
      </c>
    </row>
    <row r="2558" spans="1:14" x14ac:dyDescent="0.25">
      <c r="A2558" s="1"/>
      <c r="B2558" s="2" t="s">
        <v>2878</v>
      </c>
      <c r="C2558" s="2" t="s">
        <v>36</v>
      </c>
      <c r="D2558" s="2" t="s">
        <v>3261</v>
      </c>
      <c r="E2558" s="7" t="s">
        <v>3426</v>
      </c>
      <c r="F2558" s="37">
        <v>42528.506944444445</v>
      </c>
      <c r="G2558" s="37">
        <v>42528.524305555555</v>
      </c>
      <c r="H2558" s="1" t="s">
        <v>6</v>
      </c>
      <c r="I2558" s="1" t="s">
        <v>38</v>
      </c>
      <c r="J2558" s="1">
        <v>42528.522847222222</v>
      </c>
      <c r="K2558" s="1" t="s">
        <v>36</v>
      </c>
      <c r="L2558" s="14">
        <f>24*(TblTimeSheet[[#This Row],[End Date and Time]]-TblTimeSheet[[#This Row],[Start Date and Time]])</f>
        <v>0.41666666662786156</v>
      </c>
      <c r="M25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8" s="14">
        <f>--(0&gt;(TblTimeSheet[[#This Row],[End Date and Time]]-TblTimeSheet[[#This Row],[Start Date and Time]]))</f>
        <v>0</v>
      </c>
    </row>
    <row r="2559" spans="1:14" ht="45" x14ac:dyDescent="0.25">
      <c r="A2559" s="1"/>
      <c r="B2559" s="2" t="s">
        <v>2878</v>
      </c>
      <c r="C2559" s="2" t="s">
        <v>36</v>
      </c>
      <c r="D2559" s="2" t="s">
        <v>3261</v>
      </c>
      <c r="E2559" s="7" t="s">
        <v>3865</v>
      </c>
      <c r="F2559" s="37">
        <v>42528.590277777781</v>
      </c>
      <c r="G2559" s="37">
        <v>42528.75</v>
      </c>
      <c r="H2559" s="1" t="s">
        <v>6</v>
      </c>
      <c r="I2559" s="1" t="s">
        <v>38</v>
      </c>
      <c r="J2559" s="1">
        <v>42529.381238425929</v>
      </c>
      <c r="K2559" s="1" t="s">
        <v>36</v>
      </c>
      <c r="L2559" s="14">
        <f>24*(TblTimeSheet[[#This Row],[End Date and Time]]-TblTimeSheet[[#This Row],[Start Date and Time]])</f>
        <v>3.8333333332557231</v>
      </c>
      <c r="M25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59" s="14">
        <f>--(0&gt;(TblTimeSheet[[#This Row],[End Date and Time]]-TblTimeSheet[[#This Row],[Start Date and Time]]))</f>
        <v>0</v>
      </c>
    </row>
    <row r="2560" spans="1:14" x14ac:dyDescent="0.25">
      <c r="A2560" s="1"/>
      <c r="B2560" s="2" t="s">
        <v>2878</v>
      </c>
      <c r="C2560" s="2" t="s">
        <v>144</v>
      </c>
      <c r="D2560" s="2" t="s">
        <v>3263</v>
      </c>
      <c r="E2560" s="7" t="s">
        <v>3427</v>
      </c>
      <c r="F2560" s="37">
        <v>42528.395833333336</v>
      </c>
      <c r="G2560" s="37">
        <v>42528.541666666664</v>
      </c>
      <c r="H2560" s="1" t="s">
        <v>6</v>
      </c>
      <c r="I2560" s="1" t="s">
        <v>38</v>
      </c>
      <c r="J2560" s="1">
        <v>42529.438194444447</v>
      </c>
      <c r="K2560" s="1" t="s">
        <v>144</v>
      </c>
      <c r="L2560" s="14">
        <f>24*(TblTimeSheet[[#This Row],[End Date and Time]]-TblTimeSheet[[#This Row],[Start Date and Time]])</f>
        <v>3.4999999998835847</v>
      </c>
      <c r="M25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0" s="14">
        <f>--(0&gt;(TblTimeSheet[[#This Row],[End Date and Time]]-TblTimeSheet[[#This Row],[Start Date and Time]]))</f>
        <v>0</v>
      </c>
    </row>
    <row r="2561" spans="1:14" x14ac:dyDescent="0.25">
      <c r="A2561" s="1"/>
      <c r="B2561" s="2" t="s">
        <v>2878</v>
      </c>
      <c r="C2561" s="2" t="s">
        <v>144</v>
      </c>
      <c r="D2561" s="2" t="s">
        <v>3263</v>
      </c>
      <c r="E2561" s="7" t="s">
        <v>3428</v>
      </c>
      <c r="F2561" s="37">
        <v>42528.604166666664</v>
      </c>
      <c r="G2561" s="37">
        <v>42528.736111111109</v>
      </c>
      <c r="H2561" s="1" t="s">
        <v>6</v>
      </c>
      <c r="I2561" s="1" t="s">
        <v>38</v>
      </c>
      <c r="J2561" s="1">
        <v>42529.43886574074</v>
      </c>
      <c r="K2561" s="1" t="s">
        <v>144</v>
      </c>
      <c r="L2561" s="14">
        <f>24*(TblTimeSheet[[#This Row],[End Date and Time]]-TblTimeSheet[[#This Row],[Start Date and Time]])</f>
        <v>3.1666666666860692</v>
      </c>
      <c r="M25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1" s="14">
        <f>--(0&gt;(TblTimeSheet[[#This Row],[End Date and Time]]-TblTimeSheet[[#This Row],[Start Date and Time]]))</f>
        <v>0</v>
      </c>
    </row>
    <row r="2562" spans="1:14" ht="45" x14ac:dyDescent="0.25">
      <c r="A2562" s="1"/>
      <c r="B2562" s="2" t="s">
        <v>2878</v>
      </c>
      <c r="C2562" s="2" t="s">
        <v>36</v>
      </c>
      <c r="D2562" s="2" t="s">
        <v>3261</v>
      </c>
      <c r="E2562" s="7" t="s">
        <v>3866</v>
      </c>
      <c r="F2562" s="37">
        <v>42529.381944444445</v>
      </c>
      <c r="G2562" s="37">
        <v>42529.545138888891</v>
      </c>
      <c r="H2562" s="1" t="s">
        <v>6</v>
      </c>
      <c r="I2562" s="1" t="s">
        <v>38</v>
      </c>
      <c r="J2562" s="1">
        <v>42529.712465277778</v>
      </c>
      <c r="K2562" s="1" t="s">
        <v>36</v>
      </c>
      <c r="L2562" s="14">
        <f>24*(TblTimeSheet[[#This Row],[End Date and Time]]-TblTimeSheet[[#This Row],[Start Date and Time]])</f>
        <v>3.9166666666860692</v>
      </c>
      <c r="M25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2" s="14">
        <f>--(0&gt;(TblTimeSheet[[#This Row],[End Date and Time]]-TblTimeSheet[[#This Row],[Start Date and Time]]))</f>
        <v>0</v>
      </c>
    </row>
    <row r="2563" spans="1:14" ht="30" x14ac:dyDescent="0.25">
      <c r="A2563" s="1"/>
      <c r="B2563" s="2" t="s">
        <v>2878</v>
      </c>
      <c r="C2563" s="2" t="s">
        <v>36</v>
      </c>
      <c r="D2563" s="2" t="s">
        <v>3261</v>
      </c>
      <c r="E2563" s="7" t="s">
        <v>3867</v>
      </c>
      <c r="F2563" s="37">
        <v>42529.583333333336</v>
      </c>
      <c r="G2563" s="37">
        <v>42529.711805555555</v>
      </c>
      <c r="H2563" s="1" t="s">
        <v>6</v>
      </c>
      <c r="I2563" s="1" t="s">
        <v>38</v>
      </c>
      <c r="J2563" s="1">
        <v>42529.713530092595</v>
      </c>
      <c r="K2563" s="1" t="s">
        <v>36</v>
      </c>
      <c r="L2563" s="14">
        <f>24*(TblTimeSheet[[#This Row],[End Date and Time]]-TblTimeSheet[[#This Row],[Start Date and Time]])</f>
        <v>3.0833333332557231</v>
      </c>
      <c r="M25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3" s="14">
        <f>--(0&gt;(TblTimeSheet[[#This Row],[End Date and Time]]-TblTimeSheet[[#This Row],[Start Date and Time]]))</f>
        <v>0</v>
      </c>
    </row>
    <row r="2564" spans="1:14" ht="45" x14ac:dyDescent="0.25">
      <c r="A2564" s="1"/>
      <c r="B2564" s="2" t="s">
        <v>2878</v>
      </c>
      <c r="C2564" s="2" t="s">
        <v>36</v>
      </c>
      <c r="D2564" s="2" t="s">
        <v>3261</v>
      </c>
      <c r="E2564" s="7" t="s">
        <v>3868</v>
      </c>
      <c r="F2564" s="37">
        <v>42530.378472222219</v>
      </c>
      <c r="G2564" s="37">
        <v>42530.541666666664</v>
      </c>
      <c r="H2564" s="1" t="s">
        <v>6</v>
      </c>
      <c r="I2564" s="1" t="s">
        <v>38</v>
      </c>
      <c r="J2564" s="1">
        <v>42530.583310185182</v>
      </c>
      <c r="K2564" s="1" t="s">
        <v>36</v>
      </c>
      <c r="L2564" s="14">
        <f>24*(TblTimeSheet[[#This Row],[End Date and Time]]-TblTimeSheet[[#This Row],[Start Date and Time]])</f>
        <v>3.9166666666860692</v>
      </c>
      <c r="M25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4" s="14">
        <f>--(0&gt;(TblTimeSheet[[#This Row],[End Date and Time]]-TblTimeSheet[[#This Row],[Start Date and Time]]))</f>
        <v>0</v>
      </c>
    </row>
    <row r="2565" spans="1:14" ht="45" x14ac:dyDescent="0.25">
      <c r="A2565" s="1"/>
      <c r="B2565" s="2" t="s">
        <v>2878</v>
      </c>
      <c r="C2565" s="2" t="s">
        <v>36</v>
      </c>
      <c r="D2565" s="2" t="s">
        <v>3261</v>
      </c>
      <c r="E2565" s="7" t="s">
        <v>3869</v>
      </c>
      <c r="F2565" s="37">
        <v>42530.583333333336</v>
      </c>
      <c r="G2565" s="37">
        <v>42530.729166666664</v>
      </c>
      <c r="H2565" s="1" t="s">
        <v>6</v>
      </c>
      <c r="I2565" s="1" t="s">
        <v>38</v>
      </c>
      <c r="J2565" s="1">
        <v>42530.730567129627</v>
      </c>
      <c r="K2565" s="1" t="s">
        <v>36</v>
      </c>
      <c r="L2565" s="14">
        <f>24*(TblTimeSheet[[#This Row],[End Date and Time]]-TblTimeSheet[[#This Row],[Start Date and Time]])</f>
        <v>3.4999999998835847</v>
      </c>
      <c r="M25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5" s="14">
        <f>--(0&gt;(TblTimeSheet[[#This Row],[End Date and Time]]-TblTimeSheet[[#This Row],[Start Date and Time]]))</f>
        <v>0</v>
      </c>
    </row>
    <row r="2566" spans="1:14" ht="75" x14ac:dyDescent="0.25">
      <c r="A2566" s="1"/>
      <c r="B2566" s="2" t="s">
        <v>2878</v>
      </c>
      <c r="C2566" s="2" t="s">
        <v>36</v>
      </c>
      <c r="D2566" s="2" t="s">
        <v>3261</v>
      </c>
      <c r="E2566" s="7" t="s">
        <v>3870</v>
      </c>
      <c r="F2566" s="37">
        <v>42531.385416666664</v>
      </c>
      <c r="G2566" s="37">
        <v>42531.552083333336</v>
      </c>
      <c r="H2566" s="1" t="s">
        <v>6</v>
      </c>
      <c r="I2566" s="1" t="s">
        <v>38</v>
      </c>
      <c r="J2566" s="1">
        <v>42531.553298611114</v>
      </c>
      <c r="K2566" s="1" t="s">
        <v>36</v>
      </c>
      <c r="L2566" s="14">
        <f>24*(TblTimeSheet[[#This Row],[End Date and Time]]-TblTimeSheet[[#This Row],[Start Date and Time]])</f>
        <v>4.0000000001164153</v>
      </c>
      <c r="M25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6" s="14">
        <f>--(0&gt;(TblTimeSheet[[#This Row],[End Date and Time]]-TblTimeSheet[[#This Row],[Start Date and Time]]))</f>
        <v>0</v>
      </c>
    </row>
    <row r="2567" spans="1:14" ht="30" x14ac:dyDescent="0.25">
      <c r="A2567" s="1"/>
      <c r="B2567" s="2" t="s">
        <v>2878</v>
      </c>
      <c r="C2567" s="2" t="s">
        <v>36</v>
      </c>
      <c r="D2567" s="2" t="s">
        <v>3261</v>
      </c>
      <c r="E2567" s="7" t="s">
        <v>3871</v>
      </c>
      <c r="F2567" s="37">
        <v>42531.583333333336</v>
      </c>
      <c r="G2567" s="37">
        <v>42531.732638888891</v>
      </c>
      <c r="H2567" s="1" t="s">
        <v>6</v>
      </c>
      <c r="I2567" s="1" t="s">
        <v>38</v>
      </c>
      <c r="J2567" s="1">
        <v>42531.73332175926</v>
      </c>
      <c r="K2567" s="1" t="s">
        <v>36</v>
      </c>
      <c r="L2567" s="14">
        <f>24*(TblTimeSheet[[#This Row],[End Date and Time]]-TblTimeSheet[[#This Row],[Start Date and Time]])</f>
        <v>3.5833333333139308</v>
      </c>
      <c r="M25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7" s="14">
        <f>--(0&gt;(TblTimeSheet[[#This Row],[End Date and Time]]-TblTimeSheet[[#This Row],[Start Date and Time]]))</f>
        <v>0</v>
      </c>
    </row>
    <row r="2568" spans="1:14" x14ac:dyDescent="0.25">
      <c r="A2568" s="1"/>
      <c r="B2568" s="2" t="s">
        <v>2878</v>
      </c>
      <c r="C2568" s="2" t="s">
        <v>1105</v>
      </c>
      <c r="D2568" s="2" t="s">
        <v>3261</v>
      </c>
      <c r="E2568" s="7" t="s">
        <v>3429</v>
      </c>
      <c r="F2568" s="37">
        <v>42530.479166666664</v>
      </c>
      <c r="G2568" s="37">
        <v>42530.583333333336</v>
      </c>
      <c r="H2568" s="1" t="s">
        <v>6</v>
      </c>
      <c r="I2568" s="1" t="s">
        <v>38</v>
      </c>
      <c r="J2568" s="1">
        <v>42532.472638888888</v>
      </c>
      <c r="K2568" s="1" t="s">
        <v>2864</v>
      </c>
      <c r="L2568" s="14">
        <f>24*(TblTimeSheet[[#This Row],[End Date and Time]]-TblTimeSheet[[#This Row],[Start Date and Time]])</f>
        <v>2.5000000001164153</v>
      </c>
      <c r="M25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8" s="14">
        <f>--(0&gt;(TblTimeSheet[[#This Row],[End Date and Time]]-TblTimeSheet[[#This Row],[Start Date and Time]]))</f>
        <v>0</v>
      </c>
    </row>
    <row r="2569" spans="1:14" x14ac:dyDescent="0.25">
      <c r="A2569" s="1"/>
      <c r="B2569" s="2" t="s">
        <v>2878</v>
      </c>
      <c r="C2569" s="2" t="s">
        <v>1105</v>
      </c>
      <c r="D2569" s="2" t="s">
        <v>3261</v>
      </c>
      <c r="E2569" s="7" t="s">
        <v>3430</v>
      </c>
      <c r="F2569" s="37">
        <v>42531.5</v>
      </c>
      <c r="G2569" s="37">
        <v>42531.541666666664</v>
      </c>
      <c r="H2569" s="1" t="s">
        <v>6</v>
      </c>
      <c r="I2569" s="1" t="s">
        <v>38</v>
      </c>
      <c r="J2569" s="1">
        <v>42532.473912037036</v>
      </c>
      <c r="K2569" s="1" t="s">
        <v>2864</v>
      </c>
      <c r="L2569" s="14">
        <f>24*(TblTimeSheet[[#This Row],[End Date and Time]]-TblTimeSheet[[#This Row],[Start Date and Time]])</f>
        <v>0.99999999994179234</v>
      </c>
      <c r="M25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69" s="14">
        <f>--(0&gt;(TblTimeSheet[[#This Row],[End Date and Time]]-TblTimeSheet[[#This Row],[Start Date and Time]]))</f>
        <v>0</v>
      </c>
    </row>
    <row r="2570" spans="1:14" x14ac:dyDescent="0.25">
      <c r="A2570" s="1"/>
      <c r="B2570" s="2" t="s">
        <v>2878</v>
      </c>
      <c r="C2570" s="2" t="s">
        <v>1105</v>
      </c>
      <c r="D2570" s="2" t="s">
        <v>3261</v>
      </c>
      <c r="E2570" s="7" t="s">
        <v>3431</v>
      </c>
      <c r="F2570" s="37">
        <v>42531.583333333336</v>
      </c>
      <c r="G2570" s="37">
        <v>42531.729166666664</v>
      </c>
      <c r="H2570" s="1" t="s">
        <v>6</v>
      </c>
      <c r="I2570" s="1" t="s">
        <v>38</v>
      </c>
      <c r="J2570" s="1">
        <v>42532.474594907406</v>
      </c>
      <c r="K2570" s="1" t="s">
        <v>2864</v>
      </c>
      <c r="L2570" s="14">
        <f>24*(TblTimeSheet[[#This Row],[End Date and Time]]-TblTimeSheet[[#This Row],[Start Date and Time]])</f>
        <v>3.4999999998835847</v>
      </c>
      <c r="M25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0" s="14">
        <f>--(0&gt;(TblTimeSheet[[#This Row],[End Date and Time]]-TblTimeSheet[[#This Row],[Start Date and Time]]))</f>
        <v>0</v>
      </c>
    </row>
    <row r="2571" spans="1:14" x14ac:dyDescent="0.25">
      <c r="A2571" s="1"/>
      <c r="B2571" s="2" t="s">
        <v>2878</v>
      </c>
      <c r="C2571" s="2" t="s">
        <v>1105</v>
      </c>
      <c r="D2571" s="2" t="s">
        <v>3261</v>
      </c>
      <c r="E2571" s="7" t="s">
        <v>3432</v>
      </c>
      <c r="F2571" s="37">
        <v>42532.375</v>
      </c>
      <c r="G2571" s="37">
        <v>42532.458333333336</v>
      </c>
      <c r="H2571" s="1" t="s">
        <v>6</v>
      </c>
      <c r="I2571" s="1" t="s">
        <v>38</v>
      </c>
      <c r="J2571" s="1">
        <v>42532.474999999999</v>
      </c>
      <c r="K2571" s="1" t="s">
        <v>2864</v>
      </c>
      <c r="L2571" s="14">
        <f>24*(TblTimeSheet[[#This Row],[End Date and Time]]-TblTimeSheet[[#This Row],[Start Date and Time]])</f>
        <v>2.0000000000582077</v>
      </c>
      <c r="M25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1" s="14">
        <f>--(0&gt;(TblTimeSheet[[#This Row],[End Date and Time]]-TblTimeSheet[[#This Row],[Start Date and Time]]))</f>
        <v>0</v>
      </c>
    </row>
    <row r="2572" spans="1:14" x14ac:dyDescent="0.25">
      <c r="A2572" s="1"/>
      <c r="B2572" s="2" t="s">
        <v>2878</v>
      </c>
      <c r="C2572" s="2" t="s">
        <v>144</v>
      </c>
      <c r="D2572" s="2" t="s">
        <v>3261</v>
      </c>
      <c r="E2572" s="7" t="s">
        <v>3433</v>
      </c>
      <c r="F2572" s="37">
        <v>42532.375</v>
      </c>
      <c r="G2572" s="37">
        <v>42532.5</v>
      </c>
      <c r="H2572" s="1" t="s">
        <v>6</v>
      </c>
      <c r="I2572" s="1" t="s">
        <v>38</v>
      </c>
      <c r="J2572" s="1">
        <v>42532.546539351853</v>
      </c>
      <c r="K2572" s="1" t="s">
        <v>144</v>
      </c>
      <c r="L2572" s="14">
        <f>24*(TblTimeSheet[[#This Row],[End Date and Time]]-TblTimeSheet[[#This Row],[Start Date and Time]])</f>
        <v>3</v>
      </c>
      <c r="M25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2" s="14">
        <f>--(0&gt;(TblTimeSheet[[#This Row],[End Date and Time]]-TblTimeSheet[[#This Row],[Start Date and Time]]))</f>
        <v>0</v>
      </c>
    </row>
    <row r="2573" spans="1:14" x14ac:dyDescent="0.25">
      <c r="A2573" s="1"/>
      <c r="B2573" s="2" t="s">
        <v>2878</v>
      </c>
      <c r="C2573" s="2" t="s">
        <v>144</v>
      </c>
      <c r="D2573" s="2" t="s">
        <v>3263</v>
      </c>
      <c r="E2573" s="7" t="s">
        <v>3434</v>
      </c>
      <c r="F2573" s="37">
        <v>42532.513888888891</v>
      </c>
      <c r="G2573" s="37">
        <v>42532.541666666664</v>
      </c>
      <c r="H2573" s="1" t="s">
        <v>6</v>
      </c>
      <c r="I2573" s="1" t="s">
        <v>38</v>
      </c>
      <c r="J2573" s="1">
        <v>42532.547175925924</v>
      </c>
      <c r="K2573" s="1" t="s">
        <v>144</v>
      </c>
      <c r="L2573" s="14">
        <f>24*(TblTimeSheet[[#This Row],[End Date and Time]]-TblTimeSheet[[#This Row],[Start Date and Time]])</f>
        <v>0.6666666665696539</v>
      </c>
      <c r="M25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3" s="14">
        <f>--(0&gt;(TblTimeSheet[[#This Row],[End Date and Time]]-TblTimeSheet[[#This Row],[Start Date and Time]]))</f>
        <v>0</v>
      </c>
    </row>
    <row r="2574" spans="1:14" ht="30" x14ac:dyDescent="0.25">
      <c r="A2574" s="1"/>
      <c r="B2574" s="2" t="s">
        <v>2878</v>
      </c>
      <c r="C2574" s="2" t="s">
        <v>144</v>
      </c>
      <c r="D2574" s="2" t="s">
        <v>3263</v>
      </c>
      <c r="E2574" s="7" t="s">
        <v>3872</v>
      </c>
      <c r="F2574" s="37">
        <v>42531.375</v>
      </c>
      <c r="G2574" s="37">
        <v>42531.548611111109</v>
      </c>
      <c r="H2574" s="1" t="s">
        <v>6</v>
      </c>
      <c r="I2574" s="1" t="s">
        <v>38</v>
      </c>
      <c r="J2574" s="1">
        <v>42532.547962962963</v>
      </c>
      <c r="K2574" s="1" t="s">
        <v>144</v>
      </c>
      <c r="L2574" s="14">
        <f>24*(TblTimeSheet[[#This Row],[End Date and Time]]-TblTimeSheet[[#This Row],[Start Date and Time]])</f>
        <v>4.1666666666278616</v>
      </c>
      <c r="M25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4" s="14">
        <f>--(0&gt;(TblTimeSheet[[#This Row],[End Date and Time]]-TblTimeSheet[[#This Row],[Start Date and Time]]))</f>
        <v>0</v>
      </c>
    </row>
    <row r="2575" spans="1:14" x14ac:dyDescent="0.25">
      <c r="A2575" s="1"/>
      <c r="B2575" s="2" t="s">
        <v>2878</v>
      </c>
      <c r="C2575" s="2" t="s">
        <v>144</v>
      </c>
      <c r="D2575" s="2" t="s">
        <v>3261</v>
      </c>
      <c r="E2575" s="7" t="s">
        <v>3435</v>
      </c>
      <c r="F2575" s="37">
        <v>42531.604166666664</v>
      </c>
      <c r="G2575" s="37">
        <v>42531.760416666664</v>
      </c>
      <c r="H2575" s="1" t="s">
        <v>6</v>
      </c>
      <c r="I2575" s="1" t="s">
        <v>38</v>
      </c>
      <c r="J2575" s="1">
        <v>42532.549467592595</v>
      </c>
      <c r="K2575" s="1" t="s">
        <v>144</v>
      </c>
      <c r="L2575" s="14">
        <f>24*(TblTimeSheet[[#This Row],[End Date and Time]]-TblTimeSheet[[#This Row],[Start Date and Time]])</f>
        <v>3.75</v>
      </c>
      <c r="M25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5" s="14">
        <f>--(0&gt;(TblTimeSheet[[#This Row],[End Date and Time]]-TblTimeSheet[[#This Row],[Start Date and Time]]))</f>
        <v>0</v>
      </c>
    </row>
    <row r="2576" spans="1:14" ht="30" x14ac:dyDescent="0.25">
      <c r="A2576" s="1"/>
      <c r="B2576" s="2" t="s">
        <v>2878</v>
      </c>
      <c r="C2576" s="2" t="s">
        <v>144</v>
      </c>
      <c r="D2576" s="2" t="s">
        <v>3261</v>
      </c>
      <c r="E2576" s="7" t="s">
        <v>3873</v>
      </c>
      <c r="F2576" s="37">
        <v>42530.416666666664</v>
      </c>
      <c r="G2576" s="37">
        <v>42530.548611111109</v>
      </c>
      <c r="H2576" s="1" t="s">
        <v>6</v>
      </c>
      <c r="I2576" s="1" t="s">
        <v>38</v>
      </c>
      <c r="J2576" s="1">
        <v>42532.551041666666</v>
      </c>
      <c r="K2576" s="1" t="s">
        <v>144</v>
      </c>
      <c r="L2576" s="14">
        <f>24*(TblTimeSheet[[#This Row],[End Date and Time]]-TblTimeSheet[[#This Row],[Start Date and Time]])</f>
        <v>3.1666666666860692</v>
      </c>
      <c r="M25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6" s="14">
        <f>--(0&gt;(TblTimeSheet[[#This Row],[End Date and Time]]-TblTimeSheet[[#This Row],[Start Date and Time]]))</f>
        <v>0</v>
      </c>
    </row>
    <row r="2577" spans="1:14" ht="30" x14ac:dyDescent="0.25">
      <c r="A2577" s="1"/>
      <c r="B2577" s="2" t="s">
        <v>2878</v>
      </c>
      <c r="C2577" s="2" t="s">
        <v>144</v>
      </c>
      <c r="D2577" s="2" t="s">
        <v>3261</v>
      </c>
      <c r="E2577" s="7" t="s">
        <v>3873</v>
      </c>
      <c r="F2577" s="37">
        <v>42530.583333333336</v>
      </c>
      <c r="G2577" s="37">
        <v>42530.743055555555</v>
      </c>
      <c r="H2577" s="1" t="s">
        <v>6</v>
      </c>
      <c r="I2577" s="1" t="s">
        <v>38</v>
      </c>
      <c r="J2577" s="1">
        <v>42532.550844907404</v>
      </c>
      <c r="K2577" s="1" t="s">
        <v>144</v>
      </c>
      <c r="L2577" s="14">
        <f>24*(TblTimeSheet[[#This Row],[End Date and Time]]-TblTimeSheet[[#This Row],[Start Date and Time]])</f>
        <v>3.8333333332557231</v>
      </c>
      <c r="M25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7" s="14">
        <f>--(0&gt;(TblTimeSheet[[#This Row],[End Date and Time]]-TblTimeSheet[[#This Row],[Start Date and Time]]))</f>
        <v>0</v>
      </c>
    </row>
    <row r="2578" spans="1:14" x14ac:dyDescent="0.25">
      <c r="A2578" s="1"/>
      <c r="B2578" s="2" t="s">
        <v>2878</v>
      </c>
      <c r="C2578" s="2" t="s">
        <v>36</v>
      </c>
      <c r="D2578" s="2" t="s">
        <v>3261</v>
      </c>
      <c r="E2578" s="7" t="s">
        <v>3874</v>
      </c>
      <c r="F2578" s="37">
        <v>42534.472222222219</v>
      </c>
      <c r="G2578" s="37">
        <v>42534.545138888891</v>
      </c>
      <c r="H2578" s="1" t="s">
        <v>6</v>
      </c>
      <c r="I2578" s="1" t="s">
        <v>38</v>
      </c>
      <c r="J2578" s="1">
        <v>42534.733437499999</v>
      </c>
      <c r="K2578" s="1" t="s">
        <v>36</v>
      </c>
      <c r="L2578" s="14">
        <f>24*(TblTimeSheet[[#This Row],[End Date and Time]]-TblTimeSheet[[#This Row],[Start Date and Time]])</f>
        <v>1.7500000001164153</v>
      </c>
      <c r="M25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8" s="14">
        <f>--(0&gt;(TblTimeSheet[[#This Row],[End Date and Time]]-TblTimeSheet[[#This Row],[Start Date and Time]]))</f>
        <v>0</v>
      </c>
    </row>
    <row r="2579" spans="1:14" ht="30" x14ac:dyDescent="0.25">
      <c r="A2579" s="1"/>
      <c r="B2579" s="2" t="s">
        <v>2878</v>
      </c>
      <c r="C2579" s="2" t="s">
        <v>36</v>
      </c>
      <c r="D2579" s="2" t="s">
        <v>3261</v>
      </c>
      <c r="E2579" s="7" t="s">
        <v>3875</v>
      </c>
      <c r="F2579" s="37">
        <v>42534.586805555555</v>
      </c>
      <c r="G2579" s="37">
        <v>42534.732638888891</v>
      </c>
      <c r="H2579" s="1" t="s">
        <v>6</v>
      </c>
      <c r="I2579" s="1" t="s">
        <v>38</v>
      </c>
      <c r="J2579" s="1">
        <v>42534.7343287037</v>
      </c>
      <c r="K2579" s="1" t="s">
        <v>36</v>
      </c>
      <c r="L2579" s="14">
        <f>24*(TblTimeSheet[[#This Row],[End Date and Time]]-TblTimeSheet[[#This Row],[Start Date and Time]])</f>
        <v>3.5000000000582077</v>
      </c>
      <c r="M25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79" s="14">
        <f>--(0&gt;(TblTimeSheet[[#This Row],[End Date and Time]]-TblTimeSheet[[#This Row],[Start Date and Time]]))</f>
        <v>0</v>
      </c>
    </row>
    <row r="2580" spans="1:14" ht="30" x14ac:dyDescent="0.25">
      <c r="A2580" s="1"/>
      <c r="B2580" s="2" t="s">
        <v>2878</v>
      </c>
      <c r="C2580" s="2" t="s">
        <v>144</v>
      </c>
      <c r="D2580" s="2" t="s">
        <v>3263</v>
      </c>
      <c r="E2580" s="7" t="s">
        <v>3436</v>
      </c>
      <c r="F2580" s="37">
        <v>42534.458333333336</v>
      </c>
      <c r="G2580" s="37">
        <v>42534.736111111109</v>
      </c>
      <c r="H2580" s="1" t="s">
        <v>6</v>
      </c>
      <c r="I2580" s="1" t="s">
        <v>38</v>
      </c>
      <c r="J2580" s="1">
        <v>42534.737986111111</v>
      </c>
      <c r="K2580" s="1" t="s">
        <v>144</v>
      </c>
      <c r="L2580" s="14">
        <f>24*(TblTimeSheet[[#This Row],[End Date and Time]]-TblTimeSheet[[#This Row],[Start Date and Time]])</f>
        <v>6.6666666665696539</v>
      </c>
      <c r="M25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80" s="14">
        <f>--(0&gt;(TblTimeSheet[[#This Row],[End Date and Time]]-TblTimeSheet[[#This Row],[Start Date and Time]]))</f>
        <v>0</v>
      </c>
    </row>
    <row r="2581" spans="1:14" x14ac:dyDescent="0.25">
      <c r="A2581" s="1"/>
      <c r="B2581" s="2" t="s">
        <v>2878</v>
      </c>
      <c r="C2581" s="2" t="s">
        <v>144</v>
      </c>
      <c r="D2581" s="2" t="s">
        <v>3261</v>
      </c>
      <c r="E2581" s="7" t="s">
        <v>3437</v>
      </c>
      <c r="F2581" s="37">
        <v>42534.666666666664</v>
      </c>
      <c r="G2581" s="37">
        <v>42534.729166666664</v>
      </c>
      <c r="H2581" s="1" t="s">
        <v>6</v>
      </c>
      <c r="I2581" s="1" t="s">
        <v>38</v>
      </c>
      <c r="J2581" s="1">
        <v>42534.738449074073</v>
      </c>
      <c r="K2581" s="1" t="s">
        <v>144</v>
      </c>
      <c r="L2581" s="14">
        <f>24*(TblTimeSheet[[#This Row],[End Date and Time]]-TblTimeSheet[[#This Row],[Start Date and Time]])</f>
        <v>1.5</v>
      </c>
      <c r="M25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81" s="14">
        <f>--(0&gt;(TblTimeSheet[[#This Row],[End Date and Time]]-TblTimeSheet[[#This Row],[Start Date and Time]]))</f>
        <v>0</v>
      </c>
    </row>
    <row r="2582" spans="1:14" ht="30" x14ac:dyDescent="0.25">
      <c r="A2582" s="1"/>
      <c r="B2582" s="2" t="s">
        <v>2878</v>
      </c>
      <c r="C2582" s="2" t="s">
        <v>144</v>
      </c>
      <c r="D2582" s="2" t="s">
        <v>3263</v>
      </c>
      <c r="E2582" s="7" t="s">
        <v>3438</v>
      </c>
      <c r="F2582" s="37">
        <v>42529.402777777781</v>
      </c>
      <c r="G2582" s="37">
        <v>42529.541666666664</v>
      </c>
      <c r="H2582" s="1" t="s">
        <v>6</v>
      </c>
      <c r="I2582" s="1" t="s">
        <v>38</v>
      </c>
      <c r="J2582" s="1">
        <v>42534.740636574075</v>
      </c>
      <c r="K2582" s="1" t="s">
        <v>144</v>
      </c>
      <c r="L2582" s="14">
        <f>24*(TblTimeSheet[[#This Row],[End Date and Time]]-TblTimeSheet[[#This Row],[Start Date and Time]])</f>
        <v>3.3333333331975155</v>
      </c>
      <c r="M25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2" s="14">
        <f>--(0&gt;(TblTimeSheet[[#This Row],[End Date and Time]]-TblTimeSheet[[#This Row],[Start Date and Time]]))</f>
        <v>0</v>
      </c>
    </row>
    <row r="2583" spans="1:14" x14ac:dyDescent="0.25">
      <c r="A2583" s="1"/>
      <c r="B2583" s="2" t="s">
        <v>2878</v>
      </c>
      <c r="C2583" s="2" t="s">
        <v>144</v>
      </c>
      <c r="D2583" s="2" t="s">
        <v>3263</v>
      </c>
      <c r="E2583" s="7" t="s">
        <v>3428</v>
      </c>
      <c r="F2583" s="37">
        <v>42529.604166666664</v>
      </c>
      <c r="G2583" s="37">
        <v>42529.708333333336</v>
      </c>
      <c r="H2583" s="1" t="s">
        <v>6</v>
      </c>
      <c r="I2583" s="1" t="s">
        <v>38</v>
      </c>
      <c r="J2583" s="1">
        <v>42534.741053240738</v>
      </c>
      <c r="K2583" s="1" t="s">
        <v>144</v>
      </c>
      <c r="L2583" s="14">
        <f>24*(TblTimeSheet[[#This Row],[End Date and Time]]-TblTimeSheet[[#This Row],[Start Date and Time]])</f>
        <v>2.5000000001164153</v>
      </c>
      <c r="M25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3" s="14">
        <f>--(0&gt;(TblTimeSheet[[#This Row],[End Date and Time]]-TblTimeSheet[[#This Row],[Start Date and Time]]))</f>
        <v>0</v>
      </c>
    </row>
    <row r="2584" spans="1:14" x14ac:dyDescent="0.25">
      <c r="A2584" s="1"/>
      <c r="B2584" s="2" t="s">
        <v>2878</v>
      </c>
      <c r="C2584" s="2" t="s">
        <v>144</v>
      </c>
      <c r="D2584" s="2" t="s">
        <v>3261</v>
      </c>
      <c r="E2584" s="7" t="s">
        <v>3439</v>
      </c>
      <c r="F2584" s="37">
        <v>42534.732638888891</v>
      </c>
      <c r="G2584" s="37">
        <v>42534.75</v>
      </c>
      <c r="H2584" s="1" t="s">
        <v>6</v>
      </c>
      <c r="I2584" s="1" t="s">
        <v>38</v>
      </c>
      <c r="J2584" s="1">
        <v>42534.750798611109</v>
      </c>
      <c r="K2584" s="1" t="s">
        <v>144</v>
      </c>
      <c r="L2584" s="14">
        <f>24*(TblTimeSheet[[#This Row],[End Date and Time]]-TblTimeSheet[[#This Row],[Start Date and Time]])</f>
        <v>0.41666666662786156</v>
      </c>
      <c r="M25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84" s="14">
        <f>--(0&gt;(TblTimeSheet[[#This Row],[End Date and Time]]-TblTimeSheet[[#This Row],[Start Date and Time]]))</f>
        <v>0</v>
      </c>
    </row>
    <row r="2585" spans="1:14" ht="30" x14ac:dyDescent="0.25">
      <c r="A2585" s="1"/>
      <c r="B2585" s="2" t="s">
        <v>2878</v>
      </c>
      <c r="C2585" s="2" t="s">
        <v>144</v>
      </c>
      <c r="D2585" s="2" t="s">
        <v>3261</v>
      </c>
      <c r="E2585" s="7" t="s">
        <v>3440</v>
      </c>
      <c r="F2585" s="37">
        <v>42535.395833333336</v>
      </c>
      <c r="G2585" s="37">
        <v>42535.458333333336</v>
      </c>
      <c r="H2585" s="1" t="s">
        <v>6</v>
      </c>
      <c r="I2585" s="1" t="s">
        <v>38</v>
      </c>
      <c r="J2585" s="1">
        <v>42535.721354166664</v>
      </c>
      <c r="K2585" s="1" t="s">
        <v>144</v>
      </c>
      <c r="L2585" s="14">
        <f>24*(TblTimeSheet[[#This Row],[End Date and Time]]-TblTimeSheet[[#This Row],[Start Date and Time]])</f>
        <v>1.5</v>
      </c>
      <c r="M25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85" s="14">
        <f>--(0&gt;(TblTimeSheet[[#This Row],[End Date and Time]]-TblTimeSheet[[#This Row],[Start Date and Time]]))</f>
        <v>0</v>
      </c>
    </row>
    <row r="2586" spans="1:14" x14ac:dyDescent="0.25">
      <c r="A2586" s="1"/>
      <c r="B2586" s="2" t="s">
        <v>2878</v>
      </c>
      <c r="C2586" s="2" t="s">
        <v>144</v>
      </c>
      <c r="D2586" s="2" t="s">
        <v>3261</v>
      </c>
      <c r="E2586" s="7" t="s">
        <v>3441</v>
      </c>
      <c r="F2586" s="37">
        <v>42535.475694444445</v>
      </c>
      <c r="G2586" s="37">
        <v>42535.520833333336</v>
      </c>
      <c r="H2586" s="1" t="s">
        <v>6</v>
      </c>
      <c r="I2586" s="1" t="s">
        <v>38</v>
      </c>
      <c r="J2586" s="1">
        <v>42535.72215277778</v>
      </c>
      <c r="K2586" s="1" t="s">
        <v>144</v>
      </c>
      <c r="L2586" s="14">
        <f>24*(TblTimeSheet[[#This Row],[End Date and Time]]-TblTimeSheet[[#This Row],[Start Date and Time]])</f>
        <v>1.0833333333721384</v>
      </c>
      <c r="M25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86" s="14">
        <f>--(0&gt;(TblTimeSheet[[#This Row],[End Date and Time]]-TblTimeSheet[[#This Row],[Start Date and Time]]))</f>
        <v>0</v>
      </c>
    </row>
    <row r="2587" spans="1:14" x14ac:dyDescent="0.25">
      <c r="A2587" s="1"/>
      <c r="B2587" s="2" t="s">
        <v>2878</v>
      </c>
      <c r="C2587" s="2" t="s">
        <v>144</v>
      </c>
      <c r="D2587" s="2" t="s">
        <v>3263</v>
      </c>
      <c r="E2587" s="7" t="s">
        <v>3442</v>
      </c>
      <c r="F2587" s="37">
        <v>42535.375</v>
      </c>
      <c r="G2587" s="37">
        <v>42535.729166666664</v>
      </c>
      <c r="H2587" s="1" t="s">
        <v>6</v>
      </c>
      <c r="I2587" s="1" t="s">
        <v>38</v>
      </c>
      <c r="J2587" s="1">
        <v>42535.732835648145</v>
      </c>
      <c r="K2587" s="1" t="s">
        <v>144</v>
      </c>
      <c r="L2587" s="14">
        <f>24*(TblTimeSheet[[#This Row],[End Date and Time]]-TblTimeSheet[[#This Row],[Start Date and Time]])</f>
        <v>8.4999999999417923</v>
      </c>
      <c r="M25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7" s="14">
        <f>--(0&gt;(TblTimeSheet[[#This Row],[End Date and Time]]-TblTimeSheet[[#This Row],[Start Date and Time]]))</f>
        <v>0</v>
      </c>
    </row>
    <row r="2588" spans="1:14" ht="30" x14ac:dyDescent="0.25">
      <c r="A2588" s="1"/>
      <c r="B2588" s="2" t="s">
        <v>2878</v>
      </c>
      <c r="C2588" s="2" t="s">
        <v>36</v>
      </c>
      <c r="D2588" s="2" t="s">
        <v>3261</v>
      </c>
      <c r="E2588" s="7" t="s">
        <v>3876</v>
      </c>
      <c r="F2588" s="37">
        <v>42535.458333333336</v>
      </c>
      <c r="G2588" s="37">
        <v>42535.552083333336</v>
      </c>
      <c r="H2588" s="1" t="s">
        <v>6</v>
      </c>
      <c r="I2588" s="1" t="s">
        <v>38</v>
      </c>
      <c r="J2588" s="1">
        <v>42536.64738425926</v>
      </c>
      <c r="K2588" s="1" t="s">
        <v>36</v>
      </c>
      <c r="L2588" s="14">
        <f>24*(TblTimeSheet[[#This Row],[End Date and Time]]-TblTimeSheet[[#This Row],[Start Date and Time]])</f>
        <v>2.25</v>
      </c>
      <c r="M25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8" s="14">
        <f>--(0&gt;(TblTimeSheet[[#This Row],[End Date and Time]]-TblTimeSheet[[#This Row],[Start Date and Time]]))</f>
        <v>0</v>
      </c>
    </row>
    <row r="2589" spans="1:14" x14ac:dyDescent="0.25">
      <c r="A2589" s="1"/>
      <c r="B2589" s="2" t="s">
        <v>2878</v>
      </c>
      <c r="C2589" s="2" t="s">
        <v>36</v>
      </c>
      <c r="D2589" s="2" t="s">
        <v>3261</v>
      </c>
      <c r="E2589" s="7" t="s">
        <v>3877</v>
      </c>
      <c r="F2589" s="37">
        <v>42535.583333333336</v>
      </c>
      <c r="G2589" s="37">
        <v>42535.732638888891</v>
      </c>
      <c r="H2589" s="1" t="s">
        <v>6</v>
      </c>
      <c r="I2589" s="1" t="s">
        <v>38</v>
      </c>
      <c r="J2589" s="1">
        <v>42536.64806712963</v>
      </c>
      <c r="K2589" s="1" t="s">
        <v>36</v>
      </c>
      <c r="L2589" s="14">
        <f>24*(TblTimeSheet[[#This Row],[End Date and Time]]-TblTimeSheet[[#This Row],[Start Date and Time]])</f>
        <v>3.5833333333139308</v>
      </c>
      <c r="M25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89" s="14">
        <f>--(0&gt;(TblTimeSheet[[#This Row],[End Date and Time]]-TblTimeSheet[[#This Row],[Start Date and Time]]))</f>
        <v>0</v>
      </c>
    </row>
    <row r="2590" spans="1:14" ht="30" x14ac:dyDescent="0.25">
      <c r="A2590" s="1"/>
      <c r="B2590" s="2" t="s">
        <v>2878</v>
      </c>
      <c r="C2590" s="2" t="s">
        <v>36</v>
      </c>
      <c r="D2590" s="2" t="s">
        <v>3261</v>
      </c>
      <c r="E2590" s="7" t="s">
        <v>3878</v>
      </c>
      <c r="F2590" s="37">
        <v>42536.378472222219</v>
      </c>
      <c r="G2590" s="37">
        <v>42536.548611111109</v>
      </c>
      <c r="H2590" s="1" t="s">
        <v>6</v>
      </c>
      <c r="I2590" s="1" t="s">
        <v>38</v>
      </c>
      <c r="J2590" s="1">
        <v>42536.648842592593</v>
      </c>
      <c r="K2590" s="1" t="s">
        <v>36</v>
      </c>
      <c r="L2590" s="14">
        <f>24*(TblTimeSheet[[#This Row],[End Date and Time]]-TblTimeSheet[[#This Row],[Start Date and Time]])</f>
        <v>4.0833333333721384</v>
      </c>
      <c r="M25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90" s="14">
        <f>--(0&gt;(TblTimeSheet[[#This Row],[End Date and Time]]-TblTimeSheet[[#This Row],[Start Date and Time]]))</f>
        <v>0</v>
      </c>
    </row>
    <row r="2591" spans="1:14" x14ac:dyDescent="0.25">
      <c r="A2591" s="1"/>
      <c r="B2591" s="2" t="s">
        <v>2878</v>
      </c>
      <c r="C2591" s="2" t="s">
        <v>144</v>
      </c>
      <c r="D2591" s="2" t="s">
        <v>3261</v>
      </c>
      <c r="E2591" s="7" t="s">
        <v>3443</v>
      </c>
      <c r="F2591" s="37">
        <v>42536.388888888891</v>
      </c>
      <c r="G2591" s="37">
        <v>42536.458333333336</v>
      </c>
      <c r="H2591" s="1" t="s">
        <v>6</v>
      </c>
      <c r="I2591" s="1" t="s">
        <v>38</v>
      </c>
      <c r="J2591" s="1">
        <v>42536.730011574073</v>
      </c>
      <c r="K2591" s="1" t="s">
        <v>144</v>
      </c>
      <c r="L2591" s="14">
        <f>24*(TblTimeSheet[[#This Row],[End Date and Time]]-TblTimeSheet[[#This Row],[Start Date and Time]])</f>
        <v>1.6666666666860692</v>
      </c>
      <c r="M25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1" s="14">
        <f>--(0&gt;(TblTimeSheet[[#This Row],[End Date and Time]]-TblTimeSheet[[#This Row],[Start Date and Time]]))</f>
        <v>0</v>
      </c>
    </row>
    <row r="2592" spans="1:14" x14ac:dyDescent="0.25">
      <c r="A2592" s="1"/>
      <c r="B2592" s="2" t="s">
        <v>2878</v>
      </c>
      <c r="C2592" s="2" t="s">
        <v>144</v>
      </c>
      <c r="D2592" s="2" t="s">
        <v>3261</v>
      </c>
      <c r="E2592" s="7" t="s">
        <v>3444</v>
      </c>
      <c r="F2592" s="37">
        <v>42536.465277777781</v>
      </c>
      <c r="G2592" s="37">
        <v>42536.53125</v>
      </c>
      <c r="H2592" s="1" t="s">
        <v>6</v>
      </c>
      <c r="I2592" s="1" t="s">
        <v>38</v>
      </c>
      <c r="J2592" s="1">
        <v>42536.730578703704</v>
      </c>
      <c r="K2592" s="1" t="s">
        <v>144</v>
      </c>
      <c r="L2592" s="14">
        <f>24*(TblTimeSheet[[#This Row],[End Date and Time]]-TblTimeSheet[[#This Row],[Start Date and Time]])</f>
        <v>1.5833333332557231</v>
      </c>
      <c r="M25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2" s="14">
        <f>--(0&gt;(TblTimeSheet[[#This Row],[End Date and Time]]-TblTimeSheet[[#This Row],[Start Date and Time]]))</f>
        <v>0</v>
      </c>
    </row>
    <row r="2593" spans="1:14" x14ac:dyDescent="0.25">
      <c r="A2593" s="1"/>
      <c r="B2593" s="2" t="s">
        <v>2878</v>
      </c>
      <c r="C2593" s="2" t="s">
        <v>144</v>
      </c>
      <c r="D2593" s="2" t="s">
        <v>3261</v>
      </c>
      <c r="E2593" s="7" t="s">
        <v>3445</v>
      </c>
      <c r="F2593" s="37">
        <v>42536.385416666664</v>
      </c>
      <c r="G2593" s="37">
        <v>42536.5</v>
      </c>
      <c r="H2593" s="1" t="s">
        <v>6</v>
      </c>
      <c r="I2593" s="1" t="s">
        <v>38</v>
      </c>
      <c r="J2593" s="1">
        <v>42536.731006944443</v>
      </c>
      <c r="K2593" s="1" t="s">
        <v>144</v>
      </c>
      <c r="L2593" s="14">
        <f>24*(TblTimeSheet[[#This Row],[End Date and Time]]-TblTimeSheet[[#This Row],[Start Date and Time]])</f>
        <v>2.7500000000582077</v>
      </c>
      <c r="M25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3" s="14">
        <f>--(0&gt;(TblTimeSheet[[#This Row],[End Date and Time]]-TblTimeSheet[[#This Row],[Start Date and Time]]))</f>
        <v>0</v>
      </c>
    </row>
    <row r="2594" spans="1:14" x14ac:dyDescent="0.25">
      <c r="A2594" s="1"/>
      <c r="B2594" s="2" t="s">
        <v>2878</v>
      </c>
      <c r="C2594" s="2" t="s">
        <v>144</v>
      </c>
      <c r="D2594" s="2" t="s">
        <v>3261</v>
      </c>
      <c r="E2594" s="7" t="s">
        <v>3446</v>
      </c>
      <c r="F2594" s="37">
        <v>42536.590277777781</v>
      </c>
      <c r="G2594" s="37">
        <v>42536.666666666664</v>
      </c>
      <c r="H2594" s="1" t="s">
        <v>6</v>
      </c>
      <c r="I2594" s="1" t="s">
        <v>38</v>
      </c>
      <c r="J2594" s="1">
        <v>42536.733113425929</v>
      </c>
      <c r="K2594" s="1" t="s">
        <v>144</v>
      </c>
      <c r="L2594" s="14">
        <f>24*(TblTimeSheet[[#This Row],[End Date and Time]]-TblTimeSheet[[#This Row],[Start Date and Time]])</f>
        <v>1.8333333331975155</v>
      </c>
      <c r="M25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94" s="14">
        <f>--(0&gt;(TblTimeSheet[[#This Row],[End Date and Time]]-TblTimeSheet[[#This Row],[Start Date and Time]]))</f>
        <v>0</v>
      </c>
    </row>
    <row r="2595" spans="1:14" ht="30" x14ac:dyDescent="0.25">
      <c r="A2595" s="1"/>
      <c r="B2595" s="2" t="s">
        <v>2878</v>
      </c>
      <c r="C2595" s="2" t="s">
        <v>36</v>
      </c>
      <c r="D2595" s="2" t="s">
        <v>3261</v>
      </c>
      <c r="E2595" s="7" t="s">
        <v>3879</v>
      </c>
      <c r="F2595" s="37">
        <v>42536.583333333336</v>
      </c>
      <c r="G2595" s="37">
        <v>42536.729166666664</v>
      </c>
      <c r="H2595" s="1" t="s">
        <v>6</v>
      </c>
      <c r="I2595" s="1" t="s">
        <v>38</v>
      </c>
      <c r="J2595" s="1">
        <v>42537.378807870373</v>
      </c>
      <c r="K2595" s="1" t="s">
        <v>36</v>
      </c>
      <c r="L2595" s="14">
        <f>24*(TblTimeSheet[[#This Row],[End Date and Time]]-TblTimeSheet[[#This Row],[Start Date and Time]])</f>
        <v>3.4999999998835847</v>
      </c>
      <c r="M25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95" s="14">
        <f>--(0&gt;(TblTimeSheet[[#This Row],[End Date and Time]]-TblTimeSheet[[#This Row],[Start Date and Time]]))</f>
        <v>0</v>
      </c>
    </row>
    <row r="2596" spans="1:14" x14ac:dyDescent="0.25">
      <c r="A2596" s="1"/>
      <c r="B2596" s="2" t="s">
        <v>2878</v>
      </c>
      <c r="C2596" s="2" t="s">
        <v>144</v>
      </c>
      <c r="D2596" s="2" t="s">
        <v>3261</v>
      </c>
      <c r="E2596" s="7" t="s">
        <v>3447</v>
      </c>
      <c r="F2596" s="37">
        <v>42537.375</v>
      </c>
      <c r="G2596" s="37">
        <v>42537.4375</v>
      </c>
      <c r="H2596" s="1" t="s">
        <v>6</v>
      </c>
      <c r="I2596" s="1" t="s">
        <v>38</v>
      </c>
      <c r="J2596" s="1">
        <v>42538.469247685185</v>
      </c>
      <c r="K2596" s="1" t="s">
        <v>144</v>
      </c>
      <c r="L2596" s="14">
        <f>24*(TblTimeSheet[[#This Row],[End Date and Time]]-TblTimeSheet[[#This Row],[Start Date and Time]])</f>
        <v>1.5</v>
      </c>
      <c r="M25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96" s="14">
        <f>--(0&gt;(TblTimeSheet[[#This Row],[End Date and Time]]-TblTimeSheet[[#This Row],[Start Date and Time]]))</f>
        <v>0</v>
      </c>
    </row>
    <row r="2597" spans="1:14" x14ac:dyDescent="0.25">
      <c r="A2597" s="1"/>
      <c r="B2597" s="2" t="s">
        <v>2878</v>
      </c>
      <c r="C2597" s="2" t="s">
        <v>144</v>
      </c>
      <c r="D2597" s="2" t="s">
        <v>3261</v>
      </c>
      <c r="E2597" s="7" t="s">
        <v>3448</v>
      </c>
      <c r="F2597" s="37">
        <v>42537.444444444445</v>
      </c>
      <c r="G2597" s="37">
        <v>42537.552083333336</v>
      </c>
      <c r="H2597" s="1" t="s">
        <v>6</v>
      </c>
      <c r="I2597" s="1" t="s">
        <v>38</v>
      </c>
      <c r="J2597" s="1">
        <v>42538.467164351852</v>
      </c>
      <c r="K2597" s="1" t="s">
        <v>144</v>
      </c>
      <c r="L2597" s="14">
        <f>24*(TblTimeSheet[[#This Row],[End Date and Time]]-TblTimeSheet[[#This Row],[Start Date and Time]])</f>
        <v>2.5833333333721384</v>
      </c>
      <c r="M25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597" s="14">
        <f>--(0&gt;(TblTimeSheet[[#This Row],[End Date and Time]]-TblTimeSheet[[#This Row],[Start Date and Time]]))</f>
        <v>0</v>
      </c>
    </row>
    <row r="2598" spans="1:14" ht="30" x14ac:dyDescent="0.25">
      <c r="A2598" s="1"/>
      <c r="B2598" s="2" t="s">
        <v>2878</v>
      </c>
      <c r="C2598" s="2" t="s">
        <v>144</v>
      </c>
      <c r="D2598" s="2" t="s">
        <v>3261</v>
      </c>
      <c r="E2598" s="7" t="s">
        <v>3449</v>
      </c>
      <c r="F2598" s="37">
        <v>42537.590277777781</v>
      </c>
      <c r="G2598" s="37">
        <v>42537.746527777781</v>
      </c>
      <c r="H2598" s="1" t="s">
        <v>6</v>
      </c>
      <c r="I2598" s="1" t="s">
        <v>38</v>
      </c>
      <c r="J2598" s="1">
        <v>42538.469467592593</v>
      </c>
      <c r="K2598" s="1" t="s">
        <v>144</v>
      </c>
      <c r="L2598" s="14">
        <f>24*(TblTimeSheet[[#This Row],[End Date and Time]]-TblTimeSheet[[#This Row],[Start Date and Time]])</f>
        <v>3.75</v>
      </c>
      <c r="M25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8" s="14">
        <f>--(0&gt;(TblTimeSheet[[#This Row],[End Date and Time]]-TblTimeSheet[[#This Row],[Start Date and Time]]))</f>
        <v>0</v>
      </c>
    </row>
    <row r="2599" spans="1:14" x14ac:dyDescent="0.25">
      <c r="A2599" s="1"/>
      <c r="B2599" s="2" t="s">
        <v>2878</v>
      </c>
      <c r="C2599" s="2" t="s">
        <v>144</v>
      </c>
      <c r="D2599" s="2" t="s">
        <v>3261</v>
      </c>
      <c r="E2599" s="7" t="s">
        <v>3450</v>
      </c>
      <c r="F2599" s="37">
        <v>42537.625</v>
      </c>
      <c r="G2599" s="37">
        <v>42537.746527777781</v>
      </c>
      <c r="H2599" s="1" t="s">
        <v>6</v>
      </c>
      <c r="I2599" s="1" t="s">
        <v>38</v>
      </c>
      <c r="J2599" s="1">
        <v>42538.468912037039</v>
      </c>
      <c r="K2599" s="1" t="s">
        <v>144</v>
      </c>
      <c r="L2599" s="14">
        <f>24*(TblTimeSheet[[#This Row],[End Date and Time]]-TblTimeSheet[[#This Row],[Start Date and Time]])</f>
        <v>2.9166666667442769</v>
      </c>
      <c r="M25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599" s="14">
        <f>--(0&gt;(TblTimeSheet[[#This Row],[End Date and Time]]-TblTimeSheet[[#This Row],[Start Date and Time]]))</f>
        <v>0</v>
      </c>
    </row>
    <row r="2600" spans="1:14" x14ac:dyDescent="0.25">
      <c r="A2600" s="1"/>
      <c r="B2600" s="2" t="s">
        <v>2878</v>
      </c>
      <c r="C2600" s="2" t="s">
        <v>144</v>
      </c>
      <c r="D2600" s="2" t="s">
        <v>3261</v>
      </c>
      <c r="E2600" s="7" t="s">
        <v>3451</v>
      </c>
      <c r="F2600" s="37">
        <v>42538.375</v>
      </c>
      <c r="G2600" s="37">
        <v>42538.430555555555</v>
      </c>
      <c r="H2600" s="1" t="s">
        <v>6</v>
      </c>
      <c r="I2600" s="1" t="s">
        <v>38</v>
      </c>
      <c r="J2600" s="1">
        <v>42538.470254629632</v>
      </c>
      <c r="K2600" s="1" t="s">
        <v>144</v>
      </c>
      <c r="L2600" s="14">
        <f>24*(TblTimeSheet[[#This Row],[End Date and Time]]-TblTimeSheet[[#This Row],[Start Date and Time]])</f>
        <v>1.3333333333139308</v>
      </c>
      <c r="M26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0" s="14">
        <f>--(0&gt;(TblTimeSheet[[#This Row],[End Date and Time]]-TblTimeSheet[[#This Row],[Start Date and Time]]))</f>
        <v>0</v>
      </c>
    </row>
    <row r="2601" spans="1:14" x14ac:dyDescent="0.25">
      <c r="A2601" s="1"/>
      <c r="B2601" s="2" t="s">
        <v>2878</v>
      </c>
      <c r="C2601" s="2" t="s">
        <v>144</v>
      </c>
      <c r="D2601" s="2" t="s">
        <v>3261</v>
      </c>
      <c r="E2601" s="7" t="s">
        <v>3452</v>
      </c>
      <c r="F2601" s="37">
        <v>42538.4375</v>
      </c>
      <c r="G2601" s="37">
        <v>42538.548611111109</v>
      </c>
      <c r="H2601" s="1" t="s">
        <v>6</v>
      </c>
      <c r="I2601" s="1" t="s">
        <v>38</v>
      </c>
      <c r="J2601" s="1">
        <v>42542.388518518521</v>
      </c>
      <c r="K2601" s="1" t="s">
        <v>144</v>
      </c>
      <c r="L2601" s="14">
        <f>24*(TblTimeSheet[[#This Row],[End Date and Time]]-TblTimeSheet[[#This Row],[Start Date and Time]])</f>
        <v>2.6666666666278616</v>
      </c>
      <c r="M26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1" s="14">
        <f>--(0&gt;(TblTimeSheet[[#This Row],[End Date and Time]]-TblTimeSheet[[#This Row],[Start Date and Time]]))</f>
        <v>0</v>
      </c>
    </row>
    <row r="2602" spans="1:14" ht="45" x14ac:dyDescent="0.25">
      <c r="A2602" s="1"/>
      <c r="B2602" s="2" t="s">
        <v>2878</v>
      </c>
      <c r="C2602" s="2" t="s">
        <v>36</v>
      </c>
      <c r="D2602" s="2" t="s">
        <v>3261</v>
      </c>
      <c r="E2602" s="7" t="s">
        <v>3880</v>
      </c>
      <c r="F2602" s="37">
        <v>42537.381944444445</v>
      </c>
      <c r="G2602" s="37">
        <v>42537.545138888891</v>
      </c>
      <c r="H2602" s="1" t="s">
        <v>6</v>
      </c>
      <c r="I2602" s="1" t="s">
        <v>38</v>
      </c>
      <c r="J2602" s="1">
        <v>42539.382106481484</v>
      </c>
      <c r="K2602" s="1" t="s">
        <v>36</v>
      </c>
      <c r="L2602" s="14">
        <f>24*(TblTimeSheet[[#This Row],[End Date and Time]]-TblTimeSheet[[#This Row],[Start Date and Time]])</f>
        <v>3.9166666666860692</v>
      </c>
      <c r="M26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2" s="14">
        <f>--(0&gt;(TblTimeSheet[[#This Row],[End Date and Time]]-TblTimeSheet[[#This Row],[Start Date and Time]]))</f>
        <v>0</v>
      </c>
    </row>
    <row r="2603" spans="1:14" x14ac:dyDescent="0.25">
      <c r="A2603" s="1"/>
      <c r="B2603" s="2" t="s">
        <v>2878</v>
      </c>
      <c r="C2603" s="2" t="s">
        <v>36</v>
      </c>
      <c r="D2603" s="2" t="s">
        <v>3261</v>
      </c>
      <c r="E2603" s="7" t="s">
        <v>3881</v>
      </c>
      <c r="F2603" s="37">
        <v>42537.583333333336</v>
      </c>
      <c r="G2603" s="37">
        <v>42537.729166666664</v>
      </c>
      <c r="H2603" s="1" t="s">
        <v>6</v>
      </c>
      <c r="I2603" s="1" t="s">
        <v>38</v>
      </c>
      <c r="J2603" s="1">
        <v>42539.382604166669</v>
      </c>
      <c r="K2603" s="1" t="s">
        <v>36</v>
      </c>
      <c r="L2603" s="14">
        <f>24*(TblTimeSheet[[#This Row],[End Date and Time]]-TblTimeSheet[[#This Row],[Start Date and Time]])</f>
        <v>3.4999999998835847</v>
      </c>
      <c r="M26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3" s="14">
        <f>--(0&gt;(TblTimeSheet[[#This Row],[End Date and Time]]-TblTimeSheet[[#This Row],[Start Date and Time]]))</f>
        <v>0</v>
      </c>
    </row>
    <row r="2604" spans="1:14" ht="60" x14ac:dyDescent="0.25">
      <c r="A2604" s="1"/>
      <c r="B2604" s="2" t="s">
        <v>2878</v>
      </c>
      <c r="C2604" s="2" t="s">
        <v>36</v>
      </c>
      <c r="D2604" s="2" t="s">
        <v>3261</v>
      </c>
      <c r="E2604" s="7" t="s">
        <v>3882</v>
      </c>
      <c r="F2604" s="37">
        <v>42538.375</v>
      </c>
      <c r="G2604" s="37">
        <v>42538.555555555555</v>
      </c>
      <c r="H2604" s="1" t="s">
        <v>6</v>
      </c>
      <c r="I2604" s="1" t="s">
        <v>38</v>
      </c>
      <c r="J2604" s="1">
        <v>42539.385451388887</v>
      </c>
      <c r="K2604" s="1" t="s">
        <v>36</v>
      </c>
      <c r="L2604" s="14">
        <f>24*(TblTimeSheet[[#This Row],[End Date and Time]]-TblTimeSheet[[#This Row],[Start Date and Time]])</f>
        <v>4.3333333333139308</v>
      </c>
      <c r="M26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4" s="14">
        <f>--(0&gt;(TblTimeSheet[[#This Row],[End Date and Time]]-TblTimeSheet[[#This Row],[Start Date and Time]]))</f>
        <v>0</v>
      </c>
    </row>
    <row r="2605" spans="1:14" ht="45" x14ac:dyDescent="0.25">
      <c r="A2605" s="1"/>
      <c r="B2605" s="2" t="s">
        <v>2878</v>
      </c>
      <c r="C2605" s="2" t="s">
        <v>36</v>
      </c>
      <c r="D2605" s="2" t="s">
        <v>3261</v>
      </c>
      <c r="E2605" s="7" t="s">
        <v>3883</v>
      </c>
      <c r="F2605" s="37">
        <v>42538.59375</v>
      </c>
      <c r="G2605" s="37">
        <v>42538.729166666664</v>
      </c>
      <c r="H2605" s="1" t="s">
        <v>6</v>
      </c>
      <c r="I2605" s="1" t="s">
        <v>38</v>
      </c>
      <c r="J2605" s="1">
        <v>42539.38721064815</v>
      </c>
      <c r="K2605" s="1" t="s">
        <v>36</v>
      </c>
      <c r="L2605" s="14">
        <f>24*(TblTimeSheet[[#This Row],[End Date and Time]]-TblTimeSheet[[#This Row],[Start Date and Time]])</f>
        <v>3.2499999999417923</v>
      </c>
      <c r="M26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5" s="14">
        <f>--(0&gt;(TblTimeSheet[[#This Row],[End Date and Time]]-TblTimeSheet[[#This Row],[Start Date and Time]]))</f>
        <v>0</v>
      </c>
    </row>
    <row r="2606" spans="1:14" ht="30" x14ac:dyDescent="0.25">
      <c r="A2606" s="1"/>
      <c r="B2606" s="2" t="s">
        <v>2878</v>
      </c>
      <c r="C2606" s="2" t="s">
        <v>36</v>
      </c>
      <c r="D2606" s="2" t="s">
        <v>3261</v>
      </c>
      <c r="E2606" s="7" t="s">
        <v>3884</v>
      </c>
      <c r="F2606" s="37">
        <v>42539.381944444445</v>
      </c>
      <c r="G2606" s="37">
        <v>42539.541666666664</v>
      </c>
      <c r="H2606" s="1" t="s">
        <v>6</v>
      </c>
      <c r="I2606" s="1" t="s">
        <v>38</v>
      </c>
      <c r="J2606" s="1">
        <v>42541.413043981483</v>
      </c>
      <c r="K2606" s="1" t="s">
        <v>36</v>
      </c>
      <c r="L2606" s="14">
        <f>24*(TblTimeSheet[[#This Row],[End Date and Time]]-TblTimeSheet[[#This Row],[Start Date and Time]])</f>
        <v>3.8333333332557231</v>
      </c>
      <c r="M26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6" s="14">
        <f>--(0&gt;(TblTimeSheet[[#This Row],[End Date and Time]]-TblTimeSheet[[#This Row],[Start Date and Time]]))</f>
        <v>0</v>
      </c>
    </row>
    <row r="2607" spans="1:14" x14ac:dyDescent="0.25">
      <c r="A2607" s="1"/>
      <c r="B2607" s="2" t="s">
        <v>2878</v>
      </c>
      <c r="C2607" s="2" t="s">
        <v>36</v>
      </c>
      <c r="D2607" s="2" t="s">
        <v>3261</v>
      </c>
      <c r="E2607" s="7" t="s">
        <v>3885</v>
      </c>
      <c r="F2607" s="37">
        <v>42539.583333333336</v>
      </c>
      <c r="G2607" s="37">
        <v>42539.729166666664</v>
      </c>
      <c r="H2607" s="1" t="s">
        <v>6</v>
      </c>
      <c r="I2607" s="1" t="s">
        <v>38</v>
      </c>
      <c r="J2607" s="1">
        <v>42541.4137962963</v>
      </c>
      <c r="K2607" s="1" t="s">
        <v>36</v>
      </c>
      <c r="L2607" s="14">
        <f>24*(TblTimeSheet[[#This Row],[End Date and Time]]-TblTimeSheet[[#This Row],[Start Date and Time]])</f>
        <v>3.4999999998835847</v>
      </c>
      <c r="M26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7" s="14">
        <f>--(0&gt;(TblTimeSheet[[#This Row],[End Date and Time]]-TblTimeSheet[[#This Row],[Start Date and Time]]))</f>
        <v>0</v>
      </c>
    </row>
    <row r="2608" spans="1:14" x14ac:dyDescent="0.25">
      <c r="A2608" s="1"/>
      <c r="B2608" s="2" t="s">
        <v>2878</v>
      </c>
      <c r="C2608" s="2" t="s">
        <v>144</v>
      </c>
      <c r="D2608" s="2" t="s">
        <v>3261</v>
      </c>
      <c r="E2608" s="7" t="s">
        <v>3453</v>
      </c>
      <c r="F2608" s="37">
        <v>42541.399305555555</v>
      </c>
      <c r="G2608" s="37">
        <v>42541.541666666664</v>
      </c>
      <c r="H2608" s="1" t="s">
        <v>6</v>
      </c>
      <c r="I2608" s="1" t="s">
        <v>38</v>
      </c>
      <c r="J2608" s="1">
        <v>42542.38108796296</v>
      </c>
      <c r="K2608" s="1" t="s">
        <v>144</v>
      </c>
      <c r="L2608" s="14">
        <f>24*(TblTimeSheet[[#This Row],[End Date and Time]]-TblTimeSheet[[#This Row],[Start Date and Time]])</f>
        <v>3.4166666666278616</v>
      </c>
      <c r="M26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8" s="14">
        <f>--(0&gt;(TblTimeSheet[[#This Row],[End Date and Time]]-TblTimeSheet[[#This Row],[Start Date and Time]]))</f>
        <v>0</v>
      </c>
    </row>
    <row r="2609" spans="1:14" x14ac:dyDescent="0.25">
      <c r="A2609" s="1"/>
      <c r="B2609" s="2" t="s">
        <v>2878</v>
      </c>
      <c r="C2609" s="2" t="s">
        <v>144</v>
      </c>
      <c r="D2609" s="2" t="s">
        <v>3261</v>
      </c>
      <c r="E2609" s="7" t="s">
        <v>3453</v>
      </c>
      <c r="F2609" s="37">
        <v>42541.583333333336</v>
      </c>
      <c r="G2609" s="37">
        <v>42541.642361111109</v>
      </c>
      <c r="H2609" s="1" t="s">
        <v>6</v>
      </c>
      <c r="I2609" s="1" t="s">
        <v>38</v>
      </c>
      <c r="J2609" s="1">
        <v>42542.38140046296</v>
      </c>
      <c r="K2609" s="1" t="s">
        <v>144</v>
      </c>
      <c r="L2609" s="14">
        <f>24*(TblTimeSheet[[#This Row],[End Date and Time]]-TblTimeSheet[[#This Row],[Start Date and Time]])</f>
        <v>1.4166666665696539</v>
      </c>
      <c r="M26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09" s="14">
        <f>--(0&gt;(TblTimeSheet[[#This Row],[End Date and Time]]-TblTimeSheet[[#This Row],[Start Date and Time]]))</f>
        <v>0</v>
      </c>
    </row>
    <row r="2610" spans="1:14" ht="30" x14ac:dyDescent="0.25">
      <c r="A2610" s="1"/>
      <c r="B2610" s="2" t="s">
        <v>2878</v>
      </c>
      <c r="C2610" s="2" t="s">
        <v>36</v>
      </c>
      <c r="D2610" s="2" t="s">
        <v>3261</v>
      </c>
      <c r="E2610" s="7" t="s">
        <v>3886</v>
      </c>
      <c r="F2610" s="37">
        <v>42541.385416666664</v>
      </c>
      <c r="G2610" s="37">
        <v>42541.555555555555</v>
      </c>
      <c r="H2610" s="1" t="s">
        <v>6</v>
      </c>
      <c r="I2610" s="1" t="s">
        <v>38</v>
      </c>
      <c r="J2610" s="1">
        <v>42542.382233796299</v>
      </c>
      <c r="K2610" s="1" t="s">
        <v>36</v>
      </c>
      <c r="L2610" s="14">
        <f>24*(TblTimeSheet[[#This Row],[End Date and Time]]-TblTimeSheet[[#This Row],[Start Date and Time]])</f>
        <v>4.0833333333721384</v>
      </c>
      <c r="M26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0" s="14">
        <f>--(0&gt;(TblTimeSheet[[#This Row],[End Date and Time]]-TblTimeSheet[[#This Row],[Start Date and Time]]))</f>
        <v>0</v>
      </c>
    </row>
    <row r="2611" spans="1:14" x14ac:dyDescent="0.25">
      <c r="A2611" s="1"/>
      <c r="B2611" s="2" t="s">
        <v>2878</v>
      </c>
      <c r="C2611" s="2" t="s">
        <v>36</v>
      </c>
      <c r="D2611" s="2" t="s">
        <v>3261</v>
      </c>
      <c r="E2611" s="7" t="s">
        <v>3454</v>
      </c>
      <c r="F2611" s="37">
        <v>42541.604166666664</v>
      </c>
      <c r="G2611" s="37">
        <v>42541.666666666664</v>
      </c>
      <c r="H2611" s="1" t="s">
        <v>6</v>
      </c>
      <c r="I2611" s="1" t="s">
        <v>38</v>
      </c>
      <c r="J2611" s="1">
        <v>42542.382974537039</v>
      </c>
      <c r="K2611" s="1" t="s">
        <v>36</v>
      </c>
      <c r="L2611" s="14">
        <f>24*(TblTimeSheet[[#This Row],[End Date and Time]]-TblTimeSheet[[#This Row],[Start Date and Time]])</f>
        <v>1.5</v>
      </c>
      <c r="M26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1" s="14">
        <f>--(0&gt;(TblTimeSheet[[#This Row],[End Date and Time]]-TblTimeSheet[[#This Row],[Start Date and Time]]))</f>
        <v>0</v>
      </c>
    </row>
    <row r="2612" spans="1:14" x14ac:dyDescent="0.25">
      <c r="A2612" s="1"/>
      <c r="B2612" s="2" t="s">
        <v>2878</v>
      </c>
      <c r="C2612" s="2" t="s">
        <v>144</v>
      </c>
      <c r="D2612" s="2" t="s">
        <v>3261</v>
      </c>
      <c r="E2612" s="7" t="s">
        <v>3450</v>
      </c>
      <c r="F2612" s="37">
        <v>42538.604166666664</v>
      </c>
      <c r="G2612" s="37">
        <v>42538.625</v>
      </c>
      <c r="H2612" s="1" t="s">
        <v>6</v>
      </c>
      <c r="I2612" s="1" t="s">
        <v>38</v>
      </c>
      <c r="J2612" s="1">
        <v>42542.385868055557</v>
      </c>
      <c r="K2612" s="1" t="s">
        <v>144</v>
      </c>
      <c r="L2612" s="14">
        <f>24*(TblTimeSheet[[#This Row],[End Date and Time]]-TblTimeSheet[[#This Row],[Start Date and Time]])</f>
        <v>0.50000000005820766</v>
      </c>
      <c r="M26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2" s="14">
        <f>--(0&gt;(TblTimeSheet[[#This Row],[End Date and Time]]-TblTimeSheet[[#This Row],[Start Date and Time]]))</f>
        <v>0</v>
      </c>
    </row>
    <row r="2613" spans="1:14" x14ac:dyDescent="0.25">
      <c r="A2613" s="1"/>
      <c r="B2613" s="2" t="s">
        <v>2878</v>
      </c>
      <c r="C2613" s="2" t="s">
        <v>144</v>
      </c>
      <c r="D2613" s="2" t="s">
        <v>3261</v>
      </c>
      <c r="E2613" s="7" t="s">
        <v>3455</v>
      </c>
      <c r="F2613" s="37">
        <v>42539.416666666664</v>
      </c>
      <c r="G2613" s="37">
        <v>42539.53125</v>
      </c>
      <c r="H2613" s="1" t="s">
        <v>6</v>
      </c>
      <c r="I2613" s="1" t="s">
        <v>38</v>
      </c>
      <c r="J2613" s="1">
        <v>42542.38921296296</v>
      </c>
      <c r="K2613" s="1" t="s">
        <v>144</v>
      </c>
      <c r="L2613" s="14">
        <f>24*(TblTimeSheet[[#This Row],[End Date and Time]]-TblTimeSheet[[#This Row],[Start Date and Time]])</f>
        <v>2.7500000000582077</v>
      </c>
      <c r="M26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3" s="14">
        <f>--(0&gt;(TblTimeSheet[[#This Row],[End Date and Time]]-TblTimeSheet[[#This Row],[Start Date and Time]]))</f>
        <v>0</v>
      </c>
    </row>
    <row r="2614" spans="1:14" x14ac:dyDescent="0.25">
      <c r="A2614" s="1"/>
      <c r="B2614" s="2" t="s">
        <v>2878</v>
      </c>
      <c r="C2614" s="2" t="s">
        <v>144</v>
      </c>
      <c r="D2614" s="2" t="s">
        <v>3261</v>
      </c>
      <c r="E2614" s="7" t="s">
        <v>3455</v>
      </c>
      <c r="F2614" s="37">
        <v>42539.583333333336</v>
      </c>
      <c r="G2614" s="37">
        <v>42539.635416666664</v>
      </c>
      <c r="H2614" s="1" t="s">
        <v>6</v>
      </c>
      <c r="I2614" s="1" t="s">
        <v>38</v>
      </c>
      <c r="J2614" s="1">
        <v>42542.389594907407</v>
      </c>
      <c r="K2614" s="1" t="s">
        <v>144</v>
      </c>
      <c r="L2614" s="14">
        <f>24*(TblTimeSheet[[#This Row],[End Date and Time]]-TblTimeSheet[[#This Row],[Start Date and Time]])</f>
        <v>1.2499999998835847</v>
      </c>
      <c r="M26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4" s="14">
        <f>--(0&gt;(TblTimeSheet[[#This Row],[End Date and Time]]-TblTimeSheet[[#This Row],[Start Date and Time]]))</f>
        <v>0</v>
      </c>
    </row>
    <row r="2615" spans="1:14" ht="30" x14ac:dyDescent="0.25">
      <c r="A2615" s="1"/>
      <c r="B2615" s="2" t="s">
        <v>2878</v>
      </c>
      <c r="C2615" s="2" t="s">
        <v>36</v>
      </c>
      <c r="D2615" s="2" t="s">
        <v>3261</v>
      </c>
      <c r="E2615" s="7" t="s">
        <v>3887</v>
      </c>
      <c r="F2615" s="37">
        <v>42542.381944444445</v>
      </c>
      <c r="G2615" s="37">
        <v>42542.5</v>
      </c>
      <c r="H2615" s="1" t="s">
        <v>6</v>
      </c>
      <c r="I2615" s="1" t="s">
        <v>38</v>
      </c>
      <c r="J2615" s="1">
        <v>42543.392407407409</v>
      </c>
      <c r="K2615" s="1" t="s">
        <v>36</v>
      </c>
      <c r="L2615" s="14">
        <f>24*(TblTimeSheet[[#This Row],[End Date and Time]]-TblTimeSheet[[#This Row],[Start Date and Time]])</f>
        <v>2.8333333333139308</v>
      </c>
      <c r="M26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5" s="14">
        <f>--(0&gt;(TblTimeSheet[[#This Row],[End Date and Time]]-TblTimeSheet[[#This Row],[Start Date and Time]]))</f>
        <v>0</v>
      </c>
    </row>
    <row r="2616" spans="1:14" ht="30" x14ac:dyDescent="0.25">
      <c r="A2616" s="1"/>
      <c r="B2616" s="2" t="s">
        <v>2878</v>
      </c>
      <c r="C2616" s="2" t="s">
        <v>36</v>
      </c>
      <c r="D2616" s="2" t="s">
        <v>3261</v>
      </c>
      <c r="E2616" s="7" t="s">
        <v>3888</v>
      </c>
      <c r="F2616" s="37">
        <v>42542.59375</v>
      </c>
      <c r="G2616" s="37">
        <v>42542.673611111109</v>
      </c>
      <c r="H2616" s="1" t="s">
        <v>6</v>
      </c>
      <c r="I2616" s="1" t="s">
        <v>38</v>
      </c>
      <c r="J2616" s="1">
        <v>42543.393738425926</v>
      </c>
      <c r="K2616" s="1" t="s">
        <v>36</v>
      </c>
      <c r="L2616" s="14">
        <f>24*(TblTimeSheet[[#This Row],[End Date and Time]]-TblTimeSheet[[#This Row],[Start Date and Time]])</f>
        <v>1.9166666666278616</v>
      </c>
      <c r="M26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6" s="14">
        <f>--(0&gt;(TblTimeSheet[[#This Row],[End Date and Time]]-TblTimeSheet[[#This Row],[Start Date and Time]]))</f>
        <v>0</v>
      </c>
    </row>
    <row r="2617" spans="1:14" ht="45" x14ac:dyDescent="0.25">
      <c r="A2617" s="1"/>
      <c r="B2617" s="2" t="s">
        <v>2878</v>
      </c>
      <c r="C2617" s="2" t="s">
        <v>36</v>
      </c>
      <c r="D2617" s="2" t="s">
        <v>3261</v>
      </c>
      <c r="E2617" s="7" t="s">
        <v>3889</v>
      </c>
      <c r="F2617" s="37">
        <v>42543.381944444445</v>
      </c>
      <c r="G2617" s="37">
        <v>42543.541666666664</v>
      </c>
      <c r="H2617" s="1" t="s">
        <v>6</v>
      </c>
      <c r="I2617" s="1" t="s">
        <v>38</v>
      </c>
      <c r="J2617" s="1">
        <v>42544.390243055554</v>
      </c>
      <c r="K2617" s="1" t="s">
        <v>36</v>
      </c>
      <c r="L2617" s="14">
        <f>24*(TblTimeSheet[[#This Row],[End Date and Time]]-TblTimeSheet[[#This Row],[Start Date and Time]])</f>
        <v>3.8333333332557231</v>
      </c>
      <c r="M26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7" s="14">
        <f>--(0&gt;(TblTimeSheet[[#This Row],[End Date and Time]]-TblTimeSheet[[#This Row],[Start Date and Time]]))</f>
        <v>0</v>
      </c>
    </row>
    <row r="2618" spans="1:14" ht="45" x14ac:dyDescent="0.25">
      <c r="A2618" s="1"/>
      <c r="B2618" s="2" t="s">
        <v>2878</v>
      </c>
      <c r="C2618" s="2" t="s">
        <v>36</v>
      </c>
      <c r="D2618" s="2" t="s">
        <v>3261</v>
      </c>
      <c r="E2618" s="7" t="s">
        <v>3890</v>
      </c>
      <c r="F2618" s="37">
        <v>42543.583333333336</v>
      </c>
      <c r="G2618" s="37">
        <v>42543.743055555555</v>
      </c>
      <c r="H2618" s="1" t="s">
        <v>6</v>
      </c>
      <c r="I2618" s="1" t="s">
        <v>38</v>
      </c>
      <c r="J2618" s="1">
        <v>42544.392280092594</v>
      </c>
      <c r="K2618" s="1" t="s">
        <v>36</v>
      </c>
      <c r="L2618" s="14">
        <f>24*(TblTimeSheet[[#This Row],[End Date and Time]]-TblTimeSheet[[#This Row],[Start Date and Time]])</f>
        <v>3.8333333332557231</v>
      </c>
      <c r="M26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8" s="14">
        <f>--(0&gt;(TblTimeSheet[[#This Row],[End Date and Time]]-TblTimeSheet[[#This Row],[Start Date and Time]]))</f>
        <v>0</v>
      </c>
    </row>
    <row r="2619" spans="1:14" x14ac:dyDescent="0.25">
      <c r="A2619" s="1"/>
      <c r="B2619" s="2" t="s">
        <v>2878</v>
      </c>
      <c r="C2619" s="2" t="s">
        <v>144</v>
      </c>
      <c r="D2619" s="2" t="s">
        <v>3261</v>
      </c>
      <c r="E2619" s="7" t="s">
        <v>3456</v>
      </c>
      <c r="F2619" s="37">
        <v>42544.375</v>
      </c>
      <c r="G2619" s="37">
        <v>42544.416666666664</v>
      </c>
      <c r="H2619" s="1" t="s">
        <v>6</v>
      </c>
      <c r="I2619" s="1" t="s">
        <v>38</v>
      </c>
      <c r="J2619" s="1">
        <v>42544.516932870371</v>
      </c>
      <c r="K2619" s="1" t="s">
        <v>144</v>
      </c>
      <c r="L2619" s="14">
        <f>24*(TblTimeSheet[[#This Row],[End Date and Time]]-TblTimeSheet[[#This Row],[Start Date and Time]])</f>
        <v>0.99999999994179234</v>
      </c>
      <c r="M26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19" s="14">
        <f>--(0&gt;(TblTimeSheet[[#This Row],[End Date and Time]]-TblTimeSheet[[#This Row],[Start Date and Time]]))</f>
        <v>0</v>
      </c>
    </row>
    <row r="2620" spans="1:14" ht="30" x14ac:dyDescent="0.25">
      <c r="A2620" s="1"/>
      <c r="B2620" s="2" t="s">
        <v>2878</v>
      </c>
      <c r="C2620" s="2" t="s">
        <v>144</v>
      </c>
      <c r="D2620" s="2" t="s">
        <v>3261</v>
      </c>
      <c r="E2620" s="7" t="s">
        <v>3457</v>
      </c>
      <c r="F2620" s="37">
        <v>42544.416666666664</v>
      </c>
      <c r="G2620" s="37">
        <v>42544.510416666664</v>
      </c>
      <c r="H2620" s="1" t="s">
        <v>6</v>
      </c>
      <c r="I2620" s="1" t="s">
        <v>38</v>
      </c>
      <c r="J2620" s="1">
        <v>42544.517939814818</v>
      </c>
      <c r="K2620" s="1" t="s">
        <v>144</v>
      </c>
      <c r="L2620" s="14">
        <f>24*(TblTimeSheet[[#This Row],[End Date and Time]]-TblTimeSheet[[#This Row],[Start Date and Time]])</f>
        <v>2.25</v>
      </c>
      <c r="M26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20" s="14">
        <f>--(0&gt;(TblTimeSheet[[#This Row],[End Date and Time]]-TblTimeSheet[[#This Row],[Start Date and Time]]))</f>
        <v>0</v>
      </c>
    </row>
    <row r="2621" spans="1:14" x14ac:dyDescent="0.25">
      <c r="A2621" s="1"/>
      <c r="B2621" s="2" t="s">
        <v>2878</v>
      </c>
      <c r="C2621" s="2" t="s">
        <v>144</v>
      </c>
      <c r="D2621" s="2" t="s">
        <v>3261</v>
      </c>
      <c r="E2621" s="7" t="s">
        <v>3458</v>
      </c>
      <c r="F2621" s="37">
        <v>42544.423611111109</v>
      </c>
      <c r="G2621" s="37">
        <v>42544.517361111109</v>
      </c>
      <c r="H2621" s="1" t="s">
        <v>6</v>
      </c>
      <c r="I2621" s="1" t="s">
        <v>38</v>
      </c>
      <c r="J2621" s="1">
        <v>42544.51834490741</v>
      </c>
      <c r="K2621" s="1" t="s">
        <v>144</v>
      </c>
      <c r="L2621" s="14">
        <f>24*(TblTimeSheet[[#This Row],[End Date and Time]]-TblTimeSheet[[#This Row],[Start Date and Time]])</f>
        <v>2.25</v>
      </c>
      <c r="M26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21" s="14">
        <f>--(0&gt;(TblTimeSheet[[#This Row],[End Date and Time]]-TblTimeSheet[[#This Row],[Start Date and Time]]))</f>
        <v>0</v>
      </c>
    </row>
    <row r="2622" spans="1:14" x14ac:dyDescent="0.25">
      <c r="A2622" s="1"/>
      <c r="B2622" s="2" t="s">
        <v>2878</v>
      </c>
      <c r="C2622" s="2" t="s">
        <v>144</v>
      </c>
      <c r="D2622" s="2" t="s">
        <v>3263</v>
      </c>
      <c r="E2622" s="7" t="s">
        <v>3459</v>
      </c>
      <c r="F2622" s="37">
        <v>42543.375</v>
      </c>
      <c r="G2622" s="37">
        <v>42543.541666666664</v>
      </c>
      <c r="H2622" s="1" t="s">
        <v>6</v>
      </c>
      <c r="I2622" s="1" t="s">
        <v>38</v>
      </c>
      <c r="J2622" s="1">
        <v>42544.519884259258</v>
      </c>
      <c r="K2622" s="1" t="s">
        <v>144</v>
      </c>
      <c r="L2622" s="14">
        <f>24*(TblTimeSheet[[#This Row],[End Date and Time]]-TblTimeSheet[[#This Row],[Start Date and Time]])</f>
        <v>3.9999999999417923</v>
      </c>
      <c r="M26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2" s="14">
        <f>--(0&gt;(TblTimeSheet[[#This Row],[End Date and Time]]-TblTimeSheet[[#This Row],[Start Date and Time]]))</f>
        <v>0</v>
      </c>
    </row>
    <row r="2623" spans="1:14" x14ac:dyDescent="0.25">
      <c r="A2623" s="1"/>
      <c r="B2623" s="2" t="s">
        <v>2878</v>
      </c>
      <c r="C2623" s="2" t="s">
        <v>144</v>
      </c>
      <c r="D2623" s="2" t="s">
        <v>3263</v>
      </c>
      <c r="E2623" s="7" t="s">
        <v>3460</v>
      </c>
      <c r="F2623" s="37">
        <v>42543.583333333336</v>
      </c>
      <c r="G2623" s="37">
        <v>42543.645833333336</v>
      </c>
      <c r="H2623" s="1" t="s">
        <v>6</v>
      </c>
      <c r="I2623" s="1" t="s">
        <v>38</v>
      </c>
      <c r="J2623" s="1">
        <v>42544.520671296297</v>
      </c>
      <c r="K2623" s="1" t="s">
        <v>144</v>
      </c>
      <c r="L2623" s="14">
        <f>24*(TblTimeSheet[[#This Row],[End Date and Time]]-TblTimeSheet[[#This Row],[Start Date and Time]])</f>
        <v>1.5</v>
      </c>
      <c r="M26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3" s="14">
        <f>--(0&gt;(TblTimeSheet[[#This Row],[End Date and Time]]-TblTimeSheet[[#This Row],[Start Date and Time]]))</f>
        <v>0</v>
      </c>
    </row>
    <row r="2624" spans="1:14" x14ac:dyDescent="0.25">
      <c r="A2624" s="1"/>
      <c r="B2624" s="2" t="s">
        <v>2878</v>
      </c>
      <c r="C2624" s="2" t="s">
        <v>144</v>
      </c>
      <c r="D2624" s="2" t="s">
        <v>3261</v>
      </c>
      <c r="E2624" s="7" t="s">
        <v>3461</v>
      </c>
      <c r="F2624" s="37">
        <v>42544.583333333336</v>
      </c>
      <c r="G2624" s="37">
        <v>42544.722222222219</v>
      </c>
      <c r="H2624" s="1" t="s">
        <v>6</v>
      </c>
      <c r="I2624" s="1" t="s">
        <v>38</v>
      </c>
      <c r="J2624" s="1">
        <v>42545.415000000001</v>
      </c>
      <c r="K2624" s="1" t="s">
        <v>144</v>
      </c>
      <c r="L2624" s="14">
        <f>24*(TblTimeSheet[[#This Row],[End Date and Time]]-TblTimeSheet[[#This Row],[Start Date and Time]])</f>
        <v>3.3333333331975155</v>
      </c>
      <c r="M26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4" s="14">
        <f>--(0&gt;(TblTimeSheet[[#This Row],[End Date and Time]]-TblTimeSheet[[#This Row],[Start Date and Time]]))</f>
        <v>0</v>
      </c>
    </row>
    <row r="2625" spans="1:14" x14ac:dyDescent="0.25">
      <c r="A2625" s="1"/>
      <c r="B2625" s="2" t="s">
        <v>2878</v>
      </c>
      <c r="C2625" s="2" t="s">
        <v>144</v>
      </c>
      <c r="D2625" s="2" t="s">
        <v>3261</v>
      </c>
      <c r="E2625" s="7" t="s">
        <v>3462</v>
      </c>
      <c r="F2625" s="37">
        <v>42544.520833333336</v>
      </c>
      <c r="G2625" s="37">
        <v>42544.541666666664</v>
      </c>
      <c r="H2625" s="1" t="s">
        <v>6</v>
      </c>
      <c r="I2625" s="1" t="s">
        <v>38</v>
      </c>
      <c r="J2625" s="1">
        <v>42545.416273148148</v>
      </c>
      <c r="K2625" s="1" t="s">
        <v>144</v>
      </c>
      <c r="L2625" s="14">
        <f>24*(TblTimeSheet[[#This Row],[End Date and Time]]-TblTimeSheet[[#This Row],[Start Date and Time]])</f>
        <v>0.49999999988358468</v>
      </c>
      <c r="M26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5" s="14">
        <f>--(0&gt;(TblTimeSheet[[#This Row],[End Date and Time]]-TblTimeSheet[[#This Row],[Start Date and Time]]))</f>
        <v>0</v>
      </c>
    </row>
    <row r="2626" spans="1:14" ht="45" x14ac:dyDescent="0.25">
      <c r="A2626" s="1"/>
      <c r="B2626" s="2" t="s">
        <v>2878</v>
      </c>
      <c r="C2626" s="2" t="s">
        <v>36</v>
      </c>
      <c r="D2626" s="2" t="s">
        <v>3261</v>
      </c>
      <c r="E2626" s="7" t="s">
        <v>3891</v>
      </c>
      <c r="F2626" s="37">
        <v>42544.378472222219</v>
      </c>
      <c r="G2626" s="37">
        <v>42544.541666666664</v>
      </c>
      <c r="H2626" s="1" t="s">
        <v>6</v>
      </c>
      <c r="I2626" s="1" t="s">
        <v>38</v>
      </c>
      <c r="J2626" s="1">
        <v>42545.447546296295</v>
      </c>
      <c r="K2626" s="1" t="s">
        <v>36</v>
      </c>
      <c r="L2626" s="14">
        <f>24*(TblTimeSheet[[#This Row],[End Date and Time]]-TblTimeSheet[[#This Row],[Start Date and Time]])</f>
        <v>3.9166666666860692</v>
      </c>
      <c r="M26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6" s="14">
        <f>--(0&gt;(TblTimeSheet[[#This Row],[End Date and Time]]-TblTimeSheet[[#This Row],[Start Date and Time]]))</f>
        <v>0</v>
      </c>
    </row>
    <row r="2627" spans="1:14" x14ac:dyDescent="0.25">
      <c r="A2627" s="1"/>
      <c r="B2627" s="2" t="s">
        <v>2878</v>
      </c>
      <c r="C2627" s="2" t="s">
        <v>36</v>
      </c>
      <c r="D2627" s="2" t="s">
        <v>3261</v>
      </c>
      <c r="E2627" s="7" t="s">
        <v>3892</v>
      </c>
      <c r="F2627" s="37">
        <v>42544.583333333336</v>
      </c>
      <c r="G2627" s="37">
        <v>42544.75</v>
      </c>
      <c r="H2627" s="1" t="s">
        <v>6</v>
      </c>
      <c r="I2627" s="1" t="s">
        <v>38</v>
      </c>
      <c r="J2627" s="1">
        <v>42545.447916666664</v>
      </c>
      <c r="K2627" s="1" t="s">
        <v>36</v>
      </c>
      <c r="L2627" s="14">
        <f>24*(TblTimeSheet[[#This Row],[End Date and Time]]-TblTimeSheet[[#This Row],[Start Date and Time]])</f>
        <v>3.9999999999417923</v>
      </c>
      <c r="M26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7" s="14">
        <f>--(0&gt;(TblTimeSheet[[#This Row],[End Date and Time]]-TblTimeSheet[[#This Row],[Start Date and Time]]))</f>
        <v>0</v>
      </c>
    </row>
    <row r="2628" spans="1:14" x14ac:dyDescent="0.25">
      <c r="A2628" s="1"/>
      <c r="B2628" s="2" t="s">
        <v>2878</v>
      </c>
      <c r="C2628" s="2" t="s">
        <v>36</v>
      </c>
      <c r="D2628" s="2" t="s">
        <v>3261</v>
      </c>
      <c r="E2628" s="7" t="s">
        <v>3463</v>
      </c>
      <c r="F2628" s="37">
        <v>42545.458333333336</v>
      </c>
      <c r="G2628" s="37">
        <v>42545.541666666664</v>
      </c>
      <c r="H2628" s="1" t="s">
        <v>6</v>
      </c>
      <c r="I2628" s="1" t="s">
        <v>38</v>
      </c>
      <c r="J2628" s="1">
        <v>42546.381793981483</v>
      </c>
      <c r="K2628" s="1" t="s">
        <v>36</v>
      </c>
      <c r="L2628" s="14">
        <f>24*(TblTimeSheet[[#This Row],[End Date and Time]]-TblTimeSheet[[#This Row],[Start Date and Time]])</f>
        <v>1.9999999998835847</v>
      </c>
      <c r="M26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28" s="14">
        <f>--(0&gt;(TblTimeSheet[[#This Row],[End Date and Time]]-TblTimeSheet[[#This Row],[Start Date and Time]]))</f>
        <v>0</v>
      </c>
    </row>
    <row r="2629" spans="1:14" ht="30" x14ac:dyDescent="0.25">
      <c r="A2629" s="1"/>
      <c r="B2629" s="2" t="s">
        <v>2878</v>
      </c>
      <c r="C2629" s="2" t="s">
        <v>36</v>
      </c>
      <c r="D2629" s="2" t="s">
        <v>3261</v>
      </c>
      <c r="E2629" s="7" t="s">
        <v>3893</v>
      </c>
      <c r="F2629" s="37">
        <v>42546.583333333336</v>
      </c>
      <c r="G2629" s="37">
        <v>42546.767361111109</v>
      </c>
      <c r="H2629" s="1" t="s">
        <v>6</v>
      </c>
      <c r="I2629" s="1" t="s">
        <v>38</v>
      </c>
      <c r="J2629" s="1">
        <v>42546.382418981484</v>
      </c>
      <c r="K2629" s="1" t="s">
        <v>36</v>
      </c>
      <c r="L2629" s="14">
        <f>24*(TblTimeSheet[[#This Row],[End Date and Time]]-TblTimeSheet[[#This Row],[Start Date and Time]])</f>
        <v>4.4166666665696539</v>
      </c>
      <c r="M26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29" s="14">
        <f>--(0&gt;(TblTimeSheet[[#This Row],[End Date and Time]]-TblTimeSheet[[#This Row],[Start Date and Time]]))</f>
        <v>0</v>
      </c>
    </row>
    <row r="2630" spans="1:14" ht="30" x14ac:dyDescent="0.25">
      <c r="A2630" s="1"/>
      <c r="B2630" s="2" t="s">
        <v>2878</v>
      </c>
      <c r="C2630" s="2" t="s">
        <v>36</v>
      </c>
      <c r="D2630" s="2" t="s">
        <v>3261</v>
      </c>
      <c r="E2630" s="7" t="s">
        <v>3894</v>
      </c>
      <c r="F2630" s="37">
        <v>42546.375</v>
      </c>
      <c r="G2630" s="37">
        <v>42546.552083333336</v>
      </c>
      <c r="H2630" s="1" t="s">
        <v>6</v>
      </c>
      <c r="I2630" s="1" t="s">
        <v>38</v>
      </c>
      <c r="J2630" s="1">
        <v>42546.723680555559</v>
      </c>
      <c r="K2630" s="1" t="s">
        <v>36</v>
      </c>
      <c r="L2630" s="14">
        <f>24*(TblTimeSheet[[#This Row],[End Date and Time]]-TblTimeSheet[[#This Row],[Start Date and Time]])</f>
        <v>4.2500000000582077</v>
      </c>
      <c r="M26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0" s="14">
        <f>--(0&gt;(TblTimeSheet[[#This Row],[End Date and Time]]-TblTimeSheet[[#This Row],[Start Date and Time]]))</f>
        <v>0</v>
      </c>
    </row>
    <row r="2631" spans="1:14" ht="30" x14ac:dyDescent="0.25">
      <c r="A2631" s="1"/>
      <c r="B2631" s="2" t="s">
        <v>2878</v>
      </c>
      <c r="C2631" s="2" t="s">
        <v>36</v>
      </c>
      <c r="D2631" s="2" t="s">
        <v>3261</v>
      </c>
      <c r="E2631" s="7" t="s">
        <v>3895</v>
      </c>
      <c r="F2631" s="37">
        <v>42546.583333333336</v>
      </c>
      <c r="G2631" s="37">
        <v>42546.75</v>
      </c>
      <c r="H2631" s="1" t="s">
        <v>6</v>
      </c>
      <c r="I2631" s="1" t="s">
        <v>38</v>
      </c>
      <c r="J2631" s="1">
        <v>42548.388229166667</v>
      </c>
      <c r="K2631" s="1" t="s">
        <v>36</v>
      </c>
      <c r="L2631" s="14">
        <f>24*(TblTimeSheet[[#This Row],[End Date and Time]]-TblTimeSheet[[#This Row],[Start Date and Time]])</f>
        <v>3.9999999999417923</v>
      </c>
      <c r="M26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31" s="14">
        <f>--(0&gt;(TblTimeSheet[[#This Row],[End Date and Time]]-TblTimeSheet[[#This Row],[Start Date and Time]]))</f>
        <v>0</v>
      </c>
    </row>
    <row r="2632" spans="1:14" ht="30" x14ac:dyDescent="0.25">
      <c r="A2632" s="1"/>
      <c r="B2632" s="2" t="s">
        <v>2878</v>
      </c>
      <c r="C2632" s="2" t="s">
        <v>144</v>
      </c>
      <c r="D2632" s="2" t="s">
        <v>3261</v>
      </c>
      <c r="E2632" s="7" t="s">
        <v>3464</v>
      </c>
      <c r="F2632" s="37">
        <v>42546.385416666664</v>
      </c>
      <c r="G2632" s="37">
        <v>42546.541666666664</v>
      </c>
      <c r="H2632" s="1" t="s">
        <v>6</v>
      </c>
      <c r="I2632" s="1" t="s">
        <v>38</v>
      </c>
      <c r="J2632" s="1">
        <v>42548.444016203706</v>
      </c>
      <c r="K2632" s="1" t="s">
        <v>144</v>
      </c>
      <c r="L2632" s="14">
        <f>24*(TblTimeSheet[[#This Row],[End Date and Time]]-TblTimeSheet[[#This Row],[Start Date and Time]])</f>
        <v>3.75</v>
      </c>
      <c r="M26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2" s="14">
        <f>--(0&gt;(TblTimeSheet[[#This Row],[End Date and Time]]-TblTimeSheet[[#This Row],[Start Date and Time]]))</f>
        <v>0</v>
      </c>
    </row>
    <row r="2633" spans="1:14" ht="30" x14ac:dyDescent="0.25">
      <c r="A2633" s="1"/>
      <c r="B2633" s="2" t="s">
        <v>2878</v>
      </c>
      <c r="C2633" s="2" t="s">
        <v>144</v>
      </c>
      <c r="D2633" s="2" t="s">
        <v>3261</v>
      </c>
      <c r="E2633" s="7" t="s">
        <v>3465</v>
      </c>
      <c r="F2633" s="37">
        <v>42546.576388888891</v>
      </c>
      <c r="G2633" s="37">
        <v>42546.638888888891</v>
      </c>
      <c r="H2633" s="1" t="s">
        <v>6</v>
      </c>
      <c r="I2633" s="1" t="s">
        <v>38</v>
      </c>
      <c r="J2633" s="1">
        <v>42548.447453703702</v>
      </c>
      <c r="K2633" s="1" t="s">
        <v>144</v>
      </c>
      <c r="L2633" s="14">
        <f>24*(TblTimeSheet[[#This Row],[End Date and Time]]-TblTimeSheet[[#This Row],[Start Date and Time]])</f>
        <v>1.5</v>
      </c>
      <c r="M26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3" s="14">
        <f>--(0&gt;(TblTimeSheet[[#This Row],[End Date and Time]]-TblTimeSheet[[#This Row],[Start Date and Time]]))</f>
        <v>0</v>
      </c>
    </row>
    <row r="2634" spans="1:14" ht="30" x14ac:dyDescent="0.25">
      <c r="A2634" s="1"/>
      <c r="B2634" s="2" t="s">
        <v>2878</v>
      </c>
      <c r="C2634" s="2" t="s">
        <v>144</v>
      </c>
      <c r="D2634" s="2" t="s">
        <v>3261</v>
      </c>
      <c r="E2634" s="7" t="s">
        <v>3466</v>
      </c>
      <c r="F2634" s="37">
        <v>42545.402777777781</v>
      </c>
      <c r="G2634" s="37">
        <v>42545.541666666664</v>
      </c>
      <c r="H2634" s="1" t="s">
        <v>6</v>
      </c>
      <c r="I2634" s="1" t="s">
        <v>38</v>
      </c>
      <c r="J2634" s="1">
        <v>42548.445543981485</v>
      </c>
      <c r="K2634" s="1" t="s">
        <v>144</v>
      </c>
      <c r="L2634" s="14">
        <f>24*(TblTimeSheet[[#This Row],[End Date and Time]]-TblTimeSheet[[#This Row],[Start Date and Time]])</f>
        <v>3.3333333331975155</v>
      </c>
      <c r="M26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4" s="14">
        <f>--(0&gt;(TblTimeSheet[[#This Row],[End Date and Time]]-TblTimeSheet[[#This Row],[Start Date and Time]]))</f>
        <v>0</v>
      </c>
    </row>
    <row r="2635" spans="1:14" ht="30" x14ac:dyDescent="0.25">
      <c r="A2635" s="1"/>
      <c r="B2635" s="2" t="s">
        <v>2878</v>
      </c>
      <c r="C2635" s="2" t="s">
        <v>144</v>
      </c>
      <c r="D2635" s="2" t="s">
        <v>3261</v>
      </c>
      <c r="E2635" s="7" t="s">
        <v>3466</v>
      </c>
      <c r="F2635" s="37">
        <v>42545.583333333336</v>
      </c>
      <c r="G2635" s="37">
        <v>42545.725694444445</v>
      </c>
      <c r="H2635" s="1" t="s">
        <v>6</v>
      </c>
      <c r="I2635" s="1" t="s">
        <v>38</v>
      </c>
      <c r="J2635" s="1">
        <v>42548.445844907408</v>
      </c>
      <c r="K2635" s="1" t="s">
        <v>144</v>
      </c>
      <c r="L2635" s="14">
        <f>24*(TblTimeSheet[[#This Row],[End Date and Time]]-TblTimeSheet[[#This Row],[Start Date and Time]])</f>
        <v>3.4166666666278616</v>
      </c>
      <c r="M26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5" s="14">
        <f>--(0&gt;(TblTimeSheet[[#This Row],[End Date and Time]]-TblTimeSheet[[#This Row],[Start Date and Time]]))</f>
        <v>0</v>
      </c>
    </row>
    <row r="2636" spans="1:14" x14ac:dyDescent="0.25">
      <c r="A2636" s="1"/>
      <c r="B2636" s="2" t="s">
        <v>2878</v>
      </c>
      <c r="C2636" s="2" t="s">
        <v>36</v>
      </c>
      <c r="D2636" s="2" t="s">
        <v>3261</v>
      </c>
      <c r="E2636" s="7" t="s">
        <v>3469</v>
      </c>
      <c r="F2636" s="37">
        <v>42548.385416666664</v>
      </c>
      <c r="G2636" s="37">
        <v>42548.541666666664</v>
      </c>
      <c r="H2636" s="1" t="s">
        <v>6</v>
      </c>
      <c r="I2636" s="1" t="s">
        <v>38</v>
      </c>
      <c r="J2636" s="1">
        <v>42548.729537037034</v>
      </c>
      <c r="K2636" s="1" t="s">
        <v>36</v>
      </c>
      <c r="L2636" s="14">
        <f>24*(TblTimeSheet[[#This Row],[End Date and Time]]-TblTimeSheet[[#This Row],[Start Date and Time]])</f>
        <v>3.75</v>
      </c>
      <c r="M26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6" s="14">
        <f>--(0&gt;(TblTimeSheet[[#This Row],[End Date and Time]]-TblTimeSheet[[#This Row],[Start Date and Time]]))</f>
        <v>0</v>
      </c>
    </row>
    <row r="2637" spans="1:14" x14ac:dyDescent="0.25">
      <c r="A2637" s="1"/>
      <c r="B2637" s="2" t="s">
        <v>2878</v>
      </c>
      <c r="C2637" s="2" t="s">
        <v>36</v>
      </c>
      <c r="D2637" s="2" t="s">
        <v>3261</v>
      </c>
      <c r="E2637" s="7" t="s">
        <v>3896</v>
      </c>
      <c r="F2637" s="37">
        <v>42548.583333333336</v>
      </c>
      <c r="G2637" s="37">
        <v>42548.729166666664</v>
      </c>
      <c r="H2637" s="1" t="s">
        <v>6</v>
      </c>
      <c r="I2637" s="1" t="s">
        <v>38</v>
      </c>
      <c r="J2637" s="1">
        <v>42548.730104166665</v>
      </c>
      <c r="K2637" s="1" t="s">
        <v>36</v>
      </c>
      <c r="L2637" s="14">
        <f>24*(TblTimeSheet[[#This Row],[End Date and Time]]-TblTimeSheet[[#This Row],[Start Date and Time]])</f>
        <v>3.4999999998835847</v>
      </c>
      <c r="M26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7" s="14">
        <f>--(0&gt;(TblTimeSheet[[#This Row],[End Date and Time]]-TblTimeSheet[[#This Row],[Start Date and Time]]))</f>
        <v>0</v>
      </c>
    </row>
    <row r="2638" spans="1:14" x14ac:dyDescent="0.25">
      <c r="A2638" s="1"/>
      <c r="B2638" s="2" t="s">
        <v>2878</v>
      </c>
      <c r="C2638" s="2" t="s">
        <v>144</v>
      </c>
      <c r="D2638" s="2" t="s">
        <v>3261</v>
      </c>
      <c r="E2638" s="7" t="s">
        <v>3467</v>
      </c>
      <c r="F2638" s="37">
        <v>42548.375</v>
      </c>
      <c r="G2638" s="37">
        <v>42548.684027777781</v>
      </c>
      <c r="H2638" s="1" t="s">
        <v>6</v>
      </c>
      <c r="I2638" s="1" t="s">
        <v>38</v>
      </c>
      <c r="J2638" s="1">
        <v>42549.444837962961</v>
      </c>
      <c r="K2638" s="1" t="s">
        <v>144</v>
      </c>
      <c r="L2638" s="14">
        <f>24*(TblTimeSheet[[#This Row],[End Date and Time]]-TblTimeSheet[[#This Row],[Start Date and Time]])</f>
        <v>7.4166666667442769</v>
      </c>
      <c r="M26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38" s="14">
        <f>--(0&gt;(TblTimeSheet[[#This Row],[End Date and Time]]-TblTimeSheet[[#This Row],[Start Date and Time]]))</f>
        <v>0</v>
      </c>
    </row>
    <row r="2639" spans="1:14" x14ac:dyDescent="0.25">
      <c r="A2639" s="1"/>
      <c r="B2639" s="2" t="s">
        <v>2878</v>
      </c>
      <c r="C2639" s="2" t="s">
        <v>144</v>
      </c>
      <c r="D2639" s="2" t="s">
        <v>3261</v>
      </c>
      <c r="E2639" s="7" t="s">
        <v>3468</v>
      </c>
      <c r="F2639" s="37">
        <v>42548.458333333336</v>
      </c>
      <c r="G2639" s="37">
        <v>42548.541666666664</v>
      </c>
      <c r="H2639" s="1" t="s">
        <v>6</v>
      </c>
      <c r="I2639" s="1" t="s">
        <v>38</v>
      </c>
      <c r="J2639" s="1">
        <v>42549.444062499999</v>
      </c>
      <c r="K2639" s="1" t="s">
        <v>144</v>
      </c>
      <c r="L2639" s="14">
        <f>24*(TblTimeSheet[[#This Row],[End Date and Time]]-TblTimeSheet[[#This Row],[Start Date and Time]])</f>
        <v>1.9999999998835847</v>
      </c>
      <c r="M26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39" s="14">
        <f>--(0&gt;(TblTimeSheet[[#This Row],[End Date and Time]]-TblTimeSheet[[#This Row],[Start Date and Time]]))</f>
        <v>0</v>
      </c>
    </row>
    <row r="2640" spans="1:14" x14ac:dyDescent="0.25">
      <c r="A2640" s="1"/>
      <c r="B2640" s="2" t="s">
        <v>2878</v>
      </c>
      <c r="C2640" s="2" t="s">
        <v>144</v>
      </c>
      <c r="D2640" s="2" t="s">
        <v>3261</v>
      </c>
      <c r="E2640" s="7" t="s">
        <v>3468</v>
      </c>
      <c r="F2640" s="37">
        <v>42548.583333333336</v>
      </c>
      <c r="G2640" s="37">
        <v>42548.625</v>
      </c>
      <c r="H2640" s="1" t="s">
        <v>6</v>
      </c>
      <c r="I2640" s="1" t="s">
        <v>38</v>
      </c>
      <c r="J2640" s="1">
        <v>42549.44462962963</v>
      </c>
      <c r="K2640" s="1" t="s">
        <v>144</v>
      </c>
      <c r="L2640" s="14">
        <f>24*(TblTimeSheet[[#This Row],[End Date and Time]]-TblTimeSheet[[#This Row],[Start Date and Time]])</f>
        <v>0.99999999994179234</v>
      </c>
      <c r="M26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40" s="14">
        <f>--(0&gt;(TblTimeSheet[[#This Row],[End Date and Time]]-TblTimeSheet[[#This Row],[Start Date and Time]]))</f>
        <v>0</v>
      </c>
    </row>
    <row r="2641" spans="1:14" x14ac:dyDescent="0.25">
      <c r="A2641" s="1"/>
      <c r="B2641" s="2" t="s">
        <v>2878</v>
      </c>
      <c r="C2641" s="2" t="s">
        <v>36</v>
      </c>
      <c r="D2641" s="2" t="s">
        <v>3261</v>
      </c>
      <c r="E2641" s="7" t="s">
        <v>3469</v>
      </c>
      <c r="F2641" s="37">
        <v>42549.378472222219</v>
      </c>
      <c r="G2641" s="37">
        <v>42549.541666666664</v>
      </c>
      <c r="H2641" s="1" t="s">
        <v>6</v>
      </c>
      <c r="I2641" s="1" t="s">
        <v>38</v>
      </c>
      <c r="J2641" s="1">
        <v>42549.607071759259</v>
      </c>
      <c r="K2641" s="1" t="s">
        <v>36</v>
      </c>
      <c r="L2641" s="14">
        <f>24*(TblTimeSheet[[#This Row],[End Date and Time]]-TblTimeSheet[[#This Row],[Start Date and Time]])</f>
        <v>3.9166666666860692</v>
      </c>
      <c r="M26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1" s="14">
        <f>--(0&gt;(TblTimeSheet[[#This Row],[End Date and Time]]-TblTimeSheet[[#This Row],[Start Date and Time]]))</f>
        <v>0</v>
      </c>
    </row>
    <row r="2642" spans="1:14" ht="30" x14ac:dyDescent="0.25">
      <c r="A2642" s="1"/>
      <c r="B2642" s="2" t="s">
        <v>2878</v>
      </c>
      <c r="C2642" s="2" t="s">
        <v>36</v>
      </c>
      <c r="D2642" s="2" t="s">
        <v>3261</v>
      </c>
      <c r="E2642" s="7" t="s">
        <v>3897</v>
      </c>
      <c r="F2642" s="37">
        <v>42549.583333333336</v>
      </c>
      <c r="G2642" s="37">
        <v>42549.729166666664</v>
      </c>
      <c r="H2642" s="1" t="s">
        <v>6</v>
      </c>
      <c r="I2642" s="1" t="s">
        <v>38</v>
      </c>
      <c r="J2642" s="1">
        <v>42549.729444444441</v>
      </c>
      <c r="K2642" s="1" t="s">
        <v>36</v>
      </c>
      <c r="L2642" s="14">
        <f>24*(TblTimeSheet[[#This Row],[End Date and Time]]-TblTimeSheet[[#This Row],[Start Date and Time]])</f>
        <v>3.4999999998835847</v>
      </c>
      <c r="M26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2" s="14">
        <f>--(0&gt;(TblTimeSheet[[#This Row],[End Date and Time]]-TblTimeSheet[[#This Row],[Start Date and Time]]))</f>
        <v>0</v>
      </c>
    </row>
    <row r="2643" spans="1:14" x14ac:dyDescent="0.25">
      <c r="A2643" s="1"/>
      <c r="B2643" s="2" t="s">
        <v>2878</v>
      </c>
      <c r="C2643" s="2" t="s">
        <v>144</v>
      </c>
      <c r="D2643" s="2" t="s">
        <v>3263</v>
      </c>
      <c r="E2643" s="7" t="s">
        <v>3470</v>
      </c>
      <c r="F2643" s="37">
        <v>42549.375</v>
      </c>
      <c r="G2643" s="37">
        <v>42549.736111111109</v>
      </c>
      <c r="H2643" s="1" t="s">
        <v>6</v>
      </c>
      <c r="I2643" s="1" t="s">
        <v>38</v>
      </c>
      <c r="J2643" s="1">
        <v>42549.734918981485</v>
      </c>
      <c r="K2643" s="1" t="s">
        <v>144</v>
      </c>
      <c r="L2643" s="14">
        <f>24*(TblTimeSheet[[#This Row],[End Date and Time]]-TblTimeSheet[[#This Row],[Start Date and Time]])</f>
        <v>8.6666666666278616</v>
      </c>
      <c r="M26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3" s="14">
        <f>--(0&gt;(TblTimeSheet[[#This Row],[End Date and Time]]-TblTimeSheet[[#This Row],[Start Date and Time]]))</f>
        <v>0</v>
      </c>
    </row>
    <row r="2644" spans="1:14" x14ac:dyDescent="0.25">
      <c r="A2644" s="1"/>
      <c r="B2644" s="2" t="s">
        <v>2878</v>
      </c>
      <c r="C2644" s="2" t="s">
        <v>144</v>
      </c>
      <c r="D2644" s="2" t="s">
        <v>3263</v>
      </c>
      <c r="E2644" s="7" t="s">
        <v>3471</v>
      </c>
      <c r="F2644" s="37">
        <v>42549.416666666664</v>
      </c>
      <c r="G2644" s="37">
        <v>42549.541666666664</v>
      </c>
      <c r="H2644" s="1" t="s">
        <v>6</v>
      </c>
      <c r="I2644" s="1" t="s">
        <v>38</v>
      </c>
      <c r="J2644" s="1">
        <v>42549.735335648147</v>
      </c>
      <c r="K2644" s="1" t="s">
        <v>144</v>
      </c>
      <c r="L2644" s="14">
        <f>24*(TblTimeSheet[[#This Row],[End Date and Time]]-TblTimeSheet[[#This Row],[Start Date and Time]])</f>
        <v>3</v>
      </c>
      <c r="M26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44" s="14">
        <f>--(0&gt;(TblTimeSheet[[#This Row],[End Date and Time]]-TblTimeSheet[[#This Row],[Start Date and Time]]))</f>
        <v>0</v>
      </c>
    </row>
    <row r="2645" spans="1:14" x14ac:dyDescent="0.25">
      <c r="A2645" s="1"/>
      <c r="B2645" s="2" t="s">
        <v>2878</v>
      </c>
      <c r="C2645" s="2" t="s">
        <v>144</v>
      </c>
      <c r="D2645" s="2" t="s">
        <v>3263</v>
      </c>
      <c r="E2645" s="7" t="s">
        <v>3472</v>
      </c>
      <c r="F2645" s="37">
        <v>42549.583333333336</v>
      </c>
      <c r="G2645" s="37">
        <v>42549.666666666664</v>
      </c>
      <c r="H2645" s="1" t="s">
        <v>6</v>
      </c>
      <c r="I2645" s="1" t="s">
        <v>38</v>
      </c>
      <c r="J2645" s="1">
        <v>42549.73578703704</v>
      </c>
      <c r="K2645" s="1" t="s">
        <v>144</v>
      </c>
      <c r="L2645" s="14">
        <f>24*(TblTimeSheet[[#This Row],[End Date and Time]]-TblTimeSheet[[#This Row],[Start Date and Time]])</f>
        <v>1.9999999998835847</v>
      </c>
      <c r="M26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45" s="14">
        <f>--(0&gt;(TblTimeSheet[[#This Row],[End Date and Time]]-TblTimeSheet[[#This Row],[Start Date and Time]]))</f>
        <v>0</v>
      </c>
    </row>
    <row r="2646" spans="1:14" x14ac:dyDescent="0.25">
      <c r="A2646" s="1"/>
      <c r="B2646" s="2" t="s">
        <v>2878</v>
      </c>
      <c r="C2646" s="2" t="s">
        <v>144</v>
      </c>
      <c r="D2646" s="2" t="s">
        <v>3261</v>
      </c>
      <c r="E2646" s="7" t="s">
        <v>3473</v>
      </c>
      <c r="F2646" s="37">
        <v>42549.6875</v>
      </c>
      <c r="G2646" s="37">
        <v>42549.708333333336</v>
      </c>
      <c r="H2646" s="1" t="s">
        <v>6</v>
      </c>
      <c r="I2646" s="1" t="s">
        <v>38</v>
      </c>
      <c r="J2646" s="1">
        <v>42549.736134259256</v>
      </c>
      <c r="K2646" s="1" t="s">
        <v>144</v>
      </c>
      <c r="L2646" s="14">
        <f>24*(TblTimeSheet[[#This Row],[End Date and Time]]-TblTimeSheet[[#This Row],[Start Date and Time]])</f>
        <v>0.50000000005820766</v>
      </c>
      <c r="M26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46" s="14">
        <f>--(0&gt;(TblTimeSheet[[#This Row],[End Date and Time]]-TblTimeSheet[[#This Row],[Start Date and Time]]))</f>
        <v>0</v>
      </c>
    </row>
    <row r="2647" spans="1:14" ht="30" x14ac:dyDescent="0.25">
      <c r="A2647" s="1"/>
      <c r="B2647" s="2" t="s">
        <v>2878</v>
      </c>
      <c r="C2647" s="2" t="s">
        <v>36</v>
      </c>
      <c r="D2647" s="2" t="s">
        <v>3261</v>
      </c>
      <c r="E2647" s="7" t="s">
        <v>3898</v>
      </c>
      <c r="F2647" s="37">
        <v>42550.375</v>
      </c>
      <c r="G2647" s="37">
        <v>42550.541666666664</v>
      </c>
      <c r="H2647" s="1" t="s">
        <v>6</v>
      </c>
      <c r="I2647" s="1" t="s">
        <v>38</v>
      </c>
      <c r="J2647" s="1">
        <v>42550.59175925926</v>
      </c>
      <c r="K2647" s="1" t="s">
        <v>36</v>
      </c>
      <c r="L2647" s="14">
        <f>24*(TblTimeSheet[[#This Row],[End Date and Time]]-TblTimeSheet[[#This Row],[Start Date and Time]])</f>
        <v>3.9999999999417923</v>
      </c>
      <c r="M26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7" s="14">
        <f>--(0&gt;(TblTimeSheet[[#This Row],[End Date and Time]]-TblTimeSheet[[#This Row],[Start Date and Time]]))</f>
        <v>0</v>
      </c>
    </row>
    <row r="2648" spans="1:14" ht="45" x14ac:dyDescent="0.25">
      <c r="A2648" s="1"/>
      <c r="B2648" s="2" t="s">
        <v>2878</v>
      </c>
      <c r="C2648" s="2" t="s">
        <v>36</v>
      </c>
      <c r="D2648" s="2" t="s">
        <v>3261</v>
      </c>
      <c r="E2648" s="7" t="s">
        <v>3899</v>
      </c>
      <c r="F2648" s="37">
        <v>42550.583333333336</v>
      </c>
      <c r="G2648" s="37">
        <v>42550.75</v>
      </c>
      <c r="H2648" s="1" t="s">
        <v>6</v>
      </c>
      <c r="I2648" s="1" t="s">
        <v>38</v>
      </c>
      <c r="J2648" s="1">
        <v>42551.377951388888</v>
      </c>
      <c r="K2648" s="1" t="s">
        <v>36</v>
      </c>
      <c r="L2648" s="14">
        <f>24*(TblTimeSheet[[#This Row],[End Date and Time]]-TblTimeSheet[[#This Row],[Start Date and Time]])</f>
        <v>3.9999999999417923</v>
      </c>
      <c r="M26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8" s="14">
        <f>--(0&gt;(TblTimeSheet[[#This Row],[End Date and Time]]-TblTimeSheet[[#This Row],[Start Date and Time]]))</f>
        <v>0</v>
      </c>
    </row>
    <row r="2649" spans="1:14" x14ac:dyDescent="0.25">
      <c r="A2649" s="1"/>
      <c r="B2649" s="2" t="s">
        <v>2878</v>
      </c>
      <c r="C2649" s="2" t="s">
        <v>144</v>
      </c>
      <c r="D2649" s="2" t="s">
        <v>3263</v>
      </c>
      <c r="E2649" s="7" t="s">
        <v>3474</v>
      </c>
      <c r="F2649" s="37">
        <v>42550.375</v>
      </c>
      <c r="G2649" s="37">
        <v>42550.743055555555</v>
      </c>
      <c r="H2649" s="1" t="s">
        <v>6</v>
      </c>
      <c r="I2649" s="1" t="s">
        <v>38</v>
      </c>
      <c r="J2649" s="1">
        <v>42551.399236111109</v>
      </c>
      <c r="K2649" s="1" t="s">
        <v>144</v>
      </c>
      <c r="L2649" s="14">
        <f>24*(TblTimeSheet[[#This Row],[End Date and Time]]-TblTimeSheet[[#This Row],[Start Date and Time]])</f>
        <v>8.8333333333139308</v>
      </c>
      <c r="M26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49" s="14">
        <f>--(0&gt;(TblTimeSheet[[#This Row],[End Date and Time]]-TblTimeSheet[[#This Row],[Start Date and Time]]))</f>
        <v>0</v>
      </c>
    </row>
    <row r="2650" spans="1:14" x14ac:dyDescent="0.25">
      <c r="A2650" s="1"/>
      <c r="B2650" s="2" t="s">
        <v>2878</v>
      </c>
      <c r="C2650" s="2" t="s">
        <v>144</v>
      </c>
      <c r="D2650" s="2" t="s">
        <v>3263</v>
      </c>
      <c r="E2650" s="7" t="s">
        <v>3475</v>
      </c>
      <c r="F2650" s="37">
        <v>42550.392361111109</v>
      </c>
      <c r="G2650" s="37">
        <v>42550.541666666664</v>
      </c>
      <c r="H2650" s="1" t="s">
        <v>6</v>
      </c>
      <c r="I2650" s="1" t="s">
        <v>38</v>
      </c>
      <c r="J2650" s="1">
        <v>42551.399953703702</v>
      </c>
      <c r="K2650" s="1" t="s">
        <v>144</v>
      </c>
      <c r="L2650" s="14">
        <f>24*(TblTimeSheet[[#This Row],[End Date and Time]]-TblTimeSheet[[#This Row],[Start Date and Time]])</f>
        <v>3.5833333333139308</v>
      </c>
      <c r="M26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50" s="14">
        <f>--(0&gt;(TblTimeSheet[[#This Row],[End Date and Time]]-TblTimeSheet[[#This Row],[Start Date and Time]]))</f>
        <v>0</v>
      </c>
    </row>
    <row r="2651" spans="1:14" x14ac:dyDescent="0.25">
      <c r="A2651" s="1"/>
      <c r="B2651" s="2" t="s">
        <v>2878</v>
      </c>
      <c r="C2651" s="2" t="s">
        <v>144</v>
      </c>
      <c r="D2651" s="2" t="s">
        <v>3263</v>
      </c>
      <c r="E2651" s="7" t="s">
        <v>3475</v>
      </c>
      <c r="F2651" s="37">
        <v>42550.583333333336</v>
      </c>
      <c r="G2651" s="37">
        <v>42550.708333333336</v>
      </c>
      <c r="H2651" s="1" t="s">
        <v>6</v>
      </c>
      <c r="I2651" s="1" t="s">
        <v>38</v>
      </c>
      <c r="J2651" s="1">
        <v>42551.400254629632</v>
      </c>
      <c r="K2651" s="1" t="s">
        <v>144</v>
      </c>
      <c r="L2651" s="14">
        <f>24*(TblTimeSheet[[#This Row],[End Date and Time]]-TblTimeSheet[[#This Row],[Start Date and Time]])</f>
        <v>3</v>
      </c>
      <c r="M26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51" s="14">
        <f>--(0&gt;(TblTimeSheet[[#This Row],[End Date and Time]]-TblTimeSheet[[#This Row],[Start Date and Time]]))</f>
        <v>0</v>
      </c>
    </row>
    <row r="2652" spans="1:14" x14ac:dyDescent="0.25">
      <c r="A2652" s="1"/>
      <c r="B2652" s="2" t="s">
        <v>2878</v>
      </c>
      <c r="C2652" s="2" t="s">
        <v>144</v>
      </c>
      <c r="D2652" s="2" t="s">
        <v>3263</v>
      </c>
      <c r="E2652" s="7" t="s">
        <v>3476</v>
      </c>
      <c r="F2652" s="37">
        <v>42551.378472222219</v>
      </c>
      <c r="G2652" s="37">
        <v>42551.552083333336</v>
      </c>
      <c r="H2652" s="1" t="s">
        <v>6</v>
      </c>
      <c r="I2652" s="1" t="s">
        <v>38</v>
      </c>
      <c r="J2652" s="1">
        <v>42552.406377314815</v>
      </c>
      <c r="K2652" s="1" t="s">
        <v>144</v>
      </c>
      <c r="L2652" s="14">
        <f>24*(TblTimeSheet[[#This Row],[End Date and Time]]-TblTimeSheet[[#This Row],[Start Date and Time]])</f>
        <v>4.1666666668024845</v>
      </c>
      <c r="M26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2" s="14">
        <f>--(0&gt;(TblTimeSheet[[#This Row],[End Date and Time]]-TblTimeSheet[[#This Row],[Start Date and Time]]))</f>
        <v>0</v>
      </c>
    </row>
    <row r="2653" spans="1:14" x14ac:dyDescent="0.25">
      <c r="A2653" s="1"/>
      <c r="B2653" s="2" t="s">
        <v>2878</v>
      </c>
      <c r="C2653" s="2" t="s">
        <v>144</v>
      </c>
      <c r="D2653" s="2" t="s">
        <v>3263</v>
      </c>
      <c r="E2653" s="7" t="s">
        <v>3477</v>
      </c>
      <c r="F2653" s="37">
        <v>42551.583333333336</v>
      </c>
      <c r="G2653" s="37">
        <v>42551.753472222219</v>
      </c>
      <c r="H2653" s="1" t="s">
        <v>6</v>
      </c>
      <c r="I2653" s="1" t="s">
        <v>38</v>
      </c>
      <c r="J2653" s="1">
        <v>42552.406828703701</v>
      </c>
      <c r="K2653" s="1" t="s">
        <v>144</v>
      </c>
      <c r="L2653" s="14">
        <f>24*(TblTimeSheet[[#This Row],[End Date and Time]]-TblTimeSheet[[#This Row],[Start Date and Time]])</f>
        <v>4.0833333331975155</v>
      </c>
      <c r="M26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3" s="14">
        <f>--(0&gt;(TblTimeSheet[[#This Row],[End Date and Time]]-TblTimeSheet[[#This Row],[Start Date and Time]]))</f>
        <v>0</v>
      </c>
    </row>
    <row r="2654" spans="1:14" ht="30" x14ac:dyDescent="0.25">
      <c r="A2654" s="1"/>
      <c r="B2654" s="2" t="s">
        <v>2878</v>
      </c>
      <c r="C2654" s="2" t="s">
        <v>36</v>
      </c>
      <c r="D2654" s="2" t="s">
        <v>3261</v>
      </c>
      <c r="E2654" s="7" t="s">
        <v>3900</v>
      </c>
      <c r="F2654" s="37">
        <v>42551.378472222219</v>
      </c>
      <c r="G2654" s="37">
        <v>42551.541666666664</v>
      </c>
      <c r="H2654" s="1" t="s">
        <v>6</v>
      </c>
      <c r="I2654" s="1" t="s">
        <v>38</v>
      </c>
      <c r="J2654" s="1">
        <v>42552.463460648149</v>
      </c>
      <c r="K2654" s="1" t="s">
        <v>36</v>
      </c>
      <c r="L2654" s="14">
        <f>24*(TblTimeSheet[[#This Row],[End Date and Time]]-TblTimeSheet[[#This Row],[Start Date and Time]])</f>
        <v>3.9166666666860692</v>
      </c>
      <c r="M26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4" s="14">
        <f>--(0&gt;(TblTimeSheet[[#This Row],[End Date and Time]]-TblTimeSheet[[#This Row],[Start Date and Time]]))</f>
        <v>0</v>
      </c>
    </row>
    <row r="2655" spans="1:14" ht="30" x14ac:dyDescent="0.25">
      <c r="A2655" s="1"/>
      <c r="B2655" s="2" t="s">
        <v>2878</v>
      </c>
      <c r="C2655" s="2" t="s">
        <v>36</v>
      </c>
      <c r="D2655" s="2" t="s">
        <v>3261</v>
      </c>
      <c r="E2655" s="7" t="s">
        <v>3901</v>
      </c>
      <c r="F2655" s="37">
        <v>42551.583333333336</v>
      </c>
      <c r="G2655" s="37">
        <v>42551.729166666664</v>
      </c>
      <c r="H2655" s="1" t="s">
        <v>6</v>
      </c>
      <c r="I2655" s="1" t="s">
        <v>38</v>
      </c>
      <c r="J2655" s="1">
        <v>42552.464259259257</v>
      </c>
      <c r="K2655" s="1" t="s">
        <v>36</v>
      </c>
      <c r="L2655" s="14">
        <f>24*(TblTimeSheet[[#This Row],[End Date and Time]]-TblTimeSheet[[#This Row],[Start Date and Time]])</f>
        <v>3.4999999998835847</v>
      </c>
      <c r="M26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5" s="14">
        <f>--(0&gt;(TblTimeSheet[[#This Row],[End Date and Time]]-TblTimeSheet[[#This Row],[Start Date and Time]]))</f>
        <v>0</v>
      </c>
    </row>
    <row r="2656" spans="1:14" x14ac:dyDescent="0.25">
      <c r="A2656" s="1"/>
      <c r="B2656" s="2" t="s">
        <v>2878</v>
      </c>
      <c r="C2656" s="2" t="s">
        <v>36</v>
      </c>
      <c r="D2656" s="2" t="s">
        <v>3261</v>
      </c>
      <c r="E2656" s="7" t="s">
        <v>3902</v>
      </c>
      <c r="F2656" s="37">
        <v>42552.458333333336</v>
      </c>
      <c r="G2656" s="37">
        <v>42552.548611111109</v>
      </c>
      <c r="H2656" s="1" t="s">
        <v>6</v>
      </c>
      <c r="I2656" s="1" t="s">
        <v>38</v>
      </c>
      <c r="J2656" s="1">
        <v>42552.547951388886</v>
      </c>
      <c r="K2656" s="1" t="s">
        <v>36</v>
      </c>
      <c r="L2656" s="14">
        <f>24*(TblTimeSheet[[#This Row],[End Date and Time]]-TblTimeSheet[[#This Row],[Start Date and Time]])</f>
        <v>2.1666666665696539</v>
      </c>
      <c r="M26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6" s="14">
        <f>--(0&gt;(TblTimeSheet[[#This Row],[End Date and Time]]-TblTimeSheet[[#This Row],[Start Date and Time]]))</f>
        <v>0</v>
      </c>
    </row>
    <row r="2657" spans="1:14" x14ac:dyDescent="0.25">
      <c r="A2657" s="1"/>
      <c r="B2657" s="2" t="s">
        <v>2878</v>
      </c>
      <c r="C2657" s="2" t="s">
        <v>36</v>
      </c>
      <c r="D2657" s="2" t="s">
        <v>3261</v>
      </c>
      <c r="E2657" s="7" t="s">
        <v>3903</v>
      </c>
      <c r="F2657" s="37">
        <v>42552.583333333336</v>
      </c>
      <c r="G2657" s="37">
        <v>42552.729166666664</v>
      </c>
      <c r="H2657" s="1" t="s">
        <v>6</v>
      </c>
      <c r="I2657" s="1" t="s">
        <v>38</v>
      </c>
      <c r="J2657" s="1">
        <v>42552.728379629632</v>
      </c>
      <c r="K2657" s="1" t="s">
        <v>36</v>
      </c>
      <c r="L2657" s="14">
        <f>24*(TblTimeSheet[[#This Row],[End Date and Time]]-TblTimeSheet[[#This Row],[Start Date and Time]])</f>
        <v>3.4999999998835847</v>
      </c>
      <c r="M26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7" s="14">
        <f>--(0&gt;(TblTimeSheet[[#This Row],[End Date and Time]]-TblTimeSheet[[#This Row],[Start Date and Time]]))</f>
        <v>0</v>
      </c>
    </row>
    <row r="2658" spans="1:14" x14ac:dyDescent="0.25">
      <c r="A2658" s="1"/>
      <c r="B2658" s="2" t="s">
        <v>2878</v>
      </c>
      <c r="C2658" s="2" t="s">
        <v>144</v>
      </c>
      <c r="D2658" s="2" t="s">
        <v>3263</v>
      </c>
      <c r="E2658" s="7" t="s">
        <v>3478</v>
      </c>
      <c r="F2658" s="37">
        <v>42552.392361111109</v>
      </c>
      <c r="G2658" s="37">
        <v>42552.541666666664</v>
      </c>
      <c r="H2658" s="1" t="s">
        <v>6</v>
      </c>
      <c r="I2658" s="1" t="s">
        <v>38</v>
      </c>
      <c r="J2658" s="1">
        <v>42553.723993055559</v>
      </c>
      <c r="K2658" s="1" t="s">
        <v>144</v>
      </c>
      <c r="L2658" s="14">
        <f>24*(TblTimeSheet[[#This Row],[End Date and Time]]-TblTimeSheet[[#This Row],[Start Date and Time]])</f>
        <v>3.5833333333139308</v>
      </c>
      <c r="M26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8" s="14">
        <f>--(0&gt;(TblTimeSheet[[#This Row],[End Date and Time]]-TblTimeSheet[[#This Row],[Start Date and Time]]))</f>
        <v>0</v>
      </c>
    </row>
    <row r="2659" spans="1:14" x14ac:dyDescent="0.25">
      <c r="A2659" s="1"/>
      <c r="B2659" s="2" t="s">
        <v>2878</v>
      </c>
      <c r="C2659" s="2" t="s">
        <v>144</v>
      </c>
      <c r="D2659" s="2" t="s">
        <v>3263</v>
      </c>
      <c r="E2659" s="7" t="s">
        <v>3478</v>
      </c>
      <c r="F2659" s="37">
        <v>42552.576388888891</v>
      </c>
      <c r="G2659" s="37">
        <v>42552.732638888891</v>
      </c>
      <c r="H2659" s="1" t="s">
        <v>6</v>
      </c>
      <c r="I2659" s="1" t="s">
        <v>38</v>
      </c>
      <c r="J2659" s="1">
        <v>42553.724398148152</v>
      </c>
      <c r="K2659" s="1" t="s">
        <v>144</v>
      </c>
      <c r="L2659" s="14">
        <f>24*(TblTimeSheet[[#This Row],[End Date and Time]]-TblTimeSheet[[#This Row],[Start Date and Time]])</f>
        <v>3.75</v>
      </c>
      <c r="M26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59" s="14">
        <f>--(0&gt;(TblTimeSheet[[#This Row],[End Date and Time]]-TblTimeSheet[[#This Row],[Start Date and Time]]))</f>
        <v>0</v>
      </c>
    </row>
    <row r="2660" spans="1:14" ht="30" x14ac:dyDescent="0.25">
      <c r="A2660" s="1"/>
      <c r="B2660" s="2" t="s">
        <v>2878</v>
      </c>
      <c r="C2660" s="2" t="s">
        <v>144</v>
      </c>
      <c r="D2660" s="2" t="s">
        <v>3263</v>
      </c>
      <c r="E2660" s="7" t="s">
        <v>3904</v>
      </c>
      <c r="F2660" s="37">
        <v>42553.375</v>
      </c>
      <c r="G2660" s="37">
        <v>42553.541666666664</v>
      </c>
      <c r="H2660" s="1" t="s">
        <v>6</v>
      </c>
      <c r="I2660" s="1" t="s">
        <v>38</v>
      </c>
      <c r="J2660" s="1">
        <v>42553.72488425926</v>
      </c>
      <c r="K2660" s="1" t="s">
        <v>144</v>
      </c>
      <c r="L2660" s="14">
        <f>24*(TblTimeSheet[[#This Row],[End Date and Time]]-TblTimeSheet[[#This Row],[Start Date and Time]])</f>
        <v>3.9999999999417923</v>
      </c>
      <c r="M26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0" s="14">
        <f>--(0&gt;(TblTimeSheet[[#This Row],[End Date and Time]]-TblTimeSheet[[#This Row],[Start Date and Time]]))</f>
        <v>0</v>
      </c>
    </row>
    <row r="2661" spans="1:14" ht="30" x14ac:dyDescent="0.25">
      <c r="A2661" s="1"/>
      <c r="B2661" s="2" t="s">
        <v>2878</v>
      </c>
      <c r="C2661" s="2" t="s">
        <v>144</v>
      </c>
      <c r="D2661" s="2" t="s">
        <v>3263</v>
      </c>
      <c r="E2661" s="7" t="s">
        <v>3905</v>
      </c>
      <c r="F2661" s="37">
        <v>42553.541666666664</v>
      </c>
      <c r="G2661" s="37">
        <v>42553.725694444445</v>
      </c>
      <c r="H2661" s="1" t="s">
        <v>6</v>
      </c>
      <c r="I2661" s="1" t="s">
        <v>38</v>
      </c>
      <c r="J2661" s="1">
        <v>42553.725138888891</v>
      </c>
      <c r="K2661" s="1" t="s">
        <v>144</v>
      </c>
      <c r="L2661" s="14">
        <f>24*(TblTimeSheet[[#This Row],[End Date and Time]]-TblTimeSheet[[#This Row],[Start Date and Time]])</f>
        <v>4.4166666667442769</v>
      </c>
      <c r="M26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1" s="14">
        <f>--(0&gt;(TblTimeSheet[[#This Row],[End Date and Time]]-TblTimeSheet[[#This Row],[Start Date and Time]]))</f>
        <v>0</v>
      </c>
    </row>
    <row r="2662" spans="1:14" x14ac:dyDescent="0.25">
      <c r="A2662" s="1"/>
      <c r="B2662" s="2" t="s">
        <v>2878</v>
      </c>
      <c r="C2662" s="2" t="s">
        <v>36</v>
      </c>
      <c r="D2662" s="2" t="s">
        <v>3261</v>
      </c>
      <c r="E2662" s="7" t="s">
        <v>3906</v>
      </c>
      <c r="F2662" s="37">
        <v>42553.385416666664</v>
      </c>
      <c r="G2662" s="37">
        <v>42553.541666666664</v>
      </c>
      <c r="H2662" s="1" t="s">
        <v>6</v>
      </c>
      <c r="I2662" s="1" t="s">
        <v>38</v>
      </c>
      <c r="J2662" s="1">
        <v>42555.522291666668</v>
      </c>
      <c r="K2662" s="1" t="s">
        <v>36</v>
      </c>
      <c r="L2662" s="14">
        <f>24*(TblTimeSheet[[#This Row],[End Date and Time]]-TblTimeSheet[[#This Row],[Start Date and Time]])</f>
        <v>3.75</v>
      </c>
      <c r="M26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2" s="14">
        <f>--(0&gt;(TblTimeSheet[[#This Row],[End Date and Time]]-TblTimeSheet[[#This Row],[Start Date and Time]]))</f>
        <v>0</v>
      </c>
    </row>
    <row r="2663" spans="1:14" ht="30" x14ac:dyDescent="0.25">
      <c r="A2663" s="1"/>
      <c r="B2663" s="2" t="s">
        <v>2878</v>
      </c>
      <c r="C2663" s="2" t="s">
        <v>36</v>
      </c>
      <c r="D2663" s="2" t="s">
        <v>3261</v>
      </c>
      <c r="E2663" s="7" t="s">
        <v>3907</v>
      </c>
      <c r="F2663" s="37">
        <v>42553.583333333336</v>
      </c>
      <c r="G2663" s="37">
        <v>42553.791666666664</v>
      </c>
      <c r="H2663" s="1" t="s">
        <v>6</v>
      </c>
      <c r="I2663" s="1" t="s">
        <v>38</v>
      </c>
      <c r="J2663" s="1">
        <v>42555.52306712963</v>
      </c>
      <c r="K2663" s="1" t="s">
        <v>36</v>
      </c>
      <c r="L2663" s="14">
        <f>24*(TblTimeSheet[[#This Row],[End Date and Time]]-TblTimeSheet[[#This Row],[Start Date and Time]])</f>
        <v>4.9999999998835847</v>
      </c>
      <c r="M26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3" s="14">
        <f>--(0&gt;(TblTimeSheet[[#This Row],[End Date and Time]]-TblTimeSheet[[#This Row],[Start Date and Time]]))</f>
        <v>0</v>
      </c>
    </row>
    <row r="2664" spans="1:14" x14ac:dyDescent="0.25">
      <c r="A2664" s="1"/>
      <c r="B2664" s="2" t="s">
        <v>2878</v>
      </c>
      <c r="C2664" s="2" t="s">
        <v>36</v>
      </c>
      <c r="D2664" s="2" t="s">
        <v>3261</v>
      </c>
      <c r="E2664" s="7" t="s">
        <v>3908</v>
      </c>
      <c r="F2664" s="37">
        <v>42555.378472222219</v>
      </c>
      <c r="G2664" s="37">
        <v>42555.545138888891</v>
      </c>
      <c r="H2664" s="1" t="s">
        <v>6</v>
      </c>
      <c r="I2664" s="1" t="s">
        <v>38</v>
      </c>
      <c r="J2664" s="1">
        <v>42555.59642361111</v>
      </c>
      <c r="K2664" s="1" t="s">
        <v>36</v>
      </c>
      <c r="L2664" s="14">
        <f>24*(TblTimeSheet[[#This Row],[End Date and Time]]-TblTimeSheet[[#This Row],[Start Date and Time]])</f>
        <v>4.0000000001164153</v>
      </c>
      <c r="M26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4" s="14">
        <f>--(0&gt;(TblTimeSheet[[#This Row],[End Date and Time]]-TblTimeSheet[[#This Row],[Start Date and Time]]))</f>
        <v>0</v>
      </c>
    </row>
    <row r="2665" spans="1:14" x14ac:dyDescent="0.25">
      <c r="A2665" s="1"/>
      <c r="B2665" s="2" t="s">
        <v>2878</v>
      </c>
      <c r="C2665" s="2" t="s">
        <v>144</v>
      </c>
      <c r="D2665" s="2" t="s">
        <v>3263</v>
      </c>
      <c r="E2665" s="7" t="s">
        <v>3479</v>
      </c>
      <c r="F2665" s="37">
        <v>42555.381944444445</v>
      </c>
      <c r="G2665" s="37">
        <v>42555.555555555555</v>
      </c>
      <c r="H2665" s="1" t="s">
        <v>6</v>
      </c>
      <c r="I2665" s="1" t="s">
        <v>38</v>
      </c>
      <c r="J2665" s="1">
        <v>42555.728541666664</v>
      </c>
      <c r="K2665" s="1" t="s">
        <v>144</v>
      </c>
      <c r="L2665" s="14">
        <f>24*(TblTimeSheet[[#This Row],[End Date and Time]]-TblTimeSheet[[#This Row],[Start Date and Time]])</f>
        <v>4.1666666666278616</v>
      </c>
      <c r="M26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5" s="14">
        <f>--(0&gt;(TblTimeSheet[[#This Row],[End Date and Time]]-TblTimeSheet[[#This Row],[Start Date and Time]]))</f>
        <v>0</v>
      </c>
    </row>
    <row r="2666" spans="1:14" x14ac:dyDescent="0.25">
      <c r="A2666" s="1"/>
      <c r="B2666" s="2" t="s">
        <v>2878</v>
      </c>
      <c r="C2666" s="2" t="s">
        <v>144</v>
      </c>
      <c r="D2666" s="2" t="s">
        <v>3261</v>
      </c>
      <c r="E2666" s="7" t="s">
        <v>3480</v>
      </c>
      <c r="F2666" s="37">
        <v>42555.583333333336</v>
      </c>
      <c r="G2666" s="37">
        <v>42555.645833333336</v>
      </c>
      <c r="H2666" s="1" t="s">
        <v>6</v>
      </c>
      <c r="I2666" s="1" t="s">
        <v>38</v>
      </c>
      <c r="J2666" s="1">
        <v>42555.729768518519</v>
      </c>
      <c r="K2666" s="1" t="s">
        <v>144</v>
      </c>
      <c r="L2666" s="14">
        <f>24*(TblTimeSheet[[#This Row],[End Date and Time]]-TblTimeSheet[[#This Row],[Start Date and Time]])</f>
        <v>1.5</v>
      </c>
      <c r="M26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6" s="14">
        <f>--(0&gt;(TblTimeSheet[[#This Row],[End Date and Time]]-TblTimeSheet[[#This Row],[Start Date and Time]]))</f>
        <v>0</v>
      </c>
    </row>
    <row r="2667" spans="1:14" x14ac:dyDescent="0.25">
      <c r="A2667" s="1"/>
      <c r="B2667" s="2" t="s">
        <v>2878</v>
      </c>
      <c r="C2667" s="2" t="s">
        <v>144</v>
      </c>
      <c r="D2667" s="2" t="s">
        <v>3263</v>
      </c>
      <c r="E2667" s="7" t="s">
        <v>3479</v>
      </c>
      <c r="F2667" s="37">
        <v>42555.652777777781</v>
      </c>
      <c r="G2667" s="37">
        <v>42555.739583333336</v>
      </c>
      <c r="H2667" s="1" t="s">
        <v>6</v>
      </c>
      <c r="I2667" s="1" t="s">
        <v>38</v>
      </c>
      <c r="J2667" s="1">
        <v>42555.739756944444</v>
      </c>
      <c r="K2667" s="1" t="s">
        <v>144</v>
      </c>
      <c r="L2667" s="14">
        <f>24*(TblTimeSheet[[#This Row],[End Date and Time]]-TblTimeSheet[[#This Row],[Start Date and Time]])</f>
        <v>2.0833333333139308</v>
      </c>
      <c r="M26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7" s="14">
        <f>--(0&gt;(TblTimeSheet[[#This Row],[End Date and Time]]-TblTimeSheet[[#This Row],[Start Date and Time]]))</f>
        <v>0</v>
      </c>
    </row>
    <row r="2668" spans="1:14" x14ac:dyDescent="0.25">
      <c r="A2668" s="1"/>
      <c r="B2668" s="2" t="s">
        <v>2878</v>
      </c>
      <c r="C2668" s="2" t="s">
        <v>36</v>
      </c>
      <c r="D2668" s="2" t="s">
        <v>3261</v>
      </c>
      <c r="E2668" s="7" t="s">
        <v>3909</v>
      </c>
      <c r="F2668" s="37">
        <v>42555.625</v>
      </c>
      <c r="G2668" s="37">
        <v>42555.75</v>
      </c>
      <c r="H2668" s="1" t="s">
        <v>6</v>
      </c>
      <c r="I2668" s="1" t="s">
        <v>38</v>
      </c>
      <c r="J2668" s="1">
        <v>42557.461527777778</v>
      </c>
      <c r="K2668" s="1" t="s">
        <v>36</v>
      </c>
      <c r="L2668" s="14">
        <f>24*(TblTimeSheet[[#This Row],[End Date and Time]]-TblTimeSheet[[#This Row],[Start Date and Time]])</f>
        <v>3</v>
      </c>
      <c r="M26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8" s="14">
        <f>--(0&gt;(TblTimeSheet[[#This Row],[End Date and Time]]-TblTimeSheet[[#This Row],[Start Date and Time]]))</f>
        <v>0</v>
      </c>
    </row>
    <row r="2669" spans="1:14" x14ac:dyDescent="0.25">
      <c r="A2669" s="1"/>
      <c r="B2669" s="2" t="s">
        <v>2878</v>
      </c>
      <c r="C2669" s="2" t="s">
        <v>36</v>
      </c>
      <c r="D2669" s="2" t="s">
        <v>3261</v>
      </c>
      <c r="E2669" s="7" t="s">
        <v>3910</v>
      </c>
      <c r="F2669" s="37">
        <v>42556.375</v>
      </c>
      <c r="G2669" s="37">
        <v>42556.604166666664</v>
      </c>
      <c r="H2669" s="1" t="s">
        <v>6</v>
      </c>
      <c r="I2669" s="1" t="s">
        <v>38</v>
      </c>
      <c r="J2669" s="1">
        <v>42557.462476851855</v>
      </c>
      <c r="K2669" s="1" t="s">
        <v>36</v>
      </c>
      <c r="L2669" s="14">
        <f>24*(TblTimeSheet[[#This Row],[End Date and Time]]-TblTimeSheet[[#This Row],[Start Date and Time]])</f>
        <v>5.4999999999417923</v>
      </c>
      <c r="M26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69" s="14">
        <f>--(0&gt;(TblTimeSheet[[#This Row],[End Date and Time]]-TblTimeSheet[[#This Row],[Start Date and Time]]))</f>
        <v>0</v>
      </c>
    </row>
    <row r="2670" spans="1:14" x14ac:dyDescent="0.25">
      <c r="A2670" s="1"/>
      <c r="B2670" s="2" t="s">
        <v>2878</v>
      </c>
      <c r="C2670" s="2" t="s">
        <v>36</v>
      </c>
      <c r="D2670" s="2" t="s">
        <v>3261</v>
      </c>
      <c r="E2670" s="7" t="s">
        <v>3481</v>
      </c>
      <c r="F2670" s="37">
        <v>42556.625</v>
      </c>
      <c r="G2670" s="37">
        <v>42556.854166666664</v>
      </c>
      <c r="H2670" s="1" t="s">
        <v>6</v>
      </c>
      <c r="I2670" s="1" t="s">
        <v>38</v>
      </c>
      <c r="J2670" s="1">
        <v>42557.462893518517</v>
      </c>
      <c r="K2670" s="1" t="s">
        <v>36</v>
      </c>
      <c r="L2670" s="14">
        <f>24*(TblTimeSheet[[#This Row],[End Date and Time]]-TblTimeSheet[[#This Row],[Start Date and Time]])</f>
        <v>5.4999999999417923</v>
      </c>
      <c r="M26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0" s="14">
        <f>--(0&gt;(TblTimeSheet[[#This Row],[End Date and Time]]-TblTimeSheet[[#This Row],[Start Date and Time]]))</f>
        <v>0</v>
      </c>
    </row>
    <row r="2671" spans="1:14" ht="30" x14ac:dyDescent="0.25">
      <c r="A2671" s="1"/>
      <c r="B2671" s="2" t="s">
        <v>2878</v>
      </c>
      <c r="C2671" s="2" t="s">
        <v>36</v>
      </c>
      <c r="D2671" s="2" t="s">
        <v>3261</v>
      </c>
      <c r="E2671" s="7" t="s">
        <v>3911</v>
      </c>
      <c r="F2671" s="37">
        <v>42557.381944444445</v>
      </c>
      <c r="G2671" s="37">
        <v>42557.552083333336</v>
      </c>
      <c r="H2671" s="1" t="s">
        <v>6</v>
      </c>
      <c r="I2671" s="1" t="s">
        <v>38</v>
      </c>
      <c r="J2671" s="1">
        <v>42557.595601851855</v>
      </c>
      <c r="K2671" s="1" t="s">
        <v>36</v>
      </c>
      <c r="L2671" s="14">
        <f>24*(TblTimeSheet[[#This Row],[End Date and Time]]-TblTimeSheet[[#This Row],[Start Date and Time]])</f>
        <v>4.0833333333721384</v>
      </c>
      <c r="M26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1" s="14">
        <f>--(0&gt;(TblTimeSheet[[#This Row],[End Date and Time]]-TblTimeSheet[[#This Row],[Start Date and Time]]))</f>
        <v>0</v>
      </c>
    </row>
    <row r="2672" spans="1:14" x14ac:dyDescent="0.25">
      <c r="A2672" s="1"/>
      <c r="B2672" s="2" t="s">
        <v>2878</v>
      </c>
      <c r="C2672" s="2" t="s">
        <v>36</v>
      </c>
      <c r="D2672" s="2" t="s">
        <v>3261</v>
      </c>
      <c r="E2672" s="7" t="s">
        <v>3912</v>
      </c>
      <c r="F2672" s="37">
        <v>42557.583333333336</v>
      </c>
      <c r="G2672" s="37">
        <v>42557.75</v>
      </c>
      <c r="H2672" s="1" t="s">
        <v>6</v>
      </c>
      <c r="I2672" s="1" t="s">
        <v>38</v>
      </c>
      <c r="J2672" s="1">
        <v>42558.379976851851</v>
      </c>
      <c r="K2672" s="1" t="s">
        <v>36</v>
      </c>
      <c r="L2672" s="14">
        <f>24*(TblTimeSheet[[#This Row],[End Date and Time]]-TblTimeSheet[[#This Row],[Start Date and Time]])</f>
        <v>3.9999999999417923</v>
      </c>
      <c r="M26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2" s="14">
        <f>--(0&gt;(TblTimeSheet[[#This Row],[End Date and Time]]-TblTimeSheet[[#This Row],[Start Date and Time]]))</f>
        <v>0</v>
      </c>
    </row>
    <row r="2673" spans="1:14" x14ac:dyDescent="0.25">
      <c r="A2673" s="1"/>
      <c r="B2673" s="2" t="s">
        <v>2878</v>
      </c>
      <c r="C2673" s="2" t="s">
        <v>1503</v>
      </c>
      <c r="D2673" s="2" t="s">
        <v>3261</v>
      </c>
      <c r="E2673" s="7" t="s">
        <v>3482</v>
      </c>
      <c r="F2673" s="37">
        <v>42558.375</v>
      </c>
      <c r="G2673" s="37">
        <v>42558.541666666664</v>
      </c>
      <c r="H2673" s="1" t="s">
        <v>6</v>
      </c>
      <c r="I2673" s="1" t="s">
        <v>38</v>
      </c>
      <c r="J2673" s="1">
        <v>42558.613159722219</v>
      </c>
      <c r="K2673" s="1" t="s">
        <v>2866</v>
      </c>
      <c r="L2673" s="14">
        <f>24*(TblTimeSheet[[#This Row],[End Date and Time]]-TblTimeSheet[[#This Row],[Start Date and Time]])</f>
        <v>3.9999999999417923</v>
      </c>
      <c r="M26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3" s="14">
        <f>--(0&gt;(TblTimeSheet[[#This Row],[End Date and Time]]-TblTimeSheet[[#This Row],[Start Date and Time]]))</f>
        <v>0</v>
      </c>
    </row>
    <row r="2674" spans="1:14" x14ac:dyDescent="0.25">
      <c r="A2674" s="1"/>
      <c r="B2674" s="2" t="s">
        <v>2878</v>
      </c>
      <c r="C2674" s="2" t="s">
        <v>144</v>
      </c>
      <c r="D2674" s="2" t="s">
        <v>3263</v>
      </c>
      <c r="E2674" s="7" t="s">
        <v>3479</v>
      </c>
      <c r="F2674" s="37">
        <v>42556.375</v>
      </c>
      <c r="G2674" s="37">
        <v>42556.729166666664</v>
      </c>
      <c r="H2674" s="1" t="s">
        <v>6</v>
      </c>
      <c r="I2674" s="1" t="s">
        <v>38</v>
      </c>
      <c r="J2674" s="1">
        <v>42558.623206018521</v>
      </c>
      <c r="K2674" s="1" t="s">
        <v>144</v>
      </c>
      <c r="L2674" s="14">
        <f>24*(TblTimeSheet[[#This Row],[End Date and Time]]-TblTimeSheet[[#This Row],[Start Date and Time]])</f>
        <v>8.4999999999417923</v>
      </c>
      <c r="M26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4" s="14">
        <f>--(0&gt;(TblTimeSheet[[#This Row],[End Date and Time]]-TblTimeSheet[[#This Row],[Start Date and Time]]))</f>
        <v>0</v>
      </c>
    </row>
    <row r="2675" spans="1:14" x14ac:dyDescent="0.25">
      <c r="A2675" s="1"/>
      <c r="B2675" s="2" t="s">
        <v>2878</v>
      </c>
      <c r="C2675" s="2" t="s">
        <v>144</v>
      </c>
      <c r="D2675" s="2" t="s">
        <v>3263</v>
      </c>
      <c r="E2675" s="7" t="s">
        <v>3479</v>
      </c>
      <c r="F2675" s="37">
        <v>42557.375</v>
      </c>
      <c r="G2675" s="37">
        <v>42557.645833333336</v>
      </c>
      <c r="H2675" s="1" t="s">
        <v>6</v>
      </c>
      <c r="I2675" s="1" t="s">
        <v>38</v>
      </c>
      <c r="J2675" s="1">
        <v>42558.623541666668</v>
      </c>
      <c r="K2675" s="1" t="s">
        <v>144</v>
      </c>
      <c r="L2675" s="14">
        <f>24*(TblTimeSheet[[#This Row],[End Date and Time]]-TblTimeSheet[[#This Row],[Start Date and Time]])</f>
        <v>6.5000000000582077</v>
      </c>
      <c r="M26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5" s="14">
        <f>--(0&gt;(TblTimeSheet[[#This Row],[End Date and Time]]-TblTimeSheet[[#This Row],[Start Date and Time]]))</f>
        <v>0</v>
      </c>
    </row>
    <row r="2676" spans="1:14" ht="30" x14ac:dyDescent="0.25">
      <c r="A2676" s="1"/>
      <c r="B2676" s="2" t="s">
        <v>2878</v>
      </c>
      <c r="C2676" s="2" t="s">
        <v>36</v>
      </c>
      <c r="D2676" s="2" t="s">
        <v>3261</v>
      </c>
      <c r="E2676" s="7" t="s">
        <v>3913</v>
      </c>
      <c r="F2676" s="37">
        <v>42558.378472222219</v>
      </c>
      <c r="G2676" s="37">
        <v>42558.548611111109</v>
      </c>
      <c r="H2676" s="1" t="s">
        <v>6</v>
      </c>
      <c r="I2676" s="1" t="s">
        <v>38</v>
      </c>
      <c r="J2676" s="1">
        <v>42559.604953703703</v>
      </c>
      <c r="K2676" s="1" t="s">
        <v>36</v>
      </c>
      <c r="L2676" s="14">
        <f>24*(TblTimeSheet[[#This Row],[End Date and Time]]-TblTimeSheet[[#This Row],[Start Date and Time]])</f>
        <v>4.0833333333721384</v>
      </c>
      <c r="M26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6" s="14">
        <f>--(0&gt;(TblTimeSheet[[#This Row],[End Date and Time]]-TblTimeSheet[[#This Row],[Start Date and Time]]))</f>
        <v>0</v>
      </c>
    </row>
    <row r="2677" spans="1:14" ht="30" x14ac:dyDescent="0.25">
      <c r="A2677" s="1"/>
      <c r="B2677" s="2" t="s">
        <v>2878</v>
      </c>
      <c r="C2677" s="2" t="s">
        <v>36</v>
      </c>
      <c r="D2677" s="2" t="s">
        <v>3261</v>
      </c>
      <c r="E2677" s="7" t="s">
        <v>3914</v>
      </c>
      <c r="F2677" s="37">
        <v>42558.583333333336</v>
      </c>
      <c r="G2677" s="37">
        <v>42558.767361111109</v>
      </c>
      <c r="H2677" s="1" t="s">
        <v>6</v>
      </c>
      <c r="I2677" s="1" t="s">
        <v>38</v>
      </c>
      <c r="J2677" s="1">
        <v>42559.605856481481</v>
      </c>
      <c r="K2677" s="1" t="s">
        <v>36</v>
      </c>
      <c r="L2677" s="14">
        <f>24*(TblTimeSheet[[#This Row],[End Date and Time]]-TblTimeSheet[[#This Row],[Start Date and Time]])</f>
        <v>4.4166666665696539</v>
      </c>
      <c r="M26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7" s="14">
        <f>--(0&gt;(TblTimeSheet[[#This Row],[End Date and Time]]-TblTimeSheet[[#This Row],[Start Date and Time]]))</f>
        <v>0</v>
      </c>
    </row>
    <row r="2678" spans="1:14" ht="30" x14ac:dyDescent="0.25">
      <c r="A2678" s="1"/>
      <c r="B2678" s="2" t="s">
        <v>2878</v>
      </c>
      <c r="C2678" s="2" t="s">
        <v>36</v>
      </c>
      <c r="D2678" s="2" t="s">
        <v>3261</v>
      </c>
      <c r="E2678" s="7" t="s">
        <v>3915</v>
      </c>
      <c r="F2678" s="37">
        <v>42559.378472222219</v>
      </c>
      <c r="G2678" s="37">
        <v>42559.548611111109</v>
      </c>
      <c r="H2678" s="1" t="s">
        <v>6</v>
      </c>
      <c r="I2678" s="1" t="s">
        <v>38</v>
      </c>
      <c r="J2678" s="1">
        <v>42559.606724537036</v>
      </c>
      <c r="K2678" s="1" t="s">
        <v>36</v>
      </c>
      <c r="L2678" s="14">
        <f>24*(TblTimeSheet[[#This Row],[End Date and Time]]-TblTimeSheet[[#This Row],[Start Date and Time]])</f>
        <v>4.0833333333721384</v>
      </c>
      <c r="M26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8" s="14">
        <f>--(0&gt;(TblTimeSheet[[#This Row],[End Date and Time]]-TblTimeSheet[[#This Row],[Start Date and Time]]))</f>
        <v>0</v>
      </c>
    </row>
    <row r="2679" spans="1:14" x14ac:dyDescent="0.25">
      <c r="A2679" s="1"/>
      <c r="B2679" s="2" t="s">
        <v>2878</v>
      </c>
      <c r="C2679" s="2" t="s">
        <v>36</v>
      </c>
      <c r="D2679" s="2" t="s">
        <v>3261</v>
      </c>
      <c r="E2679" s="7" t="s">
        <v>3483</v>
      </c>
      <c r="F2679" s="37">
        <v>42559.583333333336</v>
      </c>
      <c r="G2679" s="37">
        <v>42559.642361111109</v>
      </c>
      <c r="H2679" s="1" t="s">
        <v>6</v>
      </c>
      <c r="I2679" s="1" t="s">
        <v>38</v>
      </c>
      <c r="J2679" s="1">
        <v>42559.641203703701</v>
      </c>
      <c r="K2679" s="1" t="s">
        <v>36</v>
      </c>
      <c r="L2679" s="14">
        <f>24*(TblTimeSheet[[#This Row],[End Date and Time]]-TblTimeSheet[[#This Row],[Start Date and Time]])</f>
        <v>1.4166666665696539</v>
      </c>
      <c r="M26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79" s="14">
        <f>--(0&gt;(TblTimeSheet[[#This Row],[End Date and Time]]-TblTimeSheet[[#This Row],[Start Date and Time]]))</f>
        <v>0</v>
      </c>
    </row>
    <row r="2680" spans="1:14" ht="30" x14ac:dyDescent="0.25">
      <c r="A2680" s="1"/>
      <c r="B2680" s="2" t="s">
        <v>2878</v>
      </c>
      <c r="C2680" s="2" t="s">
        <v>36</v>
      </c>
      <c r="D2680" s="2" t="s">
        <v>3261</v>
      </c>
      <c r="E2680" s="7" t="s">
        <v>3916</v>
      </c>
      <c r="F2680" s="37">
        <v>42560.458333333336</v>
      </c>
      <c r="G2680" s="37">
        <v>42560.545138888891</v>
      </c>
      <c r="H2680" s="1" t="s">
        <v>6</v>
      </c>
      <c r="I2680" s="1" t="s">
        <v>38</v>
      </c>
      <c r="J2680" s="1">
        <v>42560.592893518522</v>
      </c>
      <c r="K2680" s="1" t="s">
        <v>36</v>
      </c>
      <c r="L2680" s="14">
        <f>24*(TblTimeSheet[[#This Row],[End Date and Time]]-TblTimeSheet[[#This Row],[Start Date and Time]])</f>
        <v>2.0833333333139308</v>
      </c>
      <c r="M26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0" s="14">
        <f>--(0&gt;(TblTimeSheet[[#This Row],[End Date and Time]]-TblTimeSheet[[#This Row],[Start Date and Time]]))</f>
        <v>0</v>
      </c>
    </row>
    <row r="2681" spans="1:14" x14ac:dyDescent="0.25">
      <c r="A2681" s="1"/>
      <c r="B2681" s="2" t="s">
        <v>2878</v>
      </c>
      <c r="C2681" s="2" t="s">
        <v>36</v>
      </c>
      <c r="D2681" s="2" t="s">
        <v>3261</v>
      </c>
      <c r="E2681" s="7" t="s">
        <v>3917</v>
      </c>
      <c r="F2681" s="37">
        <v>42560.590277777781</v>
      </c>
      <c r="G2681" s="37">
        <v>42560.71875</v>
      </c>
      <c r="H2681" s="1" t="s">
        <v>6</v>
      </c>
      <c r="I2681" s="1" t="s">
        <v>38</v>
      </c>
      <c r="J2681" s="1">
        <v>42560.718506944446</v>
      </c>
      <c r="K2681" s="1" t="s">
        <v>36</v>
      </c>
      <c r="L2681" s="14">
        <f>24*(TblTimeSheet[[#This Row],[End Date and Time]]-TblTimeSheet[[#This Row],[Start Date and Time]])</f>
        <v>3.0833333332557231</v>
      </c>
      <c r="M26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1" s="14">
        <f>--(0&gt;(TblTimeSheet[[#This Row],[End Date and Time]]-TblTimeSheet[[#This Row],[Start Date and Time]]))</f>
        <v>0</v>
      </c>
    </row>
    <row r="2682" spans="1:14" ht="30" x14ac:dyDescent="0.25">
      <c r="A2682" s="1"/>
      <c r="B2682" s="2" t="s">
        <v>2878</v>
      </c>
      <c r="C2682" s="2" t="s">
        <v>144</v>
      </c>
      <c r="D2682" s="2" t="s">
        <v>3263</v>
      </c>
      <c r="E2682" s="7" t="s">
        <v>3484</v>
      </c>
      <c r="F2682" s="37">
        <v>42560.388888888891</v>
      </c>
      <c r="G2682" s="37">
        <v>42560.722222222219</v>
      </c>
      <c r="H2682" s="1" t="s">
        <v>6</v>
      </c>
      <c r="I2682" s="1" t="s">
        <v>38</v>
      </c>
      <c r="J2682" s="1">
        <v>42560.726759259262</v>
      </c>
      <c r="K2682" s="1" t="s">
        <v>144</v>
      </c>
      <c r="L2682" s="14">
        <f>24*(TblTimeSheet[[#This Row],[End Date and Time]]-TblTimeSheet[[#This Row],[Start Date and Time]])</f>
        <v>7.9999999998835847</v>
      </c>
      <c r="M26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682" s="14">
        <f>--(0&gt;(TblTimeSheet[[#This Row],[End Date and Time]]-TblTimeSheet[[#This Row],[Start Date and Time]]))</f>
        <v>0</v>
      </c>
    </row>
    <row r="2683" spans="1:14" x14ac:dyDescent="0.25">
      <c r="A2683" s="1"/>
      <c r="B2683" s="2" t="s">
        <v>2878</v>
      </c>
      <c r="C2683" s="2" t="s">
        <v>144</v>
      </c>
      <c r="D2683" s="2" t="s">
        <v>3263</v>
      </c>
      <c r="E2683" s="7" t="s">
        <v>3485</v>
      </c>
      <c r="F2683" s="37">
        <v>42560.385416666664</v>
      </c>
      <c r="G2683" s="37">
        <v>42560.725694444445</v>
      </c>
      <c r="H2683" s="1" t="s">
        <v>6</v>
      </c>
      <c r="I2683" s="1" t="s">
        <v>38</v>
      </c>
      <c r="J2683" s="1">
        <v>42560.727511574078</v>
      </c>
      <c r="K2683" s="1" t="s">
        <v>144</v>
      </c>
      <c r="L2683" s="14">
        <f>24*(TblTimeSheet[[#This Row],[End Date and Time]]-TblTimeSheet[[#This Row],[Start Date and Time]])</f>
        <v>8.1666666667442769</v>
      </c>
      <c r="M26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3" s="14">
        <f>--(0&gt;(TblTimeSheet[[#This Row],[End Date and Time]]-TblTimeSheet[[#This Row],[Start Date and Time]]))</f>
        <v>0</v>
      </c>
    </row>
    <row r="2684" spans="1:14" ht="30" x14ac:dyDescent="0.25">
      <c r="A2684" s="1"/>
      <c r="B2684" s="2" t="s">
        <v>2878</v>
      </c>
      <c r="C2684" s="2" t="s">
        <v>144</v>
      </c>
      <c r="D2684" s="2" t="s">
        <v>3261</v>
      </c>
      <c r="E2684" s="7" t="s">
        <v>3918</v>
      </c>
      <c r="F2684" s="37">
        <v>42566.375</v>
      </c>
      <c r="G2684" s="37">
        <v>42566.458333333336</v>
      </c>
      <c r="H2684" s="1" t="s">
        <v>6</v>
      </c>
      <c r="I2684" s="1" t="s">
        <v>38</v>
      </c>
      <c r="J2684" s="1">
        <v>42566.716886574075</v>
      </c>
      <c r="K2684" s="1" t="s">
        <v>144</v>
      </c>
      <c r="L2684" s="14">
        <f>24*(TblTimeSheet[[#This Row],[End Date and Time]]-TblTimeSheet[[#This Row],[Start Date and Time]])</f>
        <v>2.0000000000582077</v>
      </c>
      <c r="M26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4" s="14">
        <f>--(0&gt;(TblTimeSheet[[#This Row],[End Date and Time]]-TblTimeSheet[[#This Row],[Start Date and Time]]))</f>
        <v>0</v>
      </c>
    </row>
    <row r="2685" spans="1:14" x14ac:dyDescent="0.25">
      <c r="A2685" s="1"/>
      <c r="B2685" s="2" t="s">
        <v>2878</v>
      </c>
      <c r="C2685" s="2" t="s">
        <v>144</v>
      </c>
      <c r="D2685" s="2" t="s">
        <v>3261</v>
      </c>
      <c r="E2685" s="7" t="s">
        <v>3486</v>
      </c>
      <c r="F2685" s="37">
        <v>42566.461805555555</v>
      </c>
      <c r="G2685" s="37">
        <v>42566.548611111109</v>
      </c>
      <c r="H2685" s="1" t="s">
        <v>6</v>
      </c>
      <c r="I2685" s="1" t="s">
        <v>38</v>
      </c>
      <c r="J2685" s="1">
        <v>42566.717465277776</v>
      </c>
      <c r="K2685" s="1" t="s">
        <v>144</v>
      </c>
      <c r="L2685" s="14">
        <f>24*(TblTimeSheet[[#This Row],[End Date and Time]]-TblTimeSheet[[#This Row],[Start Date and Time]])</f>
        <v>2.0833333333139308</v>
      </c>
      <c r="M26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5" s="14">
        <f>--(0&gt;(TblTimeSheet[[#This Row],[End Date and Time]]-TblTimeSheet[[#This Row],[Start Date and Time]]))</f>
        <v>0</v>
      </c>
    </row>
    <row r="2686" spans="1:14" ht="30" x14ac:dyDescent="0.25">
      <c r="A2686" s="1"/>
      <c r="B2686" s="2" t="s">
        <v>2878</v>
      </c>
      <c r="C2686" s="2" t="s">
        <v>144</v>
      </c>
      <c r="D2686" s="2" t="s">
        <v>3261</v>
      </c>
      <c r="E2686" s="7" t="s">
        <v>3487</v>
      </c>
      <c r="F2686" s="37">
        <v>42566.576388888891</v>
      </c>
      <c r="G2686" s="37">
        <v>42566.625</v>
      </c>
      <c r="H2686" s="1" t="s">
        <v>6</v>
      </c>
      <c r="I2686" s="1" t="s">
        <v>38</v>
      </c>
      <c r="J2686" s="1">
        <v>42566.722592592596</v>
      </c>
      <c r="K2686" s="1" t="s">
        <v>144</v>
      </c>
      <c r="L2686" s="14">
        <f>24*(TblTimeSheet[[#This Row],[End Date and Time]]-TblTimeSheet[[#This Row],[Start Date and Time]])</f>
        <v>1.1666666666278616</v>
      </c>
      <c r="M26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6" s="14">
        <f>--(0&gt;(TblTimeSheet[[#This Row],[End Date and Time]]-TblTimeSheet[[#This Row],[Start Date and Time]]))</f>
        <v>0</v>
      </c>
    </row>
    <row r="2687" spans="1:14" x14ac:dyDescent="0.25">
      <c r="A2687" s="1"/>
      <c r="B2687" s="2" t="s">
        <v>2878</v>
      </c>
      <c r="C2687" s="2" t="s">
        <v>144</v>
      </c>
      <c r="D2687" s="2" t="s">
        <v>3261</v>
      </c>
      <c r="E2687" s="7" t="s">
        <v>3488</v>
      </c>
      <c r="F2687" s="37">
        <v>42566.631944444445</v>
      </c>
      <c r="G2687" s="37">
        <v>42566.666666666664</v>
      </c>
      <c r="H2687" s="1" t="s">
        <v>6</v>
      </c>
      <c r="I2687" s="1" t="s">
        <v>38</v>
      </c>
      <c r="J2687" s="1">
        <v>42566.719178240739</v>
      </c>
      <c r="K2687" s="1" t="s">
        <v>144</v>
      </c>
      <c r="L2687" s="14">
        <f>24*(TblTimeSheet[[#This Row],[End Date and Time]]-TblTimeSheet[[#This Row],[Start Date and Time]])</f>
        <v>0.83333333325572312</v>
      </c>
      <c r="M26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7" s="14">
        <f>--(0&gt;(TblTimeSheet[[#This Row],[End Date and Time]]-TblTimeSheet[[#This Row],[Start Date and Time]]))</f>
        <v>0</v>
      </c>
    </row>
    <row r="2688" spans="1:14" x14ac:dyDescent="0.25">
      <c r="A2688" s="1"/>
      <c r="B2688" s="2" t="s">
        <v>2878</v>
      </c>
      <c r="C2688" s="2" t="s">
        <v>144</v>
      </c>
      <c r="D2688" s="2" t="s">
        <v>3261</v>
      </c>
      <c r="E2688" s="7" t="s">
        <v>3489</v>
      </c>
      <c r="F2688" s="37">
        <v>42566.666666666664</v>
      </c>
      <c r="G2688" s="37">
        <v>42566.71875</v>
      </c>
      <c r="H2688" s="1" t="s">
        <v>6</v>
      </c>
      <c r="I2688" s="1" t="s">
        <v>38</v>
      </c>
      <c r="J2688" s="1">
        <v>42566.722696759258</v>
      </c>
      <c r="K2688" s="1" t="s">
        <v>144</v>
      </c>
      <c r="L2688" s="14">
        <f>24*(TblTimeSheet[[#This Row],[End Date and Time]]-TblTimeSheet[[#This Row],[Start Date and Time]])</f>
        <v>1.2500000000582077</v>
      </c>
      <c r="M26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8" s="14">
        <f>--(0&gt;(TblTimeSheet[[#This Row],[End Date and Time]]-TblTimeSheet[[#This Row],[Start Date and Time]]))</f>
        <v>0</v>
      </c>
    </row>
    <row r="2689" spans="1:14" ht="30" x14ac:dyDescent="0.25">
      <c r="A2689" s="1"/>
      <c r="B2689" s="2" t="s">
        <v>2878</v>
      </c>
      <c r="C2689" s="2" t="s">
        <v>144</v>
      </c>
      <c r="D2689" s="2" t="s">
        <v>3263</v>
      </c>
      <c r="E2689" s="7" t="s">
        <v>3490</v>
      </c>
      <c r="F2689" s="37">
        <v>42565.375</v>
      </c>
      <c r="G2689" s="37">
        <v>42565.5</v>
      </c>
      <c r="H2689" s="1" t="s">
        <v>6</v>
      </c>
      <c r="I2689" s="1" t="s">
        <v>38</v>
      </c>
      <c r="J2689" s="1">
        <v>42566.720868055556</v>
      </c>
      <c r="K2689" s="1" t="s">
        <v>144</v>
      </c>
      <c r="L2689" s="14">
        <f>24*(TblTimeSheet[[#This Row],[End Date and Time]]-TblTimeSheet[[#This Row],[Start Date and Time]])</f>
        <v>3</v>
      </c>
      <c r="M26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89" s="14">
        <f>--(0&gt;(TblTimeSheet[[#This Row],[End Date and Time]]-TblTimeSheet[[#This Row],[Start Date and Time]]))</f>
        <v>0</v>
      </c>
    </row>
    <row r="2690" spans="1:14" ht="30" x14ac:dyDescent="0.25">
      <c r="A2690" s="1"/>
      <c r="B2690" s="2" t="s">
        <v>2878</v>
      </c>
      <c r="C2690" s="2" t="s">
        <v>144</v>
      </c>
      <c r="D2690" s="2" t="s">
        <v>3263</v>
      </c>
      <c r="E2690" s="7" t="s">
        <v>3491</v>
      </c>
      <c r="F2690" s="37">
        <v>42565.506944444445</v>
      </c>
      <c r="G2690" s="37">
        <v>42565.708333333336</v>
      </c>
      <c r="H2690" s="1" t="s">
        <v>6</v>
      </c>
      <c r="I2690" s="1" t="s">
        <v>38</v>
      </c>
      <c r="J2690" s="1">
        <v>42566.721724537034</v>
      </c>
      <c r="K2690" s="1" t="s">
        <v>144</v>
      </c>
      <c r="L2690" s="14">
        <f>24*(TblTimeSheet[[#This Row],[End Date and Time]]-TblTimeSheet[[#This Row],[Start Date and Time]])</f>
        <v>4.8333333333721384</v>
      </c>
      <c r="M26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0" s="14">
        <f>--(0&gt;(TblTimeSheet[[#This Row],[End Date and Time]]-TblTimeSheet[[#This Row],[Start Date and Time]]))</f>
        <v>0</v>
      </c>
    </row>
    <row r="2691" spans="1:14" ht="30" x14ac:dyDescent="0.25">
      <c r="A2691" s="1"/>
      <c r="B2691" s="2" t="s">
        <v>2878</v>
      </c>
      <c r="C2691" s="2" t="s">
        <v>144</v>
      </c>
      <c r="D2691" s="2" t="s">
        <v>3263</v>
      </c>
      <c r="E2691" s="7" t="s">
        <v>3492</v>
      </c>
      <c r="F2691" s="37">
        <v>42564.385416666664</v>
      </c>
      <c r="G2691" s="37">
        <v>42564.545138888891</v>
      </c>
      <c r="H2691" s="1" t="s">
        <v>6</v>
      </c>
      <c r="I2691" s="1" t="s">
        <v>38</v>
      </c>
      <c r="J2691" s="1">
        <v>42566.733472222222</v>
      </c>
      <c r="K2691" s="1" t="s">
        <v>144</v>
      </c>
      <c r="L2691" s="14">
        <f>24*(TblTimeSheet[[#This Row],[End Date and Time]]-TblTimeSheet[[#This Row],[Start Date and Time]])</f>
        <v>3.8333333334303461</v>
      </c>
      <c r="M26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1" s="14">
        <f>--(0&gt;(TblTimeSheet[[#This Row],[End Date and Time]]-TblTimeSheet[[#This Row],[Start Date and Time]]))</f>
        <v>0</v>
      </c>
    </row>
    <row r="2692" spans="1:14" ht="30" x14ac:dyDescent="0.25">
      <c r="A2692" s="1"/>
      <c r="B2692" s="2" t="s">
        <v>2878</v>
      </c>
      <c r="C2692" s="2" t="s">
        <v>144</v>
      </c>
      <c r="D2692" s="2" t="s">
        <v>3263</v>
      </c>
      <c r="E2692" s="7" t="s">
        <v>3492</v>
      </c>
      <c r="F2692" s="37">
        <v>42564.583333333336</v>
      </c>
      <c r="G2692" s="37">
        <v>42564.725694444445</v>
      </c>
      <c r="H2692" s="1" t="s">
        <v>6</v>
      </c>
      <c r="I2692" s="1" t="s">
        <v>38</v>
      </c>
      <c r="J2692" s="1">
        <v>42566.733287037037</v>
      </c>
      <c r="K2692" s="1" t="s">
        <v>144</v>
      </c>
      <c r="L2692" s="14">
        <f>24*(TblTimeSheet[[#This Row],[End Date and Time]]-TblTimeSheet[[#This Row],[Start Date and Time]])</f>
        <v>3.4166666666278616</v>
      </c>
      <c r="M26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2" s="14">
        <f>--(0&gt;(TblTimeSheet[[#This Row],[End Date and Time]]-TblTimeSheet[[#This Row],[Start Date and Time]]))</f>
        <v>0</v>
      </c>
    </row>
    <row r="2693" spans="1:14" x14ac:dyDescent="0.25">
      <c r="A2693" s="1"/>
      <c r="B2693" s="2" t="s">
        <v>2878</v>
      </c>
      <c r="C2693" s="2" t="s">
        <v>144</v>
      </c>
      <c r="D2693" s="2" t="s">
        <v>3263</v>
      </c>
      <c r="E2693" s="7" t="s">
        <v>3493</v>
      </c>
      <c r="F2693" s="37">
        <v>42563.388888888891</v>
      </c>
      <c r="G2693" s="37">
        <v>42563.541666666664</v>
      </c>
      <c r="H2693" s="1" t="s">
        <v>6</v>
      </c>
      <c r="I2693" s="1" t="s">
        <v>38</v>
      </c>
      <c r="J2693" s="1">
        <v>42566.731458333335</v>
      </c>
      <c r="K2693" s="1" t="s">
        <v>144</v>
      </c>
      <c r="L2693" s="14">
        <f>24*(TblTimeSheet[[#This Row],[End Date and Time]]-TblTimeSheet[[#This Row],[Start Date and Time]])</f>
        <v>3.6666666665696539</v>
      </c>
      <c r="M26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3" s="14">
        <f>--(0&gt;(TblTimeSheet[[#This Row],[End Date and Time]]-TblTimeSheet[[#This Row],[Start Date and Time]]))</f>
        <v>0</v>
      </c>
    </row>
    <row r="2694" spans="1:14" x14ac:dyDescent="0.25">
      <c r="A2694" s="1"/>
      <c r="B2694" s="2" t="s">
        <v>2878</v>
      </c>
      <c r="C2694" s="2" t="s">
        <v>144</v>
      </c>
      <c r="D2694" s="2" t="s">
        <v>3263</v>
      </c>
      <c r="E2694" s="7" t="s">
        <v>3493</v>
      </c>
      <c r="F2694" s="37">
        <v>42563.583333333336</v>
      </c>
      <c r="G2694" s="37">
        <v>42563.71875</v>
      </c>
      <c r="H2694" s="1" t="s">
        <v>6</v>
      </c>
      <c r="I2694" s="1" t="s">
        <v>38</v>
      </c>
      <c r="J2694" s="1">
        <v>42566.731851851851</v>
      </c>
      <c r="K2694" s="1" t="s">
        <v>144</v>
      </c>
      <c r="L2694" s="14">
        <f>24*(TblTimeSheet[[#This Row],[End Date and Time]]-TblTimeSheet[[#This Row],[Start Date and Time]])</f>
        <v>3.2499999999417923</v>
      </c>
      <c r="M26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4" s="14">
        <f>--(0&gt;(TblTimeSheet[[#This Row],[End Date and Time]]-TblTimeSheet[[#This Row],[Start Date and Time]]))</f>
        <v>0</v>
      </c>
    </row>
    <row r="2695" spans="1:14" ht="30" x14ac:dyDescent="0.25">
      <c r="A2695" s="1"/>
      <c r="B2695" s="2" t="s">
        <v>2878</v>
      </c>
      <c r="C2695" s="2" t="s">
        <v>144</v>
      </c>
      <c r="D2695" s="2" t="s">
        <v>3263</v>
      </c>
      <c r="E2695" s="7" t="s">
        <v>3494</v>
      </c>
      <c r="F2695" s="37">
        <v>42562.375</v>
      </c>
      <c r="G2695" s="37">
        <v>42562.722222222219</v>
      </c>
      <c r="H2695" s="1" t="s">
        <v>6</v>
      </c>
      <c r="I2695" s="1" t="s">
        <v>38</v>
      </c>
      <c r="J2695" s="1">
        <v>42566.732905092591</v>
      </c>
      <c r="K2695" s="1" t="s">
        <v>144</v>
      </c>
      <c r="L2695" s="14">
        <f>24*(TblTimeSheet[[#This Row],[End Date and Time]]-TblTimeSheet[[#This Row],[Start Date and Time]])</f>
        <v>8.3333333332557231</v>
      </c>
      <c r="M26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5" s="14">
        <f>--(0&gt;(TblTimeSheet[[#This Row],[End Date and Time]]-TblTimeSheet[[#This Row],[Start Date and Time]]))</f>
        <v>0</v>
      </c>
    </row>
    <row r="2696" spans="1:14" x14ac:dyDescent="0.25">
      <c r="A2696" s="1"/>
      <c r="B2696" s="2" t="s">
        <v>2878</v>
      </c>
      <c r="C2696" s="2" t="s">
        <v>1503</v>
      </c>
      <c r="D2696" s="2" t="s">
        <v>3261</v>
      </c>
      <c r="E2696" s="7" t="s">
        <v>3919</v>
      </c>
      <c r="F2696" s="37">
        <v>42570.375</v>
      </c>
      <c r="G2696" s="37">
        <v>42570.427083333336</v>
      </c>
      <c r="H2696" s="1" t="s">
        <v>6</v>
      </c>
      <c r="I2696" s="1" t="s">
        <v>38</v>
      </c>
      <c r="J2696" s="1">
        <v>42570.425636574073</v>
      </c>
      <c r="K2696" s="1" t="s">
        <v>2866</v>
      </c>
      <c r="L2696" s="14">
        <f>24*(TblTimeSheet[[#This Row],[End Date and Time]]-TblTimeSheet[[#This Row],[Start Date and Time]])</f>
        <v>1.2500000000582077</v>
      </c>
      <c r="M26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6" s="14">
        <f>--(0&gt;(TblTimeSheet[[#This Row],[End Date and Time]]-TblTimeSheet[[#This Row],[Start Date and Time]]))</f>
        <v>0</v>
      </c>
    </row>
    <row r="2697" spans="1:14" ht="30" x14ac:dyDescent="0.25">
      <c r="A2697" s="1"/>
      <c r="B2697" s="2" t="s">
        <v>2878</v>
      </c>
      <c r="C2697" s="2" t="s">
        <v>36</v>
      </c>
      <c r="D2697" s="2" t="s">
        <v>3261</v>
      </c>
      <c r="E2697" s="7" t="s">
        <v>3920</v>
      </c>
      <c r="F2697" s="37">
        <v>42569.59375</v>
      </c>
      <c r="G2697" s="37">
        <v>42569.729166666664</v>
      </c>
      <c r="H2697" s="1" t="s">
        <v>6</v>
      </c>
      <c r="I2697" s="1" t="s">
        <v>38</v>
      </c>
      <c r="J2697" s="1">
        <v>42570.447881944441</v>
      </c>
      <c r="K2697" s="1" t="s">
        <v>36</v>
      </c>
      <c r="L2697" s="14">
        <f>24*(TblTimeSheet[[#This Row],[End Date and Time]]-TblTimeSheet[[#This Row],[Start Date and Time]])</f>
        <v>3.2499999999417923</v>
      </c>
      <c r="M26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7" s="14">
        <f>--(0&gt;(TblTimeSheet[[#This Row],[End Date and Time]]-TblTimeSheet[[#This Row],[Start Date and Time]]))</f>
        <v>0</v>
      </c>
    </row>
    <row r="2698" spans="1:14" ht="30" x14ac:dyDescent="0.25">
      <c r="A2698" s="1"/>
      <c r="B2698" s="2" t="s">
        <v>2878</v>
      </c>
      <c r="C2698" s="2" t="s">
        <v>36</v>
      </c>
      <c r="D2698" s="2" t="s">
        <v>3261</v>
      </c>
      <c r="E2698" s="7" t="s">
        <v>3921</v>
      </c>
      <c r="F2698" s="37">
        <v>42570.381944444445</v>
      </c>
      <c r="G2698" s="37">
        <v>42570.545138888891</v>
      </c>
      <c r="H2698" s="1" t="s">
        <v>6</v>
      </c>
      <c r="I2698" s="1" t="s">
        <v>38</v>
      </c>
      <c r="J2698" s="1">
        <v>42570.588587962964</v>
      </c>
      <c r="K2698" s="1" t="s">
        <v>36</v>
      </c>
      <c r="L2698" s="14">
        <f>24*(TblTimeSheet[[#This Row],[End Date and Time]]-TblTimeSheet[[#This Row],[Start Date and Time]])</f>
        <v>3.9166666666860692</v>
      </c>
      <c r="M26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8" s="14">
        <f>--(0&gt;(TblTimeSheet[[#This Row],[End Date and Time]]-TblTimeSheet[[#This Row],[Start Date and Time]]))</f>
        <v>0</v>
      </c>
    </row>
    <row r="2699" spans="1:14" x14ac:dyDescent="0.25">
      <c r="A2699" s="1"/>
      <c r="B2699" s="2" t="s">
        <v>2878</v>
      </c>
      <c r="C2699" s="2" t="s">
        <v>1503</v>
      </c>
      <c r="D2699" s="2" t="s">
        <v>3261</v>
      </c>
      <c r="E2699" s="7" t="s">
        <v>3495</v>
      </c>
      <c r="F2699" s="37">
        <v>42570.427083333336</v>
      </c>
      <c r="G2699" s="37">
        <v>42570.541666666664</v>
      </c>
      <c r="H2699" s="1" t="s">
        <v>6</v>
      </c>
      <c r="I2699" s="1" t="s">
        <v>38</v>
      </c>
      <c r="J2699" s="1">
        <v>42570.624641203707</v>
      </c>
      <c r="K2699" s="1" t="s">
        <v>2866</v>
      </c>
      <c r="L2699" s="14">
        <f>24*(TblTimeSheet[[#This Row],[End Date and Time]]-TblTimeSheet[[#This Row],[Start Date and Time]])</f>
        <v>2.7499999998835847</v>
      </c>
      <c r="M26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699" s="14">
        <f>--(0&gt;(TblTimeSheet[[#This Row],[End Date and Time]]-TblTimeSheet[[#This Row],[Start Date and Time]]))</f>
        <v>0</v>
      </c>
    </row>
    <row r="2700" spans="1:14" x14ac:dyDescent="0.25">
      <c r="A2700" s="1"/>
      <c r="B2700" s="2" t="s">
        <v>2878</v>
      </c>
      <c r="C2700" s="2" t="s">
        <v>1503</v>
      </c>
      <c r="D2700" s="2" t="s">
        <v>3261</v>
      </c>
      <c r="E2700" s="7" t="s">
        <v>3496</v>
      </c>
      <c r="F2700" s="37">
        <v>42570.583333333336</v>
      </c>
      <c r="G2700" s="37">
        <v>42570.6875</v>
      </c>
      <c r="H2700" s="1" t="s">
        <v>6</v>
      </c>
      <c r="I2700" s="1" t="s">
        <v>38</v>
      </c>
      <c r="J2700" s="1">
        <v>42570.719398148147</v>
      </c>
      <c r="K2700" s="1" t="s">
        <v>2866</v>
      </c>
      <c r="L2700" s="14">
        <f>24*(TblTimeSheet[[#This Row],[End Date and Time]]-TblTimeSheet[[#This Row],[Start Date and Time]])</f>
        <v>2.4999999999417923</v>
      </c>
      <c r="M27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0" s="14">
        <f>--(0&gt;(TblTimeSheet[[#This Row],[End Date and Time]]-TblTimeSheet[[#This Row],[Start Date and Time]]))</f>
        <v>0</v>
      </c>
    </row>
    <row r="2701" spans="1:14" ht="30" x14ac:dyDescent="0.25">
      <c r="A2701" s="1"/>
      <c r="B2701" s="2" t="s">
        <v>2878</v>
      </c>
      <c r="C2701" s="2" t="s">
        <v>36</v>
      </c>
      <c r="D2701" s="2" t="s">
        <v>3261</v>
      </c>
      <c r="E2701" s="7" t="s">
        <v>3922</v>
      </c>
      <c r="F2701" s="37">
        <v>42570.586805555555</v>
      </c>
      <c r="G2701" s="37">
        <v>42570.729166666664</v>
      </c>
      <c r="H2701" s="1" t="s">
        <v>6</v>
      </c>
      <c r="I2701" s="1" t="s">
        <v>38</v>
      </c>
      <c r="J2701" s="1">
        <v>42570.729039351849</v>
      </c>
      <c r="K2701" s="1" t="s">
        <v>36</v>
      </c>
      <c r="L2701" s="14">
        <f>24*(TblTimeSheet[[#This Row],[End Date and Time]]-TblTimeSheet[[#This Row],[Start Date and Time]])</f>
        <v>3.4166666666278616</v>
      </c>
      <c r="M27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1" s="14">
        <f>--(0&gt;(TblTimeSheet[[#This Row],[End Date and Time]]-TblTimeSheet[[#This Row],[Start Date and Time]]))</f>
        <v>0</v>
      </c>
    </row>
    <row r="2702" spans="1:14" x14ac:dyDescent="0.25">
      <c r="A2702" s="1"/>
      <c r="B2702" s="2" t="s">
        <v>2878</v>
      </c>
      <c r="C2702" s="2" t="s">
        <v>1503</v>
      </c>
      <c r="D2702" s="2" t="s">
        <v>3263</v>
      </c>
      <c r="E2702" s="7" t="s">
        <v>3497</v>
      </c>
      <c r="F2702" s="37">
        <v>42570.6875</v>
      </c>
      <c r="G2702" s="37">
        <v>42570.729166666664</v>
      </c>
      <c r="H2702" s="1" t="s">
        <v>6</v>
      </c>
      <c r="I2702" s="1" t="s">
        <v>38</v>
      </c>
      <c r="J2702" s="1">
        <v>42570.733773148146</v>
      </c>
      <c r="K2702" s="1" t="s">
        <v>2866</v>
      </c>
      <c r="L2702" s="14">
        <f>24*(TblTimeSheet[[#This Row],[End Date and Time]]-TblTimeSheet[[#This Row],[Start Date and Time]])</f>
        <v>0.99999999994179234</v>
      </c>
      <c r="M27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2" s="14">
        <f>--(0&gt;(TblTimeSheet[[#This Row],[End Date and Time]]-TblTimeSheet[[#This Row],[Start Date and Time]]))</f>
        <v>0</v>
      </c>
    </row>
    <row r="2703" spans="1:14" ht="45" x14ac:dyDescent="0.25">
      <c r="A2703" s="1"/>
      <c r="B2703" s="2" t="s">
        <v>2878</v>
      </c>
      <c r="C2703" s="2" t="s">
        <v>36</v>
      </c>
      <c r="D2703" s="2" t="s">
        <v>3261</v>
      </c>
      <c r="E2703" s="7" t="s">
        <v>3923</v>
      </c>
      <c r="F2703" s="37">
        <v>42571.378472222219</v>
      </c>
      <c r="G2703" s="37">
        <v>42571.548611111109</v>
      </c>
      <c r="H2703" s="1" t="s">
        <v>6</v>
      </c>
      <c r="I2703" s="1" t="s">
        <v>38</v>
      </c>
      <c r="J2703" s="1">
        <v>42572.376284722224</v>
      </c>
      <c r="K2703" s="1" t="s">
        <v>36</v>
      </c>
      <c r="L2703" s="14">
        <f>24*(TblTimeSheet[[#This Row],[End Date and Time]]-TblTimeSheet[[#This Row],[Start Date and Time]])</f>
        <v>4.0833333333721384</v>
      </c>
      <c r="M27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3" s="14">
        <f>--(0&gt;(TblTimeSheet[[#This Row],[End Date and Time]]-TblTimeSheet[[#This Row],[Start Date and Time]]))</f>
        <v>0</v>
      </c>
    </row>
    <row r="2704" spans="1:14" x14ac:dyDescent="0.25">
      <c r="A2704" s="1"/>
      <c r="B2704" s="2" t="s">
        <v>2878</v>
      </c>
      <c r="C2704" s="2" t="s">
        <v>36</v>
      </c>
      <c r="D2704" s="2" t="s">
        <v>3261</v>
      </c>
      <c r="E2704" s="7" t="s">
        <v>3924</v>
      </c>
      <c r="F2704" s="37">
        <v>42571.583333333336</v>
      </c>
      <c r="G2704" s="37">
        <v>42571.736111111109</v>
      </c>
      <c r="H2704" s="1" t="s">
        <v>6</v>
      </c>
      <c r="I2704" s="1" t="s">
        <v>38</v>
      </c>
      <c r="J2704" s="1">
        <v>42572.377465277779</v>
      </c>
      <c r="K2704" s="1" t="s">
        <v>36</v>
      </c>
      <c r="L2704" s="14">
        <f>24*(TblTimeSheet[[#This Row],[End Date and Time]]-TblTimeSheet[[#This Row],[Start Date and Time]])</f>
        <v>3.6666666665696539</v>
      </c>
      <c r="M27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4" s="14">
        <f>--(0&gt;(TblTimeSheet[[#This Row],[End Date and Time]]-TblTimeSheet[[#This Row],[Start Date and Time]]))</f>
        <v>0</v>
      </c>
    </row>
    <row r="2705" spans="1:14" ht="30" x14ac:dyDescent="0.25">
      <c r="A2705" s="1"/>
      <c r="B2705" s="2" t="s">
        <v>2878</v>
      </c>
      <c r="C2705" s="2" t="s">
        <v>36</v>
      </c>
      <c r="D2705" s="2" t="s">
        <v>3261</v>
      </c>
      <c r="E2705" s="7" t="s">
        <v>3925</v>
      </c>
      <c r="F2705" s="37">
        <v>42572.378472222219</v>
      </c>
      <c r="G2705" s="37">
        <v>42572.559027777781</v>
      </c>
      <c r="H2705" s="1" t="s">
        <v>6</v>
      </c>
      <c r="I2705" s="1" t="s">
        <v>38</v>
      </c>
      <c r="J2705" s="1">
        <v>42572.710520833331</v>
      </c>
      <c r="K2705" s="1" t="s">
        <v>36</v>
      </c>
      <c r="L2705" s="14">
        <f>24*(TblTimeSheet[[#This Row],[End Date and Time]]-TblTimeSheet[[#This Row],[Start Date and Time]])</f>
        <v>4.3333333334885538</v>
      </c>
      <c r="M27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5" s="14">
        <f>--(0&gt;(TblTimeSheet[[#This Row],[End Date and Time]]-TblTimeSheet[[#This Row],[Start Date and Time]]))</f>
        <v>0</v>
      </c>
    </row>
    <row r="2706" spans="1:14" x14ac:dyDescent="0.25">
      <c r="A2706" s="1"/>
      <c r="B2706" s="2" t="s">
        <v>2878</v>
      </c>
      <c r="C2706" s="2" t="s">
        <v>36</v>
      </c>
      <c r="D2706" s="2" t="s">
        <v>3261</v>
      </c>
      <c r="E2706" s="7" t="s">
        <v>3926</v>
      </c>
      <c r="F2706" s="37">
        <v>42572.604166666664</v>
      </c>
      <c r="G2706" s="37">
        <v>42572.729166666664</v>
      </c>
      <c r="H2706" s="1" t="s">
        <v>6</v>
      </c>
      <c r="I2706" s="1" t="s">
        <v>38</v>
      </c>
      <c r="J2706" s="1">
        <v>42573.733391203707</v>
      </c>
      <c r="K2706" s="1" t="s">
        <v>36</v>
      </c>
      <c r="L2706" s="14">
        <f>24*(TblTimeSheet[[#This Row],[End Date and Time]]-TblTimeSheet[[#This Row],[Start Date and Time]])</f>
        <v>3</v>
      </c>
      <c r="M27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6" s="14">
        <f>--(0&gt;(TblTimeSheet[[#This Row],[End Date and Time]]-TblTimeSheet[[#This Row],[Start Date and Time]]))</f>
        <v>0</v>
      </c>
    </row>
    <row r="2707" spans="1:14" x14ac:dyDescent="0.25">
      <c r="A2707" s="1"/>
      <c r="B2707" s="2" t="s">
        <v>2878</v>
      </c>
      <c r="C2707" s="2" t="s">
        <v>36</v>
      </c>
      <c r="D2707" s="2" t="s">
        <v>3261</v>
      </c>
      <c r="E2707" s="7" t="s">
        <v>3498</v>
      </c>
      <c r="F2707" s="37">
        <v>42573.381944444445</v>
      </c>
      <c r="G2707" s="37">
        <v>42573.583333333336</v>
      </c>
      <c r="H2707" s="1" t="s">
        <v>6</v>
      </c>
      <c r="I2707" s="1" t="s">
        <v>38</v>
      </c>
      <c r="J2707" s="1">
        <v>42573.733958333331</v>
      </c>
      <c r="K2707" s="1" t="s">
        <v>36</v>
      </c>
      <c r="L2707" s="14">
        <f>24*(TblTimeSheet[[#This Row],[End Date and Time]]-TblTimeSheet[[#This Row],[Start Date and Time]])</f>
        <v>4.8333333333721384</v>
      </c>
      <c r="M27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7" s="14">
        <f>--(0&gt;(TblTimeSheet[[#This Row],[End Date and Time]]-TblTimeSheet[[#This Row],[Start Date and Time]]))</f>
        <v>0</v>
      </c>
    </row>
    <row r="2708" spans="1:14" x14ac:dyDescent="0.25">
      <c r="A2708" s="1"/>
      <c r="B2708" s="2" t="s">
        <v>2878</v>
      </c>
      <c r="C2708" s="2" t="s">
        <v>36</v>
      </c>
      <c r="D2708" s="2" t="s">
        <v>3261</v>
      </c>
      <c r="E2708" s="7" t="s">
        <v>3498</v>
      </c>
      <c r="F2708" s="37">
        <v>42573.625</v>
      </c>
      <c r="G2708" s="37">
        <v>42573.729166666664</v>
      </c>
      <c r="H2708" s="1" t="s">
        <v>6</v>
      </c>
      <c r="I2708" s="1" t="s">
        <v>38</v>
      </c>
      <c r="J2708" s="1">
        <v>42573.734166666669</v>
      </c>
      <c r="K2708" s="1" t="s">
        <v>36</v>
      </c>
      <c r="L2708" s="14">
        <f>24*(TblTimeSheet[[#This Row],[End Date and Time]]-TblTimeSheet[[#This Row],[Start Date and Time]])</f>
        <v>2.4999999999417923</v>
      </c>
      <c r="M27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8" s="14">
        <f>--(0&gt;(TblTimeSheet[[#This Row],[End Date and Time]]-TblTimeSheet[[#This Row],[Start Date and Time]]))</f>
        <v>0</v>
      </c>
    </row>
    <row r="2709" spans="1:14" ht="30" x14ac:dyDescent="0.25">
      <c r="A2709" s="1"/>
      <c r="B2709" s="2" t="s">
        <v>2878</v>
      </c>
      <c r="C2709" s="2" t="s">
        <v>36</v>
      </c>
      <c r="D2709" s="2" t="s">
        <v>3261</v>
      </c>
      <c r="E2709" s="7" t="s">
        <v>3927</v>
      </c>
      <c r="F2709" s="37">
        <v>42574.458333333336</v>
      </c>
      <c r="G2709" s="37">
        <v>42574.541666666664</v>
      </c>
      <c r="H2709" s="1" t="s">
        <v>6</v>
      </c>
      <c r="I2709" s="1" t="s">
        <v>38</v>
      </c>
      <c r="J2709" s="1">
        <v>42574.653611111113</v>
      </c>
      <c r="K2709" s="1" t="s">
        <v>36</v>
      </c>
      <c r="L2709" s="14">
        <f>24*(TblTimeSheet[[#This Row],[End Date and Time]]-TblTimeSheet[[#This Row],[Start Date and Time]])</f>
        <v>1.9999999998835847</v>
      </c>
      <c r="M27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09" s="14">
        <f>--(0&gt;(TblTimeSheet[[#This Row],[End Date and Time]]-TblTimeSheet[[#This Row],[Start Date and Time]]))</f>
        <v>0</v>
      </c>
    </row>
    <row r="2710" spans="1:14" x14ac:dyDescent="0.25">
      <c r="A2710" s="1"/>
      <c r="B2710" s="2" t="s">
        <v>2878</v>
      </c>
      <c r="C2710" s="2" t="s">
        <v>36</v>
      </c>
      <c r="D2710" s="2" t="s">
        <v>3261</v>
      </c>
      <c r="E2710" s="7" t="s">
        <v>3499</v>
      </c>
      <c r="F2710" s="37">
        <v>42574.625</v>
      </c>
      <c r="G2710" s="37">
        <v>42574.6875</v>
      </c>
      <c r="H2710" s="1" t="s">
        <v>6</v>
      </c>
      <c r="I2710" s="1" t="s">
        <v>38</v>
      </c>
      <c r="J2710" s="1">
        <v>42576.398784722223</v>
      </c>
      <c r="K2710" s="1" t="s">
        <v>36</v>
      </c>
      <c r="L2710" s="14">
        <f>24*(TblTimeSheet[[#This Row],[End Date and Time]]-TblTimeSheet[[#This Row],[Start Date and Time]])</f>
        <v>1.5</v>
      </c>
      <c r="M27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0" s="14">
        <f>--(0&gt;(TblTimeSheet[[#This Row],[End Date and Time]]-TblTimeSheet[[#This Row],[Start Date and Time]]))</f>
        <v>0</v>
      </c>
    </row>
    <row r="2711" spans="1:14" ht="45" x14ac:dyDescent="0.25">
      <c r="A2711" s="1"/>
      <c r="B2711" s="2" t="s">
        <v>2878</v>
      </c>
      <c r="C2711" s="2" t="s">
        <v>36</v>
      </c>
      <c r="D2711" s="2" t="s">
        <v>3261</v>
      </c>
      <c r="E2711" s="7" t="s">
        <v>3928</v>
      </c>
      <c r="F2711" s="37">
        <v>42576.381944444445</v>
      </c>
      <c r="G2711" s="37">
        <v>42576.559027777781</v>
      </c>
      <c r="H2711" s="1" t="s">
        <v>6</v>
      </c>
      <c r="I2711" s="1" t="s">
        <v>38</v>
      </c>
      <c r="J2711" s="1">
        <v>42576.677094907405</v>
      </c>
      <c r="K2711" s="1" t="s">
        <v>36</v>
      </c>
      <c r="L2711" s="14">
        <f>24*(TblTimeSheet[[#This Row],[End Date and Time]]-TblTimeSheet[[#This Row],[Start Date and Time]])</f>
        <v>4.2500000000582077</v>
      </c>
      <c r="M27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1" s="14">
        <f>--(0&gt;(TblTimeSheet[[#This Row],[End Date and Time]]-TblTimeSheet[[#This Row],[Start Date and Time]]))</f>
        <v>0</v>
      </c>
    </row>
    <row r="2712" spans="1:14" ht="30" x14ac:dyDescent="0.25">
      <c r="A2712" s="1"/>
      <c r="B2712" s="2" t="s">
        <v>2878</v>
      </c>
      <c r="C2712" s="2" t="s">
        <v>36</v>
      </c>
      <c r="D2712" s="2" t="s">
        <v>3261</v>
      </c>
      <c r="E2712" s="7" t="s">
        <v>3929</v>
      </c>
      <c r="F2712" s="37">
        <v>42577.381944444445</v>
      </c>
      <c r="G2712" s="37">
        <v>42577.555555555555</v>
      </c>
      <c r="H2712" s="1" t="s">
        <v>6</v>
      </c>
      <c r="I2712" s="1" t="s">
        <v>38</v>
      </c>
      <c r="J2712" s="1">
        <v>42577.705358796295</v>
      </c>
      <c r="K2712" s="1" t="s">
        <v>36</v>
      </c>
      <c r="L2712" s="14">
        <f>24*(TblTimeSheet[[#This Row],[End Date and Time]]-TblTimeSheet[[#This Row],[Start Date and Time]])</f>
        <v>4.1666666666278616</v>
      </c>
      <c r="M27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2" s="14">
        <f>--(0&gt;(TblTimeSheet[[#This Row],[End Date and Time]]-TblTimeSheet[[#This Row],[Start Date and Time]]))</f>
        <v>0</v>
      </c>
    </row>
    <row r="2713" spans="1:14" x14ac:dyDescent="0.25">
      <c r="A2713" s="1"/>
      <c r="B2713" s="2" t="s">
        <v>2878</v>
      </c>
      <c r="C2713" s="2" t="s">
        <v>36</v>
      </c>
      <c r="D2713" s="2" t="s">
        <v>3261</v>
      </c>
      <c r="E2713" s="7" t="s">
        <v>3930</v>
      </c>
      <c r="F2713" s="37">
        <v>42577.597222222219</v>
      </c>
      <c r="G2713" s="37">
        <v>42577.729166666664</v>
      </c>
      <c r="H2713" s="1" t="s">
        <v>6</v>
      </c>
      <c r="I2713" s="1" t="s">
        <v>38</v>
      </c>
      <c r="J2713" s="1">
        <v>42577.733217592591</v>
      </c>
      <c r="K2713" s="1" t="s">
        <v>36</v>
      </c>
      <c r="L2713" s="14">
        <f>24*(TblTimeSheet[[#This Row],[End Date and Time]]-TblTimeSheet[[#This Row],[Start Date and Time]])</f>
        <v>3.1666666666860692</v>
      </c>
      <c r="M27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3" s="14">
        <f>--(0&gt;(TblTimeSheet[[#This Row],[End Date and Time]]-TblTimeSheet[[#This Row],[Start Date and Time]]))</f>
        <v>0</v>
      </c>
    </row>
    <row r="2714" spans="1:14" x14ac:dyDescent="0.25">
      <c r="A2714" s="1"/>
      <c r="B2714" s="2" t="s">
        <v>2878</v>
      </c>
      <c r="C2714" s="2" t="s">
        <v>36</v>
      </c>
      <c r="D2714" s="2" t="s">
        <v>3261</v>
      </c>
      <c r="E2714" s="7" t="s">
        <v>3500</v>
      </c>
      <c r="F2714" s="37">
        <v>42578.381944444445</v>
      </c>
      <c r="G2714" s="37">
        <v>42578.552083333336</v>
      </c>
      <c r="H2714" s="1" t="s">
        <v>6</v>
      </c>
      <c r="I2714" s="1" t="s">
        <v>38</v>
      </c>
      <c r="J2714" s="1">
        <v>42579.426585648151</v>
      </c>
      <c r="K2714" s="1" t="s">
        <v>36</v>
      </c>
      <c r="L2714" s="14">
        <f>24*(TblTimeSheet[[#This Row],[End Date and Time]]-TblTimeSheet[[#This Row],[Start Date and Time]])</f>
        <v>4.0833333333721384</v>
      </c>
      <c r="M27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4" s="14">
        <f>--(0&gt;(TblTimeSheet[[#This Row],[End Date and Time]]-TblTimeSheet[[#This Row],[Start Date and Time]]))</f>
        <v>0</v>
      </c>
    </row>
    <row r="2715" spans="1:14" x14ac:dyDescent="0.25">
      <c r="A2715" s="1"/>
      <c r="B2715" s="2" t="s">
        <v>2878</v>
      </c>
      <c r="C2715" s="2" t="s">
        <v>36</v>
      </c>
      <c r="D2715" s="2" t="s">
        <v>3261</v>
      </c>
      <c r="E2715" s="7" t="s">
        <v>3931</v>
      </c>
      <c r="F2715" s="37">
        <v>42578.59375</v>
      </c>
      <c r="G2715" s="37">
        <v>42578.729166666664</v>
      </c>
      <c r="H2715" s="1" t="s">
        <v>6</v>
      </c>
      <c r="I2715" s="1" t="s">
        <v>38</v>
      </c>
      <c r="J2715" s="1">
        <v>42579.426423611112</v>
      </c>
      <c r="K2715" s="1" t="s">
        <v>36</v>
      </c>
      <c r="L2715" s="14">
        <f>24*(TblTimeSheet[[#This Row],[End Date and Time]]-TblTimeSheet[[#This Row],[Start Date and Time]])</f>
        <v>3.2499999999417923</v>
      </c>
      <c r="M27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5" s="14">
        <f>--(0&gt;(TblTimeSheet[[#This Row],[End Date and Time]]-TblTimeSheet[[#This Row],[Start Date and Time]]))</f>
        <v>0</v>
      </c>
    </row>
    <row r="2716" spans="1:14" ht="45" x14ac:dyDescent="0.25">
      <c r="A2716" s="1"/>
      <c r="B2716" s="2" t="s">
        <v>2878</v>
      </c>
      <c r="C2716" s="2" t="s">
        <v>36</v>
      </c>
      <c r="D2716" s="2" t="s">
        <v>3261</v>
      </c>
      <c r="E2716" s="7" t="s">
        <v>3932</v>
      </c>
      <c r="F2716" s="37">
        <v>42579.381944444445</v>
      </c>
      <c r="G2716" s="37">
        <v>42579.548611111109</v>
      </c>
      <c r="H2716" s="1" t="s">
        <v>6</v>
      </c>
      <c r="I2716" s="1" t="s">
        <v>38</v>
      </c>
      <c r="J2716" s="1">
        <v>42579.550787037035</v>
      </c>
      <c r="K2716" s="1" t="s">
        <v>36</v>
      </c>
      <c r="L2716" s="14">
        <f>24*(TblTimeSheet[[#This Row],[End Date and Time]]-TblTimeSheet[[#This Row],[Start Date and Time]])</f>
        <v>3.9999999999417923</v>
      </c>
      <c r="M27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6" s="14">
        <f>--(0&gt;(TblTimeSheet[[#This Row],[End Date and Time]]-TblTimeSheet[[#This Row],[Start Date and Time]]))</f>
        <v>0</v>
      </c>
    </row>
    <row r="2717" spans="1:14" x14ac:dyDescent="0.25">
      <c r="A2717" s="1"/>
      <c r="B2717" s="2" t="s">
        <v>2878</v>
      </c>
      <c r="C2717" s="2" t="s">
        <v>36</v>
      </c>
      <c r="D2717" s="2" t="s">
        <v>3261</v>
      </c>
      <c r="E2717" s="7" t="s">
        <v>3501</v>
      </c>
      <c r="F2717" s="37">
        <v>42579.59375</v>
      </c>
      <c r="G2717" s="37">
        <v>42579.729166666664</v>
      </c>
      <c r="H2717" s="1" t="s">
        <v>6</v>
      </c>
      <c r="I2717" s="1" t="s">
        <v>38</v>
      </c>
      <c r="J2717" s="1">
        <v>42579.731342592589</v>
      </c>
      <c r="K2717" s="1" t="s">
        <v>36</v>
      </c>
      <c r="L2717" s="14">
        <f>24*(TblTimeSheet[[#This Row],[End Date and Time]]-TblTimeSheet[[#This Row],[Start Date and Time]])</f>
        <v>3.2499999999417923</v>
      </c>
      <c r="M27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7" s="14">
        <f>--(0&gt;(TblTimeSheet[[#This Row],[End Date and Time]]-TblTimeSheet[[#This Row],[Start Date and Time]]))</f>
        <v>0</v>
      </c>
    </row>
    <row r="2718" spans="1:14" x14ac:dyDescent="0.25">
      <c r="A2718" s="1"/>
      <c r="B2718" s="2" t="s">
        <v>2878</v>
      </c>
      <c r="C2718" s="2" t="s">
        <v>36</v>
      </c>
      <c r="D2718" s="2" t="s">
        <v>3261</v>
      </c>
      <c r="E2718" s="7" t="s">
        <v>3502</v>
      </c>
      <c r="F2718" s="37">
        <v>42580.385416666664</v>
      </c>
      <c r="G2718" s="37">
        <v>42580.552083333336</v>
      </c>
      <c r="H2718" s="1" t="s">
        <v>6</v>
      </c>
      <c r="I2718" s="1" t="s">
        <v>38</v>
      </c>
      <c r="J2718" s="1">
        <v>42581.698078703703</v>
      </c>
      <c r="K2718" s="1" t="s">
        <v>36</v>
      </c>
      <c r="L2718" s="14">
        <f>24*(TblTimeSheet[[#This Row],[End Date and Time]]-TblTimeSheet[[#This Row],[Start Date and Time]])</f>
        <v>4.0000000001164153</v>
      </c>
      <c r="M27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8" s="14">
        <f>--(0&gt;(TblTimeSheet[[#This Row],[End Date and Time]]-TblTimeSheet[[#This Row],[Start Date and Time]]))</f>
        <v>0</v>
      </c>
    </row>
    <row r="2719" spans="1:14" ht="45" x14ac:dyDescent="0.25">
      <c r="A2719" s="1"/>
      <c r="B2719" s="2" t="s">
        <v>2878</v>
      </c>
      <c r="C2719" s="2" t="s">
        <v>36</v>
      </c>
      <c r="D2719" s="2" t="s">
        <v>3261</v>
      </c>
      <c r="E2719" s="7" t="s">
        <v>3933</v>
      </c>
      <c r="F2719" s="37">
        <v>42580.597222222219</v>
      </c>
      <c r="G2719" s="37">
        <v>42580.729166666664</v>
      </c>
      <c r="H2719" s="1" t="s">
        <v>6</v>
      </c>
      <c r="I2719" s="1" t="s">
        <v>38</v>
      </c>
      <c r="J2719" s="1">
        <v>42581.699212962965</v>
      </c>
      <c r="K2719" s="1" t="s">
        <v>36</v>
      </c>
      <c r="L2719" s="14">
        <f>24*(TblTimeSheet[[#This Row],[End Date and Time]]-TblTimeSheet[[#This Row],[Start Date and Time]])</f>
        <v>3.1666666666860692</v>
      </c>
      <c r="M27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19" s="14">
        <f>--(0&gt;(TblTimeSheet[[#This Row],[End Date and Time]]-TblTimeSheet[[#This Row],[Start Date and Time]]))</f>
        <v>0</v>
      </c>
    </row>
    <row r="2720" spans="1:14" ht="45" x14ac:dyDescent="0.25">
      <c r="A2720" s="1"/>
      <c r="B2720" s="2" t="s">
        <v>2878</v>
      </c>
      <c r="C2720" s="2" t="s">
        <v>36</v>
      </c>
      <c r="D2720" s="2" t="s">
        <v>3261</v>
      </c>
      <c r="E2720" s="7" t="s">
        <v>3934</v>
      </c>
      <c r="F2720" s="37">
        <v>42581.388888888891</v>
      </c>
      <c r="G2720" s="37">
        <v>42581.548611111109</v>
      </c>
      <c r="H2720" s="1" t="s">
        <v>6</v>
      </c>
      <c r="I2720" s="1" t="s">
        <v>38</v>
      </c>
      <c r="J2720" s="1">
        <v>42581.701041666667</v>
      </c>
      <c r="K2720" s="1" t="s">
        <v>36</v>
      </c>
      <c r="L2720" s="14">
        <f>24*(TblTimeSheet[[#This Row],[End Date and Time]]-TblTimeSheet[[#This Row],[Start Date and Time]])</f>
        <v>3.8333333332557231</v>
      </c>
      <c r="M27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0" s="14">
        <f>--(0&gt;(TblTimeSheet[[#This Row],[End Date and Time]]-TblTimeSheet[[#This Row],[Start Date and Time]]))</f>
        <v>0</v>
      </c>
    </row>
    <row r="2721" spans="1:14" x14ac:dyDescent="0.25">
      <c r="A2721" s="1"/>
      <c r="B2721" s="2" t="s">
        <v>2878</v>
      </c>
      <c r="C2721" s="2" t="s">
        <v>36</v>
      </c>
      <c r="D2721" s="2" t="s">
        <v>3261</v>
      </c>
      <c r="E2721" s="7" t="s">
        <v>3935</v>
      </c>
      <c r="F2721" s="37">
        <v>42581.604166666664</v>
      </c>
      <c r="G2721" s="37">
        <v>42581.708333333336</v>
      </c>
      <c r="H2721" s="1" t="s">
        <v>6</v>
      </c>
      <c r="I2721" s="1" t="s">
        <v>38</v>
      </c>
      <c r="J2721" s="1">
        <v>42581.721851851849</v>
      </c>
      <c r="K2721" s="1" t="s">
        <v>36</v>
      </c>
      <c r="L2721" s="14">
        <f>24*(TblTimeSheet[[#This Row],[End Date and Time]]-TblTimeSheet[[#This Row],[Start Date and Time]])</f>
        <v>2.5000000001164153</v>
      </c>
      <c r="M27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1" s="14">
        <f>--(0&gt;(TblTimeSheet[[#This Row],[End Date and Time]]-TblTimeSheet[[#This Row],[Start Date and Time]]))</f>
        <v>0</v>
      </c>
    </row>
    <row r="2722" spans="1:14" x14ac:dyDescent="0.25">
      <c r="A2722" s="1"/>
      <c r="B2722" s="2" t="s">
        <v>2878</v>
      </c>
      <c r="C2722" s="2" t="s">
        <v>36</v>
      </c>
      <c r="D2722" s="2" t="s">
        <v>3261</v>
      </c>
      <c r="E2722" s="7" t="s">
        <v>3503</v>
      </c>
      <c r="F2722" s="37">
        <v>42583.385416666664</v>
      </c>
      <c r="G2722" s="37">
        <v>42583.541666666664</v>
      </c>
      <c r="H2722" s="1" t="s">
        <v>6</v>
      </c>
      <c r="I2722" s="1" t="s">
        <v>38</v>
      </c>
      <c r="J2722" s="1">
        <v>42583.541018518517</v>
      </c>
      <c r="K2722" s="1" t="s">
        <v>36</v>
      </c>
      <c r="L2722" s="14">
        <f>24*(TblTimeSheet[[#This Row],[End Date and Time]]-TblTimeSheet[[#This Row],[Start Date and Time]])</f>
        <v>3.75</v>
      </c>
      <c r="M27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2" s="14">
        <f>--(0&gt;(TblTimeSheet[[#This Row],[End Date and Time]]-TblTimeSheet[[#This Row],[Start Date and Time]]))</f>
        <v>0</v>
      </c>
    </row>
    <row r="2723" spans="1:14" x14ac:dyDescent="0.25">
      <c r="A2723" s="1"/>
      <c r="B2723" s="2" t="s">
        <v>2878</v>
      </c>
      <c r="C2723" s="2" t="s">
        <v>36</v>
      </c>
      <c r="D2723" s="2" t="s">
        <v>3261</v>
      </c>
      <c r="E2723" s="7" t="s">
        <v>3936</v>
      </c>
      <c r="F2723" s="37">
        <v>42583.604166666664</v>
      </c>
      <c r="G2723" s="37">
        <v>42583.708333333336</v>
      </c>
      <c r="H2723" s="1" t="s">
        <v>6</v>
      </c>
      <c r="I2723" s="1" t="s">
        <v>38</v>
      </c>
      <c r="J2723" s="1">
        <v>42584.605486111112</v>
      </c>
      <c r="K2723" s="1" t="s">
        <v>36</v>
      </c>
      <c r="L2723" s="14">
        <f>24*(TblTimeSheet[[#This Row],[End Date and Time]]-TblTimeSheet[[#This Row],[Start Date and Time]])</f>
        <v>2.5000000001164153</v>
      </c>
      <c r="M27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3" s="14">
        <f>--(0&gt;(TblTimeSheet[[#This Row],[End Date and Time]]-TblTimeSheet[[#This Row],[Start Date and Time]]))</f>
        <v>0</v>
      </c>
    </row>
    <row r="2724" spans="1:14" ht="45" x14ac:dyDescent="0.25">
      <c r="A2724" s="1"/>
      <c r="B2724" s="2" t="s">
        <v>2878</v>
      </c>
      <c r="C2724" s="2" t="s">
        <v>36</v>
      </c>
      <c r="D2724" s="2" t="s">
        <v>3261</v>
      </c>
      <c r="E2724" s="7" t="s">
        <v>3937</v>
      </c>
      <c r="F2724" s="37">
        <v>42584.385416666664</v>
      </c>
      <c r="G2724" s="37">
        <v>42584.541666666664</v>
      </c>
      <c r="H2724" s="1" t="s">
        <v>6</v>
      </c>
      <c r="I2724" s="1" t="s">
        <v>38</v>
      </c>
      <c r="J2724" s="1">
        <v>42584.606608796297</v>
      </c>
      <c r="K2724" s="1" t="s">
        <v>36</v>
      </c>
      <c r="L2724" s="14">
        <f>24*(TblTimeSheet[[#This Row],[End Date and Time]]-TblTimeSheet[[#This Row],[Start Date and Time]])</f>
        <v>3.75</v>
      </c>
      <c r="M27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4" s="14">
        <f>--(0&gt;(TblTimeSheet[[#This Row],[End Date and Time]]-TblTimeSheet[[#This Row],[Start Date and Time]]))</f>
        <v>0</v>
      </c>
    </row>
    <row r="2725" spans="1:14" ht="30" x14ac:dyDescent="0.25">
      <c r="A2725" s="1"/>
      <c r="B2725" s="2" t="s">
        <v>2878</v>
      </c>
      <c r="C2725" s="2" t="s">
        <v>36</v>
      </c>
      <c r="D2725" s="2" t="s">
        <v>3261</v>
      </c>
      <c r="E2725" s="7" t="s">
        <v>3938</v>
      </c>
      <c r="F2725" s="37">
        <v>42584.600694444445</v>
      </c>
      <c r="G2725" s="37">
        <v>42584.819444444445</v>
      </c>
      <c r="H2725" s="1" t="s">
        <v>6</v>
      </c>
      <c r="I2725" s="1" t="s">
        <v>38</v>
      </c>
      <c r="J2725" s="1">
        <v>42585.385115740741</v>
      </c>
      <c r="K2725" s="1" t="s">
        <v>36</v>
      </c>
      <c r="L2725" s="14">
        <f>24*(TblTimeSheet[[#This Row],[End Date and Time]]-TblTimeSheet[[#This Row],[Start Date and Time]])</f>
        <v>5.25</v>
      </c>
      <c r="M27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5" s="14">
        <f>--(0&gt;(TblTimeSheet[[#This Row],[End Date and Time]]-TblTimeSheet[[#This Row],[Start Date and Time]]))</f>
        <v>0</v>
      </c>
    </row>
    <row r="2726" spans="1:14" ht="30" x14ac:dyDescent="0.25">
      <c r="A2726" s="1"/>
      <c r="B2726" s="2" t="s">
        <v>2878</v>
      </c>
      <c r="C2726" s="2" t="s">
        <v>36</v>
      </c>
      <c r="D2726" s="2" t="s">
        <v>3261</v>
      </c>
      <c r="E2726" s="7" t="s">
        <v>3939</v>
      </c>
      <c r="F2726" s="37">
        <v>42585.381944444445</v>
      </c>
      <c r="G2726" s="37">
        <v>42585.548611111109</v>
      </c>
      <c r="H2726" s="1" t="s">
        <v>6</v>
      </c>
      <c r="I2726" s="1" t="s">
        <v>38</v>
      </c>
      <c r="J2726" s="1">
        <v>42586.499791666669</v>
      </c>
      <c r="K2726" s="1" t="s">
        <v>36</v>
      </c>
      <c r="L2726" s="14">
        <f>24*(TblTimeSheet[[#This Row],[End Date and Time]]-TblTimeSheet[[#This Row],[Start Date and Time]])</f>
        <v>3.9999999999417923</v>
      </c>
      <c r="M27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6" s="14">
        <f>--(0&gt;(TblTimeSheet[[#This Row],[End Date and Time]]-TblTimeSheet[[#This Row],[Start Date and Time]]))</f>
        <v>0</v>
      </c>
    </row>
    <row r="2727" spans="1:14" ht="45" x14ac:dyDescent="0.25">
      <c r="A2727" s="1"/>
      <c r="B2727" s="2" t="s">
        <v>2878</v>
      </c>
      <c r="C2727" s="2" t="s">
        <v>36</v>
      </c>
      <c r="D2727" s="2" t="s">
        <v>3261</v>
      </c>
      <c r="E2727" s="7" t="s">
        <v>3940</v>
      </c>
      <c r="F2727" s="37">
        <v>42585.590277777781</v>
      </c>
      <c r="G2727" s="37">
        <v>42585.746527777781</v>
      </c>
      <c r="H2727" s="1" t="s">
        <v>6</v>
      </c>
      <c r="I2727" s="1" t="s">
        <v>38</v>
      </c>
      <c r="J2727" s="1">
        <v>42586.500335648147</v>
      </c>
      <c r="K2727" s="1" t="s">
        <v>36</v>
      </c>
      <c r="L2727" s="14">
        <f>24*(TblTimeSheet[[#This Row],[End Date and Time]]-TblTimeSheet[[#This Row],[Start Date and Time]])</f>
        <v>3.75</v>
      </c>
      <c r="M27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7" s="14">
        <f>--(0&gt;(TblTimeSheet[[#This Row],[End Date and Time]]-TblTimeSheet[[#This Row],[Start Date and Time]]))</f>
        <v>0</v>
      </c>
    </row>
    <row r="2728" spans="1:14" x14ac:dyDescent="0.25">
      <c r="A2728" s="1"/>
      <c r="B2728" s="2" t="s">
        <v>2878</v>
      </c>
      <c r="C2728" s="2" t="s">
        <v>36</v>
      </c>
      <c r="D2728" s="2" t="s">
        <v>3261</v>
      </c>
      <c r="E2728" s="7" t="s">
        <v>3941</v>
      </c>
      <c r="F2728" s="37">
        <v>42586.458333333336</v>
      </c>
      <c r="G2728" s="37">
        <v>42586.555555555555</v>
      </c>
      <c r="H2728" s="1" t="s">
        <v>6</v>
      </c>
      <c r="I2728" s="1" t="s">
        <v>38</v>
      </c>
      <c r="J2728" s="1">
        <v>42587.38484953704</v>
      </c>
      <c r="K2728" s="1" t="s">
        <v>36</v>
      </c>
      <c r="L2728" s="14">
        <f>24*(TblTimeSheet[[#This Row],[End Date and Time]]-TblTimeSheet[[#This Row],[Start Date and Time]])</f>
        <v>2.3333333332557231</v>
      </c>
      <c r="M27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8" s="14">
        <f>--(0&gt;(TblTimeSheet[[#This Row],[End Date and Time]]-TblTimeSheet[[#This Row],[Start Date and Time]]))</f>
        <v>0</v>
      </c>
    </row>
    <row r="2729" spans="1:14" ht="30" x14ac:dyDescent="0.25">
      <c r="A2729" s="1"/>
      <c r="B2729" s="2" t="s">
        <v>2878</v>
      </c>
      <c r="C2729" s="2" t="s">
        <v>36</v>
      </c>
      <c r="D2729" s="2" t="s">
        <v>3261</v>
      </c>
      <c r="E2729" s="7" t="s">
        <v>3942</v>
      </c>
      <c r="F2729" s="37">
        <v>42586.652777777781</v>
      </c>
      <c r="G2729" s="37">
        <v>42586.732638888891</v>
      </c>
      <c r="H2729" s="1" t="s">
        <v>6</v>
      </c>
      <c r="I2729" s="1" t="s">
        <v>38</v>
      </c>
      <c r="J2729" s="1">
        <v>42587.385451388887</v>
      </c>
      <c r="K2729" s="1" t="s">
        <v>36</v>
      </c>
      <c r="L2729" s="14">
        <f>24*(TblTimeSheet[[#This Row],[End Date and Time]]-TblTimeSheet[[#This Row],[Start Date and Time]])</f>
        <v>1.9166666666278616</v>
      </c>
      <c r="M27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29" s="14">
        <f>--(0&gt;(TblTimeSheet[[#This Row],[End Date and Time]]-TblTimeSheet[[#This Row],[Start Date and Time]]))</f>
        <v>0</v>
      </c>
    </row>
    <row r="2730" spans="1:14" x14ac:dyDescent="0.25">
      <c r="A2730" s="1"/>
      <c r="B2730" s="2" t="s">
        <v>2880</v>
      </c>
      <c r="C2730" s="2" t="s">
        <v>36</v>
      </c>
      <c r="D2730" s="2" t="s">
        <v>19</v>
      </c>
      <c r="E2730" s="7" t="s">
        <v>3504</v>
      </c>
      <c r="F2730" s="37">
        <v>42587.631944444445</v>
      </c>
      <c r="G2730" s="37">
        <v>42587.642361111109</v>
      </c>
      <c r="H2730" s="1" t="s">
        <v>6</v>
      </c>
      <c r="I2730" s="1" t="s">
        <v>38</v>
      </c>
      <c r="J2730" s="1">
        <v>42588.417395833334</v>
      </c>
      <c r="K2730" s="1" t="s">
        <v>36</v>
      </c>
      <c r="L2730" s="14">
        <f>24*(TblTimeSheet[[#This Row],[End Date and Time]]-TblTimeSheet[[#This Row],[Start Date and Time]])</f>
        <v>0.24999999994179234</v>
      </c>
      <c r="M27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0" s="14">
        <f>--(0&gt;(TblTimeSheet[[#This Row],[End Date and Time]]-TblTimeSheet[[#This Row],[Start Date and Time]]))</f>
        <v>0</v>
      </c>
    </row>
    <row r="2731" spans="1:14" x14ac:dyDescent="0.25">
      <c r="A2731" s="1"/>
      <c r="B2731" s="2" t="s">
        <v>2880</v>
      </c>
      <c r="C2731" s="2" t="s">
        <v>36</v>
      </c>
      <c r="D2731" s="2" t="s">
        <v>19</v>
      </c>
      <c r="E2731" s="7" t="s">
        <v>3505</v>
      </c>
      <c r="F2731" s="37">
        <v>42587.645833333336</v>
      </c>
      <c r="G2731" s="37">
        <v>42587.729166666664</v>
      </c>
      <c r="H2731" s="1" t="s">
        <v>6</v>
      </c>
      <c r="I2731" s="1" t="s">
        <v>38</v>
      </c>
      <c r="J2731" s="1">
        <v>42588.417951388888</v>
      </c>
      <c r="K2731" s="1" t="s">
        <v>36</v>
      </c>
      <c r="L2731" s="14">
        <f>24*(TblTimeSheet[[#This Row],[End Date and Time]]-TblTimeSheet[[#This Row],[Start Date and Time]])</f>
        <v>1.9999999998835847</v>
      </c>
      <c r="M27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1" s="14">
        <f>--(0&gt;(TblTimeSheet[[#This Row],[End Date and Time]]-TblTimeSheet[[#This Row],[Start Date and Time]]))</f>
        <v>0</v>
      </c>
    </row>
    <row r="2732" spans="1:14" x14ac:dyDescent="0.25">
      <c r="A2732" s="1"/>
      <c r="B2732" s="2" t="s">
        <v>2880</v>
      </c>
      <c r="C2732" s="2" t="s">
        <v>36</v>
      </c>
      <c r="D2732" s="2" t="s">
        <v>19</v>
      </c>
      <c r="E2732" s="7" t="s">
        <v>3506</v>
      </c>
      <c r="F2732" s="37">
        <v>42588.399305555555</v>
      </c>
      <c r="G2732" s="37">
        <v>42588.402777777781</v>
      </c>
      <c r="H2732" s="1" t="s">
        <v>6</v>
      </c>
      <c r="I2732" s="1" t="s">
        <v>38</v>
      </c>
      <c r="J2732" s="1">
        <v>42588.418622685182</v>
      </c>
      <c r="K2732" s="1" t="s">
        <v>36</v>
      </c>
      <c r="L2732" s="14">
        <f>24*(TblTimeSheet[[#This Row],[End Date and Time]]-TblTimeSheet[[#This Row],[Start Date and Time]])</f>
        <v>8.3333333430346102E-2</v>
      </c>
      <c r="M27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2" s="14">
        <f>--(0&gt;(TblTimeSheet[[#This Row],[End Date and Time]]-TblTimeSheet[[#This Row],[Start Date and Time]]))</f>
        <v>0</v>
      </c>
    </row>
    <row r="2733" spans="1:14" x14ac:dyDescent="0.25">
      <c r="A2733" s="1"/>
      <c r="B2733" s="2" t="s">
        <v>2878</v>
      </c>
      <c r="C2733" s="2" t="s">
        <v>36</v>
      </c>
      <c r="D2733" s="2" t="s">
        <v>3261</v>
      </c>
      <c r="E2733" s="7" t="s">
        <v>3943</v>
      </c>
      <c r="F2733" s="37">
        <v>42587.381944444445</v>
      </c>
      <c r="G2733" s="37">
        <v>42587.548611111109</v>
      </c>
      <c r="H2733" s="1" t="s">
        <v>6</v>
      </c>
      <c r="I2733" s="1" t="s">
        <v>38</v>
      </c>
      <c r="J2733" s="1">
        <v>42588.424039351848</v>
      </c>
      <c r="K2733" s="1" t="s">
        <v>36</v>
      </c>
      <c r="L2733" s="14">
        <f>24*(TblTimeSheet[[#This Row],[End Date and Time]]-TblTimeSheet[[#This Row],[Start Date and Time]])</f>
        <v>3.9999999999417923</v>
      </c>
      <c r="M27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3" s="14">
        <f>--(0&gt;(TblTimeSheet[[#This Row],[End Date and Time]]-TblTimeSheet[[#This Row],[Start Date and Time]]))</f>
        <v>0</v>
      </c>
    </row>
    <row r="2734" spans="1:14" x14ac:dyDescent="0.25">
      <c r="A2734" s="1"/>
      <c r="B2734" s="2" t="s">
        <v>2880</v>
      </c>
      <c r="C2734" s="2" t="s">
        <v>1105</v>
      </c>
      <c r="D2734" s="2" t="s">
        <v>19</v>
      </c>
      <c r="E2734" s="7" t="s">
        <v>3507</v>
      </c>
      <c r="F2734" s="37">
        <v>42588.399305555555</v>
      </c>
      <c r="G2734" s="37">
        <v>42588.402777777781</v>
      </c>
      <c r="H2734" s="1" t="s">
        <v>6</v>
      </c>
      <c r="I2734" s="1" t="s">
        <v>38</v>
      </c>
      <c r="J2734" s="1">
        <v>42588.424166666664</v>
      </c>
      <c r="K2734" s="1" t="s">
        <v>2864</v>
      </c>
      <c r="L2734" s="14">
        <f>24*(TblTimeSheet[[#This Row],[End Date and Time]]-TblTimeSheet[[#This Row],[Start Date and Time]])</f>
        <v>8.3333333430346102E-2</v>
      </c>
      <c r="M27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4" s="14">
        <f>--(0&gt;(TblTimeSheet[[#This Row],[End Date and Time]]-TblTimeSheet[[#This Row],[Start Date and Time]]))</f>
        <v>0</v>
      </c>
    </row>
    <row r="2735" spans="1:14" x14ac:dyDescent="0.25">
      <c r="A2735" s="1"/>
      <c r="B2735" s="2" t="s">
        <v>2878</v>
      </c>
      <c r="C2735" s="2" t="s">
        <v>36</v>
      </c>
      <c r="D2735" s="2" t="s">
        <v>3261</v>
      </c>
      <c r="E2735" s="7" t="s">
        <v>3944</v>
      </c>
      <c r="F2735" s="37">
        <v>42587.590277777781</v>
      </c>
      <c r="G2735" s="37">
        <v>42587.625</v>
      </c>
      <c r="H2735" s="1" t="s">
        <v>6</v>
      </c>
      <c r="I2735" s="1" t="s">
        <v>38</v>
      </c>
      <c r="J2735" s="1">
        <v>42588.424583333333</v>
      </c>
      <c r="K2735" s="1" t="s">
        <v>36</v>
      </c>
      <c r="L2735" s="14">
        <f>24*(TblTimeSheet[[#This Row],[End Date and Time]]-TblTimeSheet[[#This Row],[Start Date and Time]])</f>
        <v>0.83333333325572312</v>
      </c>
      <c r="M27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5" s="14">
        <f>--(0&gt;(TblTimeSheet[[#This Row],[End Date and Time]]-TblTimeSheet[[#This Row],[Start Date and Time]]))</f>
        <v>0</v>
      </c>
    </row>
    <row r="2736" spans="1:14" x14ac:dyDescent="0.25">
      <c r="A2736" s="1"/>
      <c r="B2736" s="2" t="s">
        <v>2878</v>
      </c>
      <c r="C2736" s="2" t="s">
        <v>36</v>
      </c>
      <c r="D2736" s="2" t="s">
        <v>3261</v>
      </c>
      <c r="E2736" s="7" t="s">
        <v>3508</v>
      </c>
      <c r="F2736" s="37">
        <v>42588.375</v>
      </c>
      <c r="G2736" s="37">
        <v>42588.395833333336</v>
      </c>
      <c r="H2736" s="1" t="s">
        <v>6</v>
      </c>
      <c r="I2736" s="1" t="s">
        <v>38</v>
      </c>
      <c r="J2736" s="1">
        <v>42588.424942129626</v>
      </c>
      <c r="K2736" s="1" t="s">
        <v>36</v>
      </c>
      <c r="L2736" s="14">
        <f>24*(TblTimeSheet[[#This Row],[End Date and Time]]-TblTimeSheet[[#This Row],[Start Date and Time]])</f>
        <v>0.50000000005820766</v>
      </c>
      <c r="M27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6" s="14">
        <f>--(0&gt;(TblTimeSheet[[#This Row],[End Date and Time]]-TblTimeSheet[[#This Row],[Start Date and Time]]))</f>
        <v>0</v>
      </c>
    </row>
    <row r="2737" spans="1:14" x14ac:dyDescent="0.25">
      <c r="A2737" s="1"/>
      <c r="B2737" s="2" t="s">
        <v>2880</v>
      </c>
      <c r="C2737" s="2" t="s">
        <v>36</v>
      </c>
      <c r="D2737" s="2" t="s">
        <v>19</v>
      </c>
      <c r="E2737" s="7" t="s">
        <v>3509</v>
      </c>
      <c r="F2737" s="37">
        <v>42588.434027777781</v>
      </c>
      <c r="G2737" s="37">
        <v>42588.444444444445</v>
      </c>
      <c r="H2737" s="1" t="s">
        <v>6</v>
      </c>
      <c r="I2737" s="1" t="s">
        <v>38</v>
      </c>
      <c r="J2737" s="1">
        <v>42588.610254629632</v>
      </c>
      <c r="K2737" s="1" t="s">
        <v>36</v>
      </c>
      <c r="L2737" s="14">
        <f>24*(TblTimeSheet[[#This Row],[End Date and Time]]-TblTimeSheet[[#This Row],[Start Date and Time]])</f>
        <v>0.24999999994179234</v>
      </c>
      <c r="M27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7" s="14">
        <f>--(0&gt;(TblTimeSheet[[#This Row],[End Date and Time]]-TblTimeSheet[[#This Row],[Start Date and Time]]))</f>
        <v>0</v>
      </c>
    </row>
    <row r="2738" spans="1:14" x14ac:dyDescent="0.25">
      <c r="A2738" s="1"/>
      <c r="B2738" s="2" t="s">
        <v>2880</v>
      </c>
      <c r="C2738" s="2" t="s">
        <v>36</v>
      </c>
      <c r="D2738" s="2" t="s">
        <v>19</v>
      </c>
      <c r="E2738" s="7" t="s">
        <v>3945</v>
      </c>
      <c r="F2738" s="37">
        <v>42588.513888888891</v>
      </c>
      <c r="G2738" s="37">
        <v>42588.548611111109</v>
      </c>
      <c r="H2738" s="1" t="s">
        <v>6</v>
      </c>
      <c r="I2738" s="1" t="s">
        <v>38</v>
      </c>
      <c r="J2738" s="1">
        <v>42588.611111111109</v>
      </c>
      <c r="K2738" s="1" t="s">
        <v>36</v>
      </c>
      <c r="L2738" s="14">
        <f>24*(TblTimeSheet[[#This Row],[End Date and Time]]-TblTimeSheet[[#This Row],[Start Date and Time]])</f>
        <v>0.83333333325572312</v>
      </c>
      <c r="M27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8" s="14">
        <f>--(0&gt;(TblTimeSheet[[#This Row],[End Date and Time]]-TblTimeSheet[[#This Row],[Start Date and Time]]))</f>
        <v>0</v>
      </c>
    </row>
    <row r="2739" spans="1:14" x14ac:dyDescent="0.25">
      <c r="A2739" s="1"/>
      <c r="B2739" s="2" t="s">
        <v>2880</v>
      </c>
      <c r="C2739" s="2" t="s">
        <v>36</v>
      </c>
      <c r="D2739" s="2" t="s">
        <v>19</v>
      </c>
      <c r="E2739" s="7" t="s">
        <v>3510</v>
      </c>
      <c r="F2739" s="37">
        <v>42588.638888888891</v>
      </c>
      <c r="G2739" s="37">
        <v>42588.694444444445</v>
      </c>
      <c r="H2739" s="1" t="s">
        <v>6</v>
      </c>
      <c r="I2739" s="1" t="s">
        <v>38</v>
      </c>
      <c r="J2739" s="1">
        <v>42588.731111111112</v>
      </c>
      <c r="K2739" s="1" t="s">
        <v>36</v>
      </c>
      <c r="L2739" s="14">
        <f>24*(TblTimeSheet[[#This Row],[End Date and Time]]-TblTimeSheet[[#This Row],[Start Date and Time]])</f>
        <v>1.3333333333139308</v>
      </c>
      <c r="M27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39" s="14">
        <f>--(0&gt;(TblTimeSheet[[#This Row],[End Date and Time]]-TblTimeSheet[[#This Row],[Start Date and Time]]))</f>
        <v>0</v>
      </c>
    </row>
    <row r="2740" spans="1:14" x14ac:dyDescent="0.25">
      <c r="A2740" s="1"/>
      <c r="B2740" s="2" t="s">
        <v>2878</v>
      </c>
      <c r="C2740" s="2" t="s">
        <v>36</v>
      </c>
      <c r="D2740" s="2" t="s">
        <v>3261</v>
      </c>
      <c r="E2740" s="7" t="s">
        <v>3511</v>
      </c>
      <c r="F2740" s="37">
        <v>42588.704861111109</v>
      </c>
      <c r="G2740" s="37">
        <v>42588.729166666664</v>
      </c>
      <c r="H2740" s="1" t="s">
        <v>6</v>
      </c>
      <c r="I2740" s="1" t="s">
        <v>38</v>
      </c>
      <c r="J2740" s="1">
        <v>42590.419236111113</v>
      </c>
      <c r="K2740" s="1" t="s">
        <v>36</v>
      </c>
      <c r="L2740" s="14">
        <f>24*(TblTimeSheet[[#This Row],[End Date and Time]]-TblTimeSheet[[#This Row],[Start Date and Time]])</f>
        <v>0.58333333331393078</v>
      </c>
      <c r="M27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0" s="14">
        <f>--(0&gt;(TblTimeSheet[[#This Row],[End Date and Time]]-TblTimeSheet[[#This Row],[Start Date and Time]]))</f>
        <v>0</v>
      </c>
    </row>
    <row r="2741" spans="1:14" x14ac:dyDescent="0.25">
      <c r="A2741" s="1"/>
      <c r="B2741" s="2" t="s">
        <v>2880</v>
      </c>
      <c r="C2741" s="2" t="s">
        <v>78</v>
      </c>
      <c r="D2741" s="2" t="s">
        <v>19</v>
      </c>
      <c r="E2741" s="7" t="s">
        <v>3512</v>
      </c>
      <c r="F2741" s="37">
        <v>42587.631944444445</v>
      </c>
      <c r="G2741" s="37">
        <v>42587.642361111109</v>
      </c>
      <c r="H2741" s="1" t="s">
        <v>6</v>
      </c>
      <c r="I2741" s="1" t="s">
        <v>38</v>
      </c>
      <c r="J2741" s="1">
        <v>42591.392060185186</v>
      </c>
      <c r="K2741" s="1" t="s">
        <v>78</v>
      </c>
      <c r="L2741" s="14">
        <f>24*(TblTimeSheet[[#This Row],[End Date and Time]]-TblTimeSheet[[#This Row],[Start Date and Time]])</f>
        <v>0.24999999994179234</v>
      </c>
      <c r="M27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1" s="14">
        <f>--(0&gt;(TblTimeSheet[[#This Row],[End Date and Time]]-TblTimeSheet[[#This Row],[Start Date and Time]]))</f>
        <v>0</v>
      </c>
    </row>
    <row r="2742" spans="1:14" x14ac:dyDescent="0.25">
      <c r="A2742" s="1"/>
      <c r="B2742" s="2" t="s">
        <v>2880</v>
      </c>
      <c r="C2742" s="2" t="s">
        <v>78</v>
      </c>
      <c r="D2742" s="2" t="s">
        <v>19</v>
      </c>
      <c r="E2742" s="7" t="s">
        <v>3513</v>
      </c>
      <c r="F2742" s="37">
        <v>42587.645833333336</v>
      </c>
      <c r="G2742" s="37">
        <v>42587.729166666664</v>
      </c>
      <c r="H2742" s="1" t="s">
        <v>6</v>
      </c>
      <c r="I2742" s="1" t="s">
        <v>38</v>
      </c>
      <c r="J2742" s="1">
        <v>42591.393611111111</v>
      </c>
      <c r="K2742" s="1" t="s">
        <v>78</v>
      </c>
      <c r="L2742" s="14">
        <f>24*(TblTimeSheet[[#This Row],[End Date and Time]]-TblTimeSheet[[#This Row],[Start Date and Time]])</f>
        <v>1.9999999998835847</v>
      </c>
      <c r="M27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2" s="14">
        <f>--(0&gt;(TblTimeSheet[[#This Row],[End Date and Time]]-TblTimeSheet[[#This Row],[Start Date and Time]]))</f>
        <v>0</v>
      </c>
    </row>
    <row r="2743" spans="1:14" x14ac:dyDescent="0.25">
      <c r="A2743" s="1"/>
      <c r="B2743" s="2" t="s">
        <v>2880</v>
      </c>
      <c r="C2743" s="2" t="s">
        <v>78</v>
      </c>
      <c r="D2743" s="2" t="s">
        <v>19</v>
      </c>
      <c r="E2743" s="7" t="s">
        <v>3514</v>
      </c>
      <c r="F2743" s="37">
        <v>42588.399305555555</v>
      </c>
      <c r="G2743" s="37">
        <v>42588.402777777781</v>
      </c>
      <c r="H2743" s="1" t="s">
        <v>6</v>
      </c>
      <c r="I2743" s="1" t="s">
        <v>38</v>
      </c>
      <c r="J2743" s="1">
        <v>42591.395069444443</v>
      </c>
      <c r="K2743" s="1" t="s">
        <v>78</v>
      </c>
      <c r="L2743" s="14">
        <f>24*(TblTimeSheet[[#This Row],[End Date and Time]]-TblTimeSheet[[#This Row],[Start Date and Time]])</f>
        <v>8.3333333430346102E-2</v>
      </c>
      <c r="M27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3" s="14">
        <f>--(0&gt;(TblTimeSheet[[#This Row],[End Date and Time]]-TblTimeSheet[[#This Row],[Start Date and Time]]))</f>
        <v>0</v>
      </c>
    </row>
    <row r="2744" spans="1:14" x14ac:dyDescent="0.25">
      <c r="A2744" s="1"/>
      <c r="B2744" s="2" t="s">
        <v>2880</v>
      </c>
      <c r="C2744" s="2" t="s">
        <v>78</v>
      </c>
      <c r="D2744" s="2" t="s">
        <v>19</v>
      </c>
      <c r="E2744" s="7" t="s">
        <v>3515</v>
      </c>
      <c r="F2744" s="37">
        <v>42588.513888888891</v>
      </c>
      <c r="G2744" s="37">
        <v>42588.548611111109</v>
      </c>
      <c r="H2744" s="1" t="s">
        <v>6</v>
      </c>
      <c r="I2744" s="1" t="s">
        <v>38</v>
      </c>
      <c r="J2744" s="1">
        <v>42591.395891203705</v>
      </c>
      <c r="K2744" s="1" t="s">
        <v>78</v>
      </c>
      <c r="L2744" s="14">
        <f>24*(TblTimeSheet[[#This Row],[End Date and Time]]-TblTimeSheet[[#This Row],[Start Date and Time]])</f>
        <v>0.83333333325572312</v>
      </c>
      <c r="M27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4" s="14">
        <f>--(0&gt;(TblTimeSheet[[#This Row],[End Date and Time]]-TblTimeSheet[[#This Row],[Start Date and Time]]))</f>
        <v>0</v>
      </c>
    </row>
    <row r="2745" spans="1:14" x14ac:dyDescent="0.25">
      <c r="A2745" s="1"/>
      <c r="B2745" s="2" t="s">
        <v>2880</v>
      </c>
      <c r="C2745" s="2" t="s">
        <v>78</v>
      </c>
      <c r="D2745" s="2" t="s">
        <v>19</v>
      </c>
      <c r="E2745" s="7" t="s">
        <v>3516</v>
      </c>
      <c r="F2745" s="37">
        <v>42588.638888888891</v>
      </c>
      <c r="G2745" s="37">
        <v>42588.694444444445</v>
      </c>
      <c r="H2745" s="1" t="s">
        <v>6</v>
      </c>
      <c r="I2745" s="1" t="s">
        <v>38</v>
      </c>
      <c r="J2745" s="1">
        <v>42591.396851851852</v>
      </c>
      <c r="K2745" s="1" t="s">
        <v>78</v>
      </c>
      <c r="L2745" s="14">
        <f>24*(TblTimeSheet[[#This Row],[End Date and Time]]-TblTimeSheet[[#This Row],[Start Date and Time]])</f>
        <v>1.3333333333139308</v>
      </c>
      <c r="M27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5" s="14">
        <f>--(0&gt;(TblTimeSheet[[#This Row],[End Date and Time]]-TblTimeSheet[[#This Row],[Start Date and Time]]))</f>
        <v>0</v>
      </c>
    </row>
    <row r="2746" spans="1:14" x14ac:dyDescent="0.25">
      <c r="A2746" s="1"/>
      <c r="B2746" s="2" t="s">
        <v>2878</v>
      </c>
      <c r="C2746" s="2" t="s">
        <v>36</v>
      </c>
      <c r="D2746" s="2" t="s">
        <v>3261</v>
      </c>
      <c r="E2746" s="7" t="s">
        <v>3511</v>
      </c>
      <c r="F2746" s="37">
        <v>42590.458333333336</v>
      </c>
      <c r="G2746" s="37">
        <v>42590.548611111109</v>
      </c>
      <c r="H2746" s="1" t="s">
        <v>6</v>
      </c>
      <c r="I2746" s="1" t="s">
        <v>38</v>
      </c>
      <c r="J2746" s="1">
        <v>42591.447569444441</v>
      </c>
      <c r="K2746" s="1" t="s">
        <v>36</v>
      </c>
      <c r="L2746" s="14">
        <f>24*(TblTimeSheet[[#This Row],[End Date and Time]]-TblTimeSheet[[#This Row],[Start Date and Time]])</f>
        <v>2.1666666665696539</v>
      </c>
      <c r="M27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6" s="14">
        <f>--(0&gt;(TblTimeSheet[[#This Row],[End Date and Time]]-TblTimeSheet[[#This Row],[Start Date and Time]]))</f>
        <v>0</v>
      </c>
    </row>
    <row r="2747" spans="1:14" x14ac:dyDescent="0.25">
      <c r="A2747" s="1"/>
      <c r="B2747" s="2" t="s">
        <v>2878</v>
      </c>
      <c r="C2747" s="2" t="s">
        <v>36</v>
      </c>
      <c r="D2747" s="2" t="s">
        <v>3261</v>
      </c>
      <c r="E2747" s="7" t="s">
        <v>3511</v>
      </c>
      <c r="F2747" s="37">
        <v>42590.59375</v>
      </c>
      <c r="G2747" s="37">
        <v>42590.708333333336</v>
      </c>
      <c r="H2747" s="1" t="s">
        <v>6</v>
      </c>
      <c r="I2747" s="1" t="s">
        <v>38</v>
      </c>
      <c r="J2747" s="1">
        <v>42591.447905092595</v>
      </c>
      <c r="K2747" s="1" t="s">
        <v>36</v>
      </c>
      <c r="L2747" s="14">
        <f>24*(TblTimeSheet[[#This Row],[End Date and Time]]-TblTimeSheet[[#This Row],[Start Date and Time]])</f>
        <v>2.7500000000582077</v>
      </c>
      <c r="M27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7" s="14">
        <f>--(0&gt;(TblTimeSheet[[#This Row],[End Date and Time]]-TblTimeSheet[[#This Row],[Start Date and Time]]))</f>
        <v>0</v>
      </c>
    </row>
    <row r="2748" spans="1:14" x14ac:dyDescent="0.25">
      <c r="A2748" s="1"/>
      <c r="B2748" s="2" t="s">
        <v>2880</v>
      </c>
      <c r="C2748" s="2" t="s">
        <v>116</v>
      </c>
      <c r="D2748" s="2" t="s">
        <v>19</v>
      </c>
      <c r="E2748" s="7" t="s">
        <v>3517</v>
      </c>
      <c r="F2748" s="37">
        <v>42587.631944444445</v>
      </c>
      <c r="G2748" s="37">
        <v>42587.642361111109</v>
      </c>
      <c r="H2748" s="1" t="s">
        <v>6</v>
      </c>
      <c r="I2748" s="1" t="s">
        <v>38</v>
      </c>
      <c r="J2748" s="1">
        <v>42591.458819444444</v>
      </c>
      <c r="K2748" s="1" t="s">
        <v>701</v>
      </c>
      <c r="L2748" s="14">
        <f>24*(TblTimeSheet[[#This Row],[End Date and Time]]-TblTimeSheet[[#This Row],[Start Date and Time]])</f>
        <v>0.24999999994179234</v>
      </c>
      <c r="M27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8" s="14">
        <f>--(0&gt;(TblTimeSheet[[#This Row],[End Date and Time]]-TblTimeSheet[[#This Row],[Start Date and Time]]))</f>
        <v>0</v>
      </c>
    </row>
    <row r="2749" spans="1:14" x14ac:dyDescent="0.25">
      <c r="A2749" s="1"/>
      <c r="B2749" s="2" t="s">
        <v>2880</v>
      </c>
      <c r="C2749" s="2" t="s">
        <v>116</v>
      </c>
      <c r="D2749" s="2" t="s">
        <v>19</v>
      </c>
      <c r="E2749" s="7" t="s">
        <v>3518</v>
      </c>
      <c r="F2749" s="37">
        <v>42587.645833333336</v>
      </c>
      <c r="G2749" s="37">
        <v>42587.729166666664</v>
      </c>
      <c r="H2749" s="1" t="s">
        <v>6</v>
      </c>
      <c r="I2749" s="1" t="s">
        <v>38</v>
      </c>
      <c r="J2749" s="1">
        <v>42591.463402777779</v>
      </c>
      <c r="K2749" s="1" t="s">
        <v>701</v>
      </c>
      <c r="L2749" s="14">
        <f>24*(TblTimeSheet[[#This Row],[End Date and Time]]-TblTimeSheet[[#This Row],[Start Date and Time]])</f>
        <v>1.9999999998835847</v>
      </c>
      <c r="M27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49" s="14">
        <f>--(0&gt;(TblTimeSheet[[#This Row],[End Date and Time]]-TblTimeSheet[[#This Row],[Start Date and Time]]))</f>
        <v>0</v>
      </c>
    </row>
    <row r="2750" spans="1:14" x14ac:dyDescent="0.25">
      <c r="A2750" s="1"/>
      <c r="B2750" s="2" t="s">
        <v>2880</v>
      </c>
      <c r="C2750" s="2" t="s">
        <v>116</v>
      </c>
      <c r="D2750" s="2" t="s">
        <v>19</v>
      </c>
      <c r="E2750" s="7" t="s">
        <v>3519</v>
      </c>
      <c r="F2750" s="37">
        <v>42588.399305555555</v>
      </c>
      <c r="G2750" s="37">
        <v>42588.402777777781</v>
      </c>
      <c r="H2750" s="1" t="s">
        <v>6</v>
      </c>
      <c r="I2750" s="1" t="s">
        <v>38</v>
      </c>
      <c r="J2750" s="1">
        <v>42591.463078703702</v>
      </c>
      <c r="K2750" s="1" t="s">
        <v>701</v>
      </c>
      <c r="L2750" s="14">
        <f>24*(TblTimeSheet[[#This Row],[End Date and Time]]-TblTimeSheet[[#This Row],[Start Date and Time]])</f>
        <v>8.3333333430346102E-2</v>
      </c>
      <c r="M27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0" s="14">
        <f>--(0&gt;(TblTimeSheet[[#This Row],[End Date and Time]]-TblTimeSheet[[#This Row],[Start Date and Time]]))</f>
        <v>0</v>
      </c>
    </row>
    <row r="2751" spans="1:14" x14ac:dyDescent="0.25">
      <c r="A2751" s="1"/>
      <c r="B2751" s="2" t="s">
        <v>2880</v>
      </c>
      <c r="C2751" s="2" t="s">
        <v>116</v>
      </c>
      <c r="D2751" s="2" t="s">
        <v>19</v>
      </c>
      <c r="E2751" s="7" t="s">
        <v>3946</v>
      </c>
      <c r="F2751" s="37">
        <v>42588.513888888891</v>
      </c>
      <c r="G2751" s="37">
        <v>42588.548611111109</v>
      </c>
      <c r="H2751" s="1" t="s">
        <v>6</v>
      </c>
      <c r="I2751" s="1" t="s">
        <v>38</v>
      </c>
      <c r="J2751" s="1">
        <v>42591.462939814817</v>
      </c>
      <c r="K2751" s="1" t="s">
        <v>701</v>
      </c>
      <c r="L2751" s="14">
        <f>24*(TblTimeSheet[[#This Row],[End Date and Time]]-TblTimeSheet[[#This Row],[Start Date and Time]])</f>
        <v>0.83333333325572312</v>
      </c>
      <c r="M27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1" s="14">
        <f>--(0&gt;(TblTimeSheet[[#This Row],[End Date and Time]]-TblTimeSheet[[#This Row],[Start Date and Time]]))</f>
        <v>0</v>
      </c>
    </row>
    <row r="2752" spans="1:14" x14ac:dyDescent="0.25">
      <c r="A2752" s="1"/>
      <c r="B2752" s="2" t="s">
        <v>2880</v>
      </c>
      <c r="C2752" s="2" t="s">
        <v>78</v>
      </c>
      <c r="D2752" s="2" t="s">
        <v>19</v>
      </c>
      <c r="E2752" s="7" t="s">
        <v>3520</v>
      </c>
      <c r="F2752" s="37">
        <v>42591.520833333336</v>
      </c>
      <c r="G2752" s="37">
        <v>42591.548611111109</v>
      </c>
      <c r="H2752" s="1" t="s">
        <v>6</v>
      </c>
      <c r="I2752" s="1" t="s">
        <v>38</v>
      </c>
      <c r="J2752" s="1">
        <v>42591.752662037034</v>
      </c>
      <c r="K2752" s="1" t="s">
        <v>78</v>
      </c>
      <c r="L2752" s="14">
        <f>24*(TblTimeSheet[[#This Row],[End Date and Time]]-TblTimeSheet[[#This Row],[Start Date and Time]])</f>
        <v>0.6666666665696539</v>
      </c>
      <c r="M27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2" s="14">
        <f>--(0&gt;(TblTimeSheet[[#This Row],[End Date and Time]]-TblTimeSheet[[#This Row],[Start Date and Time]]))</f>
        <v>0</v>
      </c>
    </row>
    <row r="2753" spans="1:14" x14ac:dyDescent="0.25">
      <c r="A2753" s="1"/>
      <c r="B2753" s="2" t="s">
        <v>2880</v>
      </c>
      <c r="C2753" s="2" t="s">
        <v>78</v>
      </c>
      <c r="D2753" s="2" t="s">
        <v>19</v>
      </c>
      <c r="E2753" s="7" t="s">
        <v>3521</v>
      </c>
      <c r="F2753" s="37">
        <v>42591.583333333336</v>
      </c>
      <c r="G2753" s="37">
        <v>42591.625</v>
      </c>
      <c r="H2753" s="1" t="s">
        <v>6</v>
      </c>
      <c r="I2753" s="1" t="s">
        <v>38</v>
      </c>
      <c r="J2753" s="1">
        <v>42591.753472222219</v>
      </c>
      <c r="K2753" s="1" t="s">
        <v>78</v>
      </c>
      <c r="L2753" s="14">
        <f>24*(TblTimeSheet[[#This Row],[End Date and Time]]-TblTimeSheet[[#This Row],[Start Date and Time]])</f>
        <v>0.99999999994179234</v>
      </c>
      <c r="M27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3" s="14">
        <f>--(0&gt;(TblTimeSheet[[#This Row],[End Date and Time]]-TblTimeSheet[[#This Row],[Start Date and Time]]))</f>
        <v>0</v>
      </c>
    </row>
    <row r="2754" spans="1:14" x14ac:dyDescent="0.25">
      <c r="A2754" s="1"/>
      <c r="B2754" s="2" t="s">
        <v>2878</v>
      </c>
      <c r="C2754" s="2" t="s">
        <v>36</v>
      </c>
      <c r="D2754" s="2" t="s">
        <v>3261</v>
      </c>
      <c r="E2754" s="7" t="s">
        <v>3522</v>
      </c>
      <c r="F2754" s="37">
        <v>42591.458333333336</v>
      </c>
      <c r="G2754" s="37">
        <v>42591.517361111109</v>
      </c>
      <c r="H2754" s="1" t="s">
        <v>6</v>
      </c>
      <c r="I2754" s="1" t="s">
        <v>38</v>
      </c>
      <c r="J2754" s="1">
        <v>42592.381226851852</v>
      </c>
      <c r="K2754" s="1" t="s">
        <v>36</v>
      </c>
      <c r="L2754" s="14">
        <f>24*(TblTimeSheet[[#This Row],[End Date and Time]]-TblTimeSheet[[#This Row],[Start Date and Time]])</f>
        <v>1.4166666665696539</v>
      </c>
      <c r="M27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4" s="14">
        <f>--(0&gt;(TblTimeSheet[[#This Row],[End Date and Time]]-TblTimeSheet[[#This Row],[Start Date and Time]]))</f>
        <v>0</v>
      </c>
    </row>
    <row r="2755" spans="1:14" x14ac:dyDescent="0.25">
      <c r="A2755" s="1"/>
      <c r="B2755" s="2" t="s">
        <v>2880</v>
      </c>
      <c r="C2755" s="2" t="s">
        <v>36</v>
      </c>
      <c r="D2755" s="2" t="s">
        <v>19</v>
      </c>
      <c r="E2755" s="7" t="s">
        <v>3523</v>
      </c>
      <c r="F2755" s="37">
        <v>42591.520833333336</v>
      </c>
      <c r="G2755" s="37">
        <v>42591.548611111109</v>
      </c>
      <c r="H2755" s="1" t="s">
        <v>6</v>
      </c>
      <c r="I2755" s="1" t="s">
        <v>38</v>
      </c>
      <c r="J2755" s="1">
        <v>42592.381921296299</v>
      </c>
      <c r="K2755" s="1" t="s">
        <v>36</v>
      </c>
      <c r="L2755" s="14">
        <f>24*(TblTimeSheet[[#This Row],[End Date and Time]]-TblTimeSheet[[#This Row],[Start Date and Time]])</f>
        <v>0.6666666665696539</v>
      </c>
      <c r="M27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5" s="14">
        <f>--(0&gt;(TblTimeSheet[[#This Row],[End Date and Time]]-TblTimeSheet[[#This Row],[Start Date and Time]]))</f>
        <v>0</v>
      </c>
    </row>
    <row r="2756" spans="1:14" x14ac:dyDescent="0.25">
      <c r="A2756" s="1"/>
      <c r="B2756" s="2" t="s">
        <v>2880</v>
      </c>
      <c r="C2756" s="2" t="s">
        <v>116</v>
      </c>
      <c r="D2756" s="2" t="s">
        <v>19</v>
      </c>
      <c r="E2756" s="7" t="s">
        <v>3947</v>
      </c>
      <c r="F2756" s="37">
        <v>42591.520833333336</v>
      </c>
      <c r="G2756" s="37">
        <v>42591.548611111109</v>
      </c>
      <c r="H2756" s="1" t="s">
        <v>6</v>
      </c>
      <c r="I2756" s="1" t="s">
        <v>38</v>
      </c>
      <c r="J2756" s="1">
        <v>42592.382962962962</v>
      </c>
      <c r="K2756" s="1" t="s">
        <v>701</v>
      </c>
      <c r="L2756" s="14">
        <f>24*(TblTimeSheet[[#This Row],[End Date and Time]]-TblTimeSheet[[#This Row],[Start Date and Time]])</f>
        <v>0.6666666665696539</v>
      </c>
      <c r="M27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6" s="14">
        <f>--(0&gt;(TblTimeSheet[[#This Row],[End Date and Time]]-TblTimeSheet[[#This Row],[Start Date and Time]]))</f>
        <v>0</v>
      </c>
    </row>
    <row r="2757" spans="1:14" ht="30" x14ac:dyDescent="0.25">
      <c r="A2757" s="1"/>
      <c r="B2757" s="2" t="s">
        <v>2880</v>
      </c>
      <c r="C2757" s="2" t="s">
        <v>36</v>
      </c>
      <c r="D2757" s="2" t="s">
        <v>19</v>
      </c>
      <c r="E2757" s="7" t="s">
        <v>3948</v>
      </c>
      <c r="F2757" s="37">
        <v>42591.583333333336</v>
      </c>
      <c r="G2757" s="37">
        <v>42591.715277777781</v>
      </c>
      <c r="H2757" s="1" t="s">
        <v>6</v>
      </c>
      <c r="I2757" s="1" t="s">
        <v>38</v>
      </c>
      <c r="J2757" s="1">
        <v>42592.383043981485</v>
      </c>
      <c r="K2757" s="1" t="s">
        <v>36</v>
      </c>
      <c r="L2757" s="14">
        <f>24*(TblTimeSheet[[#This Row],[End Date and Time]]-TblTimeSheet[[#This Row],[Start Date and Time]])</f>
        <v>3.1666666666860692</v>
      </c>
      <c r="M27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7" s="14">
        <f>--(0&gt;(TblTimeSheet[[#This Row],[End Date and Time]]-TblTimeSheet[[#This Row],[Start Date and Time]]))</f>
        <v>0</v>
      </c>
    </row>
    <row r="2758" spans="1:14" x14ac:dyDescent="0.25">
      <c r="A2758" s="1"/>
      <c r="B2758" s="2" t="s">
        <v>2880</v>
      </c>
      <c r="C2758" s="2" t="s">
        <v>116</v>
      </c>
      <c r="D2758" s="2" t="s">
        <v>19</v>
      </c>
      <c r="E2758" s="7" t="s">
        <v>3524</v>
      </c>
      <c r="F2758" s="37">
        <v>42591.583333333336</v>
      </c>
      <c r="G2758" s="37">
        <v>42591.625</v>
      </c>
      <c r="H2758" s="1" t="s">
        <v>6</v>
      </c>
      <c r="I2758" s="1" t="s">
        <v>38</v>
      </c>
      <c r="J2758" s="1">
        <v>42592.383425925924</v>
      </c>
      <c r="K2758" s="1" t="s">
        <v>701</v>
      </c>
      <c r="L2758" s="14">
        <f>24*(TblTimeSheet[[#This Row],[End Date and Time]]-TblTimeSheet[[#This Row],[Start Date and Time]])</f>
        <v>0.99999999994179234</v>
      </c>
      <c r="M27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8" s="14">
        <f>--(0&gt;(TblTimeSheet[[#This Row],[End Date and Time]]-TblTimeSheet[[#This Row],[Start Date and Time]]))</f>
        <v>0</v>
      </c>
    </row>
    <row r="2759" spans="1:14" ht="45" x14ac:dyDescent="0.25">
      <c r="A2759" s="1"/>
      <c r="B2759" s="2" t="s">
        <v>2880</v>
      </c>
      <c r="C2759" s="2" t="s">
        <v>36</v>
      </c>
      <c r="D2759" s="2" t="s">
        <v>19</v>
      </c>
      <c r="E2759" s="7" t="s">
        <v>3949</v>
      </c>
      <c r="F2759" s="37">
        <v>42592.395833333336</v>
      </c>
      <c r="G2759" s="37">
        <v>42592.541666666664</v>
      </c>
      <c r="H2759" s="1" t="s">
        <v>6</v>
      </c>
      <c r="I2759" s="1" t="s">
        <v>38</v>
      </c>
      <c r="J2759" s="1">
        <v>42593.391516203701</v>
      </c>
      <c r="K2759" s="1" t="s">
        <v>36</v>
      </c>
      <c r="L2759" s="14">
        <f>24*(TblTimeSheet[[#This Row],[End Date and Time]]-TblTimeSheet[[#This Row],[Start Date and Time]])</f>
        <v>3.4999999998835847</v>
      </c>
      <c r="M27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59" s="14">
        <f>--(0&gt;(TblTimeSheet[[#This Row],[End Date and Time]]-TblTimeSheet[[#This Row],[Start Date and Time]]))</f>
        <v>0</v>
      </c>
    </row>
    <row r="2760" spans="1:14" ht="30" x14ac:dyDescent="0.25">
      <c r="A2760" s="1"/>
      <c r="B2760" s="2" t="s">
        <v>2880</v>
      </c>
      <c r="C2760" s="2" t="s">
        <v>36</v>
      </c>
      <c r="D2760" s="2" t="s">
        <v>19</v>
      </c>
      <c r="E2760" s="7" t="s">
        <v>3950</v>
      </c>
      <c r="F2760" s="37">
        <v>42592.583333333336</v>
      </c>
      <c r="G2760" s="37">
        <v>42592.645833333336</v>
      </c>
      <c r="H2760" s="1" t="s">
        <v>6</v>
      </c>
      <c r="I2760" s="1" t="s">
        <v>38</v>
      </c>
      <c r="J2760" s="1">
        <v>42593.391967592594</v>
      </c>
      <c r="K2760" s="1" t="s">
        <v>36</v>
      </c>
      <c r="L2760" s="14">
        <f>24*(TblTimeSheet[[#This Row],[End Date and Time]]-TblTimeSheet[[#This Row],[Start Date and Time]])</f>
        <v>1.5</v>
      </c>
      <c r="M27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0" s="14">
        <f>--(0&gt;(TblTimeSheet[[#This Row],[End Date and Time]]-TblTimeSheet[[#This Row],[Start Date and Time]]))</f>
        <v>0</v>
      </c>
    </row>
    <row r="2761" spans="1:14" ht="30" x14ac:dyDescent="0.25">
      <c r="A2761" s="1"/>
      <c r="B2761" s="2" t="s">
        <v>2878</v>
      </c>
      <c r="C2761" s="2" t="s">
        <v>36</v>
      </c>
      <c r="D2761" s="2" t="s">
        <v>3261</v>
      </c>
      <c r="E2761" s="7" t="s">
        <v>3951</v>
      </c>
      <c r="F2761" s="37">
        <v>42592.649305555555</v>
      </c>
      <c r="G2761" s="37">
        <v>42592.739583333336</v>
      </c>
      <c r="H2761" s="1" t="s">
        <v>6</v>
      </c>
      <c r="I2761" s="1" t="s">
        <v>38</v>
      </c>
      <c r="J2761" s="1">
        <v>42593.393611111111</v>
      </c>
      <c r="K2761" s="1" t="s">
        <v>36</v>
      </c>
      <c r="L2761" s="14">
        <f>24*(TblTimeSheet[[#This Row],[End Date and Time]]-TblTimeSheet[[#This Row],[Start Date and Time]])</f>
        <v>2.1666666667442769</v>
      </c>
      <c r="M27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1" s="14">
        <f>--(0&gt;(TblTimeSheet[[#This Row],[End Date and Time]]-TblTimeSheet[[#This Row],[Start Date and Time]]))</f>
        <v>0</v>
      </c>
    </row>
    <row r="2762" spans="1:14" ht="30" x14ac:dyDescent="0.25">
      <c r="A2762" s="1"/>
      <c r="B2762" s="2" t="s">
        <v>2878</v>
      </c>
      <c r="C2762" s="2" t="s">
        <v>36</v>
      </c>
      <c r="D2762" s="2" t="s">
        <v>3261</v>
      </c>
      <c r="E2762" s="7" t="s">
        <v>3952</v>
      </c>
      <c r="F2762" s="37">
        <v>42592.743055555555</v>
      </c>
      <c r="G2762" s="37">
        <v>42592.777777777781</v>
      </c>
      <c r="H2762" s="1" t="s">
        <v>6</v>
      </c>
      <c r="I2762" s="1" t="s">
        <v>38</v>
      </c>
      <c r="J2762" s="1">
        <v>42593.394583333335</v>
      </c>
      <c r="K2762" s="1" t="s">
        <v>36</v>
      </c>
      <c r="L2762" s="14">
        <f>24*(TblTimeSheet[[#This Row],[End Date and Time]]-TblTimeSheet[[#This Row],[Start Date and Time]])</f>
        <v>0.8333333334303461</v>
      </c>
      <c r="M27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2" s="14">
        <f>--(0&gt;(TblTimeSheet[[#This Row],[End Date and Time]]-TblTimeSheet[[#This Row],[Start Date and Time]]))</f>
        <v>0</v>
      </c>
    </row>
    <row r="2763" spans="1:14" x14ac:dyDescent="0.25">
      <c r="A2763" s="1"/>
      <c r="B2763" s="2" t="s">
        <v>2880</v>
      </c>
      <c r="C2763" s="2" t="s">
        <v>78</v>
      </c>
      <c r="D2763" s="2" t="s">
        <v>19</v>
      </c>
      <c r="E2763" s="7" t="s">
        <v>3525</v>
      </c>
      <c r="F2763" s="37">
        <v>42592.666666666664</v>
      </c>
      <c r="G2763" s="37">
        <v>42592.6875</v>
      </c>
      <c r="H2763" s="1" t="s">
        <v>6</v>
      </c>
      <c r="I2763" s="1" t="s">
        <v>38</v>
      </c>
      <c r="J2763" s="1">
        <v>42593.485891203702</v>
      </c>
      <c r="K2763" s="1" t="s">
        <v>78</v>
      </c>
      <c r="L2763" s="14">
        <f>24*(TblTimeSheet[[#This Row],[End Date and Time]]-TblTimeSheet[[#This Row],[Start Date and Time]])</f>
        <v>0.50000000005820766</v>
      </c>
      <c r="M27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3" s="14">
        <f>--(0&gt;(TblTimeSheet[[#This Row],[End Date and Time]]-TblTimeSheet[[#This Row],[Start Date and Time]]))</f>
        <v>0</v>
      </c>
    </row>
    <row r="2764" spans="1:14" x14ac:dyDescent="0.25">
      <c r="A2764" s="1"/>
      <c r="B2764" s="2" t="s">
        <v>2880</v>
      </c>
      <c r="C2764" s="2" t="s">
        <v>43</v>
      </c>
      <c r="D2764" s="2" t="s">
        <v>19</v>
      </c>
      <c r="E2764" s="7" t="s">
        <v>3953</v>
      </c>
      <c r="F2764" s="37">
        <v>42587.631944444445</v>
      </c>
      <c r="G2764" s="37">
        <v>42587.642361111109</v>
      </c>
      <c r="H2764" s="1" t="s">
        <v>6</v>
      </c>
      <c r="I2764" s="1" t="s">
        <v>38</v>
      </c>
      <c r="J2764" s="1">
        <v>42593.501435185186</v>
      </c>
      <c r="K2764" s="1" t="s">
        <v>43</v>
      </c>
      <c r="L2764" s="14">
        <f>24*(TblTimeSheet[[#This Row],[End Date and Time]]-TblTimeSheet[[#This Row],[Start Date and Time]])</f>
        <v>0.24999999994179234</v>
      </c>
      <c r="M27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4" s="14">
        <f>--(0&gt;(TblTimeSheet[[#This Row],[End Date and Time]]-TblTimeSheet[[#This Row],[Start Date and Time]]))</f>
        <v>0</v>
      </c>
    </row>
    <row r="2765" spans="1:14" x14ac:dyDescent="0.25">
      <c r="A2765" s="1"/>
      <c r="B2765" s="2" t="s">
        <v>2880</v>
      </c>
      <c r="C2765" s="2" t="s">
        <v>43</v>
      </c>
      <c r="D2765" s="2" t="s">
        <v>19</v>
      </c>
      <c r="E2765" s="7" t="s">
        <v>3954</v>
      </c>
      <c r="F2765" s="37">
        <v>42587.645833333336</v>
      </c>
      <c r="G2765" s="37">
        <v>42587.729166666664</v>
      </c>
      <c r="H2765" s="1" t="s">
        <v>6</v>
      </c>
      <c r="I2765" s="1" t="s">
        <v>38</v>
      </c>
      <c r="J2765" s="1">
        <v>42593.502488425926</v>
      </c>
      <c r="K2765" s="1" t="s">
        <v>43</v>
      </c>
      <c r="L2765" s="14">
        <f>24*(TblTimeSheet[[#This Row],[End Date and Time]]-TblTimeSheet[[#This Row],[Start Date and Time]])</f>
        <v>1.9999999998835847</v>
      </c>
      <c r="M27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5" s="14">
        <f>--(0&gt;(TblTimeSheet[[#This Row],[End Date and Time]]-TblTimeSheet[[#This Row],[Start Date and Time]]))</f>
        <v>0</v>
      </c>
    </row>
    <row r="2766" spans="1:14" x14ac:dyDescent="0.25">
      <c r="A2766" s="1"/>
      <c r="B2766" s="2" t="s">
        <v>2880</v>
      </c>
      <c r="C2766" s="2" t="s">
        <v>43</v>
      </c>
      <c r="D2766" s="2" t="s">
        <v>19</v>
      </c>
      <c r="E2766" s="7" t="s">
        <v>3526</v>
      </c>
      <c r="F2766" s="37">
        <v>42588.399305555555</v>
      </c>
      <c r="G2766" s="37">
        <v>42588.402777777781</v>
      </c>
      <c r="H2766" s="1" t="s">
        <v>6</v>
      </c>
      <c r="I2766" s="1" t="s">
        <v>38</v>
      </c>
      <c r="J2766" s="1">
        <v>42593.503240740742</v>
      </c>
      <c r="K2766" s="1" t="s">
        <v>43</v>
      </c>
      <c r="L2766" s="14">
        <f>24*(TblTimeSheet[[#This Row],[End Date and Time]]-TblTimeSheet[[#This Row],[Start Date and Time]])</f>
        <v>8.3333333430346102E-2</v>
      </c>
      <c r="M27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6" s="14">
        <f>--(0&gt;(TblTimeSheet[[#This Row],[End Date and Time]]-TblTimeSheet[[#This Row],[Start Date and Time]]))</f>
        <v>0</v>
      </c>
    </row>
    <row r="2767" spans="1:14" x14ac:dyDescent="0.25">
      <c r="A2767" s="1"/>
      <c r="B2767" s="2" t="s">
        <v>2880</v>
      </c>
      <c r="C2767" s="2" t="s">
        <v>43</v>
      </c>
      <c r="D2767" s="2" t="s">
        <v>19</v>
      </c>
      <c r="E2767" s="7" t="s">
        <v>3513</v>
      </c>
      <c r="F2767" s="37">
        <v>42588.513888888891</v>
      </c>
      <c r="G2767" s="37">
        <v>42588.548611111109</v>
      </c>
      <c r="H2767" s="1" t="s">
        <v>6</v>
      </c>
      <c r="I2767" s="1" t="s">
        <v>38</v>
      </c>
      <c r="J2767" s="1">
        <v>42593.504791666666</v>
      </c>
      <c r="K2767" s="1" t="s">
        <v>43</v>
      </c>
      <c r="L2767" s="14">
        <f>24*(TblTimeSheet[[#This Row],[End Date and Time]]-TblTimeSheet[[#This Row],[Start Date and Time]])</f>
        <v>0.83333333325572312</v>
      </c>
      <c r="M27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7" s="14">
        <f>--(0&gt;(TblTimeSheet[[#This Row],[End Date and Time]]-TblTimeSheet[[#This Row],[Start Date and Time]]))</f>
        <v>0</v>
      </c>
    </row>
    <row r="2768" spans="1:14" x14ac:dyDescent="0.25">
      <c r="A2768" s="1"/>
      <c r="B2768" s="2" t="s">
        <v>2880</v>
      </c>
      <c r="C2768" s="2" t="s">
        <v>43</v>
      </c>
      <c r="D2768" s="2" t="s">
        <v>19</v>
      </c>
      <c r="E2768" s="7" t="s">
        <v>3516</v>
      </c>
      <c r="F2768" s="37">
        <v>42588.638888888891</v>
      </c>
      <c r="G2768" s="37">
        <v>42588.694444444445</v>
      </c>
      <c r="H2768" s="1" t="s">
        <v>6</v>
      </c>
      <c r="I2768" s="1" t="s">
        <v>38</v>
      </c>
      <c r="J2768" s="1">
        <v>42593.505578703705</v>
      </c>
      <c r="K2768" s="1" t="s">
        <v>43</v>
      </c>
      <c r="L2768" s="14">
        <f>24*(TblTimeSheet[[#This Row],[End Date and Time]]-TblTimeSheet[[#This Row],[Start Date and Time]])</f>
        <v>1.3333333333139308</v>
      </c>
      <c r="M27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8" s="14">
        <f>--(0&gt;(TblTimeSheet[[#This Row],[End Date and Time]]-TblTimeSheet[[#This Row],[Start Date and Time]]))</f>
        <v>0</v>
      </c>
    </row>
    <row r="2769" spans="1:14" x14ac:dyDescent="0.25">
      <c r="A2769" s="1"/>
      <c r="B2769" s="2" t="s">
        <v>2880</v>
      </c>
      <c r="C2769" s="2" t="s">
        <v>43</v>
      </c>
      <c r="D2769" s="2" t="s">
        <v>19</v>
      </c>
      <c r="E2769" s="7" t="s">
        <v>3520</v>
      </c>
      <c r="F2769" s="37">
        <v>42591.520833333336</v>
      </c>
      <c r="G2769" s="37">
        <v>42591.548611111109</v>
      </c>
      <c r="H2769" s="1" t="s">
        <v>6</v>
      </c>
      <c r="I2769" s="1" t="s">
        <v>38</v>
      </c>
      <c r="J2769" s="1">
        <v>42593.507662037038</v>
      </c>
      <c r="K2769" s="1" t="s">
        <v>43</v>
      </c>
      <c r="L2769" s="14">
        <f>24*(TblTimeSheet[[#This Row],[End Date and Time]]-TblTimeSheet[[#This Row],[Start Date and Time]])</f>
        <v>0.6666666665696539</v>
      </c>
      <c r="M27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69" s="14">
        <f>--(0&gt;(TblTimeSheet[[#This Row],[End Date and Time]]-TblTimeSheet[[#This Row],[Start Date and Time]]))</f>
        <v>0</v>
      </c>
    </row>
    <row r="2770" spans="1:14" x14ac:dyDescent="0.25">
      <c r="A2770" s="1"/>
      <c r="B2770" s="2" t="s">
        <v>2880</v>
      </c>
      <c r="C2770" s="2" t="s">
        <v>43</v>
      </c>
      <c r="D2770" s="2" t="s">
        <v>19</v>
      </c>
      <c r="E2770" s="7" t="s">
        <v>3520</v>
      </c>
      <c r="F2770" s="37">
        <v>42591.583333333336</v>
      </c>
      <c r="G2770" s="37">
        <v>42591.625</v>
      </c>
      <c r="H2770" s="1" t="s">
        <v>6</v>
      </c>
      <c r="I2770" s="1" t="s">
        <v>38</v>
      </c>
      <c r="J2770" s="1">
        <v>42593.508530092593</v>
      </c>
      <c r="K2770" s="1" t="s">
        <v>43</v>
      </c>
      <c r="L2770" s="14">
        <f>24*(TblTimeSheet[[#This Row],[End Date and Time]]-TblTimeSheet[[#This Row],[Start Date and Time]])</f>
        <v>0.99999999994179234</v>
      </c>
      <c r="M27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0" s="14">
        <f>--(0&gt;(TblTimeSheet[[#This Row],[End Date and Time]]-TblTimeSheet[[#This Row],[Start Date and Time]]))</f>
        <v>0</v>
      </c>
    </row>
    <row r="2771" spans="1:14" x14ac:dyDescent="0.25">
      <c r="A2771" s="1"/>
      <c r="B2771" s="2" t="s">
        <v>2880</v>
      </c>
      <c r="C2771" s="2" t="s">
        <v>176</v>
      </c>
      <c r="D2771" s="2" t="s">
        <v>19</v>
      </c>
      <c r="E2771" s="7" t="s">
        <v>3953</v>
      </c>
      <c r="F2771" s="37">
        <v>42587.631944444445</v>
      </c>
      <c r="G2771" s="37">
        <v>42587.642361111109</v>
      </c>
      <c r="H2771" s="1" t="s">
        <v>6</v>
      </c>
      <c r="I2771" s="1" t="s">
        <v>38</v>
      </c>
      <c r="J2771" s="1">
        <v>42593.512013888889</v>
      </c>
      <c r="K2771" s="1" t="s">
        <v>176</v>
      </c>
      <c r="L2771" s="14">
        <f>24*(TblTimeSheet[[#This Row],[End Date and Time]]-TblTimeSheet[[#This Row],[Start Date and Time]])</f>
        <v>0.24999999994179234</v>
      </c>
      <c r="M27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1" s="14">
        <f>--(0&gt;(TblTimeSheet[[#This Row],[End Date and Time]]-TblTimeSheet[[#This Row],[Start Date and Time]]))</f>
        <v>0</v>
      </c>
    </row>
    <row r="2772" spans="1:14" x14ac:dyDescent="0.25">
      <c r="A2772" s="1"/>
      <c r="B2772" s="2" t="s">
        <v>2880</v>
      </c>
      <c r="C2772" s="2" t="s">
        <v>36</v>
      </c>
      <c r="D2772" s="2" t="s">
        <v>19</v>
      </c>
      <c r="E2772" s="7" t="s">
        <v>3527</v>
      </c>
      <c r="F2772" s="37">
        <v>42593.399305555555</v>
      </c>
      <c r="G2772" s="37">
        <v>42593.416666666664</v>
      </c>
      <c r="H2772" s="1" t="s">
        <v>6</v>
      </c>
      <c r="I2772" s="1" t="s">
        <v>38</v>
      </c>
      <c r="J2772" s="1">
        <v>42593.577974537038</v>
      </c>
      <c r="K2772" s="1" t="s">
        <v>36</v>
      </c>
      <c r="L2772" s="14">
        <f>24*(TblTimeSheet[[#This Row],[End Date and Time]]-TblTimeSheet[[#This Row],[Start Date and Time]])</f>
        <v>0.41666666662786156</v>
      </c>
      <c r="M27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2" s="14">
        <f>--(0&gt;(TblTimeSheet[[#This Row],[End Date and Time]]-TblTimeSheet[[#This Row],[Start Date and Time]]))</f>
        <v>0</v>
      </c>
    </row>
    <row r="2773" spans="1:14" x14ac:dyDescent="0.25">
      <c r="A2773" s="1"/>
      <c r="B2773" s="2" t="s">
        <v>2880</v>
      </c>
      <c r="C2773" s="2" t="s">
        <v>116</v>
      </c>
      <c r="D2773" s="2" t="s">
        <v>19</v>
      </c>
      <c r="E2773" s="7" t="s">
        <v>3528</v>
      </c>
      <c r="F2773" s="37">
        <v>42592.510416666664</v>
      </c>
      <c r="G2773" s="37">
        <v>42592.53125</v>
      </c>
      <c r="H2773" s="1" t="s">
        <v>6</v>
      </c>
      <c r="I2773" s="1" t="s">
        <v>38</v>
      </c>
      <c r="J2773" s="1">
        <v>42593.615370370368</v>
      </c>
      <c r="K2773" s="1" t="s">
        <v>701</v>
      </c>
      <c r="L2773" s="14">
        <f>24*(TblTimeSheet[[#This Row],[End Date and Time]]-TblTimeSheet[[#This Row],[Start Date and Time]])</f>
        <v>0.50000000005820766</v>
      </c>
      <c r="M27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3" s="14">
        <f>--(0&gt;(TblTimeSheet[[#This Row],[End Date and Time]]-TblTimeSheet[[#This Row],[Start Date and Time]]))</f>
        <v>0</v>
      </c>
    </row>
    <row r="2774" spans="1:14" x14ac:dyDescent="0.25">
      <c r="A2774" s="1"/>
      <c r="B2774" s="2" t="s">
        <v>2880</v>
      </c>
      <c r="C2774" s="2" t="s">
        <v>116</v>
      </c>
      <c r="D2774" s="2" t="s">
        <v>19</v>
      </c>
      <c r="E2774" s="7" t="s">
        <v>3955</v>
      </c>
      <c r="F2774" s="37">
        <v>42592.666666666664</v>
      </c>
      <c r="G2774" s="37">
        <v>42592.708333333336</v>
      </c>
      <c r="H2774" s="1" t="s">
        <v>6</v>
      </c>
      <c r="I2774" s="1" t="s">
        <v>38</v>
      </c>
      <c r="J2774" s="1">
        <v>42593.616261574076</v>
      </c>
      <c r="K2774" s="1" t="s">
        <v>701</v>
      </c>
      <c r="L2774" s="14">
        <f>24*(TblTimeSheet[[#This Row],[End Date and Time]]-TblTimeSheet[[#This Row],[Start Date and Time]])</f>
        <v>1.0000000001164153</v>
      </c>
      <c r="M27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4" s="14">
        <f>--(0&gt;(TblTimeSheet[[#This Row],[End Date and Time]]-TblTimeSheet[[#This Row],[Start Date and Time]]))</f>
        <v>0</v>
      </c>
    </row>
    <row r="2775" spans="1:14" x14ac:dyDescent="0.25">
      <c r="A2775" s="1"/>
      <c r="B2775" s="2" t="s">
        <v>2880</v>
      </c>
      <c r="C2775" s="2" t="s">
        <v>116</v>
      </c>
      <c r="D2775" s="2" t="s">
        <v>19</v>
      </c>
      <c r="E2775" s="7" t="s">
        <v>1332</v>
      </c>
      <c r="F2775" s="37">
        <v>42593.666666666664</v>
      </c>
      <c r="G2775" s="37">
        <v>42593.722222222219</v>
      </c>
      <c r="H2775" s="1" t="s">
        <v>6</v>
      </c>
      <c r="I2775" s="1" t="s">
        <v>38</v>
      </c>
      <c r="J2775" s="1">
        <v>42593.724444444444</v>
      </c>
      <c r="K2775" s="1" t="s">
        <v>701</v>
      </c>
      <c r="L2775" s="14">
        <f>24*(TblTimeSheet[[#This Row],[End Date and Time]]-TblTimeSheet[[#This Row],[Start Date and Time]])</f>
        <v>1.3333333333139308</v>
      </c>
      <c r="M27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5" s="14">
        <f>--(0&gt;(TblTimeSheet[[#This Row],[End Date and Time]]-TblTimeSheet[[#This Row],[Start Date and Time]]))</f>
        <v>0</v>
      </c>
    </row>
    <row r="2776" spans="1:14" x14ac:dyDescent="0.25">
      <c r="A2776" s="1"/>
      <c r="B2776" s="2" t="s">
        <v>2880</v>
      </c>
      <c r="C2776" s="2" t="s">
        <v>43</v>
      </c>
      <c r="D2776" s="2" t="s">
        <v>19</v>
      </c>
      <c r="E2776" s="7" t="s">
        <v>3529</v>
      </c>
      <c r="F2776" s="37">
        <v>42593.666666666664</v>
      </c>
      <c r="G2776" s="37">
        <v>42593.722222222219</v>
      </c>
      <c r="H2776" s="1" t="s">
        <v>6</v>
      </c>
      <c r="I2776" s="1" t="s">
        <v>38</v>
      </c>
      <c r="J2776" s="1">
        <v>42593.728726851848</v>
      </c>
      <c r="K2776" s="1" t="s">
        <v>43</v>
      </c>
      <c r="L2776" s="14">
        <f>24*(TblTimeSheet[[#This Row],[End Date and Time]]-TblTimeSheet[[#This Row],[Start Date and Time]])</f>
        <v>1.3333333333139308</v>
      </c>
      <c r="M27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6" s="14">
        <f>--(0&gt;(TblTimeSheet[[#This Row],[End Date and Time]]-TblTimeSheet[[#This Row],[Start Date and Time]]))</f>
        <v>0</v>
      </c>
    </row>
    <row r="2777" spans="1:14" x14ac:dyDescent="0.25">
      <c r="A2777" s="1"/>
      <c r="B2777" s="2" t="s">
        <v>2880</v>
      </c>
      <c r="C2777" s="2" t="s">
        <v>36</v>
      </c>
      <c r="D2777" s="2" t="s">
        <v>19</v>
      </c>
      <c r="E2777" s="7" t="s">
        <v>3530</v>
      </c>
      <c r="F2777" s="37">
        <v>42594.416666666664</v>
      </c>
      <c r="G2777" s="37">
        <v>42594.434027777781</v>
      </c>
      <c r="H2777" s="1" t="s">
        <v>6</v>
      </c>
      <c r="I2777" s="1" t="s">
        <v>38</v>
      </c>
      <c r="J2777" s="1">
        <v>42594.455069444448</v>
      </c>
      <c r="K2777" s="1" t="s">
        <v>36</v>
      </c>
      <c r="L2777" s="14">
        <f>24*(TblTimeSheet[[#This Row],[End Date and Time]]-TblTimeSheet[[#This Row],[Start Date and Time]])</f>
        <v>0.41666666680248454</v>
      </c>
      <c r="M27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7" s="14">
        <f>--(0&gt;(TblTimeSheet[[#This Row],[End Date and Time]]-TblTimeSheet[[#This Row],[Start Date and Time]]))</f>
        <v>0</v>
      </c>
    </row>
    <row r="2778" spans="1:14" ht="30" x14ac:dyDescent="0.25">
      <c r="A2778" s="1"/>
      <c r="B2778" s="2" t="s">
        <v>2880</v>
      </c>
      <c r="C2778" s="2" t="s">
        <v>36</v>
      </c>
      <c r="D2778" s="2" t="s">
        <v>19</v>
      </c>
      <c r="E2778" s="7" t="s">
        <v>3956</v>
      </c>
      <c r="F2778" s="37">
        <v>42594.4375</v>
      </c>
      <c r="G2778" s="37">
        <v>42594.513888888891</v>
      </c>
      <c r="H2778" s="1" t="s">
        <v>6</v>
      </c>
      <c r="I2778" s="1" t="s">
        <v>38</v>
      </c>
      <c r="J2778" s="1">
        <v>42594.648981481485</v>
      </c>
      <c r="K2778" s="1" t="s">
        <v>36</v>
      </c>
      <c r="L2778" s="14">
        <f>24*(TblTimeSheet[[#This Row],[End Date and Time]]-TblTimeSheet[[#This Row],[Start Date and Time]])</f>
        <v>1.8333333333721384</v>
      </c>
      <c r="M27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8" s="14">
        <f>--(0&gt;(TblTimeSheet[[#This Row],[End Date and Time]]-TblTimeSheet[[#This Row],[Start Date and Time]]))</f>
        <v>0</v>
      </c>
    </row>
    <row r="2779" spans="1:14" x14ac:dyDescent="0.25">
      <c r="A2779" s="1"/>
      <c r="B2779" s="2" t="s">
        <v>2878</v>
      </c>
      <c r="C2779" s="2" t="s">
        <v>36</v>
      </c>
      <c r="D2779" s="2" t="s">
        <v>3261</v>
      </c>
      <c r="E2779" s="7" t="s">
        <v>3531</v>
      </c>
      <c r="F2779" s="37">
        <v>42594.5625</v>
      </c>
      <c r="G2779" s="37">
        <v>42594.611111111109</v>
      </c>
      <c r="H2779" s="1" t="s">
        <v>6</v>
      </c>
      <c r="I2779" s="1" t="s">
        <v>38</v>
      </c>
      <c r="J2779" s="1">
        <v>42594.652800925927</v>
      </c>
      <c r="K2779" s="1" t="s">
        <v>36</v>
      </c>
      <c r="L2779" s="14">
        <f>24*(TblTimeSheet[[#This Row],[End Date and Time]]-TblTimeSheet[[#This Row],[Start Date and Time]])</f>
        <v>1.1666666666278616</v>
      </c>
      <c r="M27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79" s="14">
        <f>--(0&gt;(TblTimeSheet[[#This Row],[End Date and Time]]-TblTimeSheet[[#This Row],[Start Date and Time]]))</f>
        <v>0</v>
      </c>
    </row>
    <row r="2780" spans="1:14" x14ac:dyDescent="0.25">
      <c r="A2780" s="1"/>
      <c r="B2780" s="2" t="s">
        <v>2880</v>
      </c>
      <c r="C2780" s="2" t="s">
        <v>36</v>
      </c>
      <c r="D2780" s="2" t="s">
        <v>19</v>
      </c>
      <c r="E2780" s="7" t="s">
        <v>3532</v>
      </c>
      <c r="F2780" s="37">
        <v>42594.65625</v>
      </c>
      <c r="G2780" s="37">
        <v>42594.729166666664</v>
      </c>
      <c r="H2780" s="1" t="s">
        <v>6</v>
      </c>
      <c r="I2780" s="1" t="s">
        <v>38</v>
      </c>
      <c r="J2780" s="1">
        <v>42599.470358796294</v>
      </c>
      <c r="K2780" s="1" t="s">
        <v>36</v>
      </c>
      <c r="L2780" s="14">
        <f>24*(TblTimeSheet[[#This Row],[End Date and Time]]-TblTimeSheet[[#This Row],[Start Date and Time]])</f>
        <v>1.7499999999417923</v>
      </c>
      <c r="M27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0" s="14">
        <f>--(0&gt;(TblTimeSheet[[#This Row],[End Date and Time]]-TblTimeSheet[[#This Row],[Start Date and Time]]))</f>
        <v>0</v>
      </c>
    </row>
    <row r="2781" spans="1:14" ht="90" x14ac:dyDescent="0.25">
      <c r="A2781" s="1"/>
      <c r="B2781" s="2" t="s">
        <v>2878</v>
      </c>
      <c r="C2781" s="2" t="s">
        <v>36</v>
      </c>
      <c r="D2781" s="2" t="s">
        <v>3261</v>
      </c>
      <c r="E2781" s="7" t="s">
        <v>3957</v>
      </c>
      <c r="F2781" s="37">
        <v>42598.378472222219</v>
      </c>
      <c r="G2781" s="37">
        <v>42598.541666666664</v>
      </c>
      <c r="H2781" s="1" t="s">
        <v>6</v>
      </c>
      <c r="I2781" s="1" t="s">
        <v>38</v>
      </c>
      <c r="J2781" s="1">
        <v>42599.473391203705</v>
      </c>
      <c r="K2781" s="1" t="s">
        <v>36</v>
      </c>
      <c r="L2781" s="14">
        <f>24*(TblTimeSheet[[#This Row],[End Date and Time]]-TblTimeSheet[[#This Row],[Start Date and Time]])</f>
        <v>3.9166666666860692</v>
      </c>
      <c r="M27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1" s="14">
        <f>--(0&gt;(TblTimeSheet[[#This Row],[End Date and Time]]-TblTimeSheet[[#This Row],[Start Date and Time]]))</f>
        <v>0</v>
      </c>
    </row>
    <row r="2782" spans="1:14" ht="75" x14ac:dyDescent="0.25">
      <c r="A2782" s="1"/>
      <c r="B2782" s="2" t="s">
        <v>2878</v>
      </c>
      <c r="C2782" s="2" t="s">
        <v>36</v>
      </c>
      <c r="D2782" s="2" t="s">
        <v>3261</v>
      </c>
      <c r="E2782" s="7" t="s">
        <v>3958</v>
      </c>
      <c r="F2782" s="37">
        <v>42599.583333333336</v>
      </c>
      <c r="G2782" s="37">
        <v>42599.763888888891</v>
      </c>
      <c r="H2782" s="1" t="s">
        <v>6</v>
      </c>
      <c r="I2782" s="1" t="s">
        <v>38</v>
      </c>
      <c r="J2782" s="1">
        <v>42599.475706018522</v>
      </c>
      <c r="K2782" s="1" t="s">
        <v>36</v>
      </c>
      <c r="L2782" s="14">
        <f>24*(TblTimeSheet[[#This Row],[End Date and Time]]-TblTimeSheet[[#This Row],[Start Date and Time]])</f>
        <v>4.3333333333139308</v>
      </c>
      <c r="M27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782" s="14">
        <f>--(0&gt;(TblTimeSheet[[#This Row],[End Date and Time]]-TblTimeSheet[[#This Row],[Start Date and Time]]))</f>
        <v>0</v>
      </c>
    </row>
    <row r="2783" spans="1:14" ht="60" x14ac:dyDescent="0.25">
      <c r="A2783" s="1"/>
      <c r="B2783" s="2" t="s">
        <v>2878</v>
      </c>
      <c r="C2783" s="2" t="s">
        <v>36</v>
      </c>
      <c r="D2783" s="2" t="s">
        <v>3261</v>
      </c>
      <c r="E2783" s="7" t="s">
        <v>3959</v>
      </c>
      <c r="F2783" s="37">
        <v>42599.378472222219</v>
      </c>
      <c r="G2783" s="37">
        <v>42599.541666666664</v>
      </c>
      <c r="H2783" s="1" t="s">
        <v>6</v>
      </c>
      <c r="I2783" s="1" t="s">
        <v>38</v>
      </c>
      <c r="J2783" s="1">
        <v>42599.639074074075</v>
      </c>
      <c r="K2783" s="1" t="s">
        <v>36</v>
      </c>
      <c r="L2783" s="14">
        <f>24*(TblTimeSheet[[#This Row],[End Date and Time]]-TblTimeSheet[[#This Row],[Start Date and Time]])</f>
        <v>3.9166666666860692</v>
      </c>
      <c r="M27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3" s="14">
        <f>--(0&gt;(TblTimeSheet[[#This Row],[End Date and Time]]-TblTimeSheet[[#This Row],[Start Date and Time]]))</f>
        <v>0</v>
      </c>
    </row>
    <row r="2784" spans="1:14" ht="45" x14ac:dyDescent="0.25">
      <c r="A2784" s="1"/>
      <c r="B2784" s="2" t="s">
        <v>2878</v>
      </c>
      <c r="C2784" s="2" t="s">
        <v>36</v>
      </c>
      <c r="D2784" s="2" t="s">
        <v>3261</v>
      </c>
      <c r="E2784" s="7" t="s">
        <v>3960</v>
      </c>
      <c r="F2784" s="37">
        <v>42599.583333333336</v>
      </c>
      <c r="G2784" s="37">
        <v>42599.729166666664</v>
      </c>
      <c r="H2784" s="1" t="s">
        <v>6</v>
      </c>
      <c r="I2784" s="1" t="s">
        <v>38</v>
      </c>
      <c r="J2784" s="1">
        <v>42599.728541666664</v>
      </c>
      <c r="K2784" s="1" t="s">
        <v>36</v>
      </c>
      <c r="L2784" s="14">
        <f>24*(TblTimeSheet[[#This Row],[End Date and Time]]-TblTimeSheet[[#This Row],[Start Date and Time]])</f>
        <v>3.4999999998835847</v>
      </c>
      <c r="M27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784" s="14">
        <f>--(0&gt;(TblTimeSheet[[#This Row],[End Date and Time]]-TblTimeSheet[[#This Row],[Start Date and Time]]))</f>
        <v>0</v>
      </c>
    </row>
    <row r="2785" spans="1:14" x14ac:dyDescent="0.25">
      <c r="A2785" s="1"/>
      <c r="B2785" s="2" t="s">
        <v>2880</v>
      </c>
      <c r="C2785" s="2" t="s">
        <v>116</v>
      </c>
      <c r="D2785" s="2" t="s">
        <v>19</v>
      </c>
      <c r="E2785" s="7" t="s">
        <v>3533</v>
      </c>
      <c r="F2785" s="37">
        <v>42601.395833333336</v>
      </c>
      <c r="G2785" s="37">
        <v>42601.416666666664</v>
      </c>
      <c r="H2785" s="1" t="s">
        <v>6</v>
      </c>
      <c r="I2785" s="1" t="s">
        <v>38</v>
      </c>
      <c r="J2785" s="1">
        <v>42601.436967592592</v>
      </c>
      <c r="K2785" s="1" t="s">
        <v>701</v>
      </c>
      <c r="L2785" s="14">
        <f>24*(TblTimeSheet[[#This Row],[End Date and Time]]-TblTimeSheet[[#This Row],[Start Date and Time]])</f>
        <v>0.49999999988358468</v>
      </c>
      <c r="M27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5" s="14">
        <f>--(0&gt;(TblTimeSheet[[#This Row],[End Date and Time]]-TblTimeSheet[[#This Row],[Start Date and Time]]))</f>
        <v>0</v>
      </c>
    </row>
    <row r="2786" spans="1:14" x14ac:dyDescent="0.25">
      <c r="A2786" s="1"/>
      <c r="B2786" s="2" t="s">
        <v>2880</v>
      </c>
      <c r="C2786" s="2" t="s">
        <v>36</v>
      </c>
      <c r="D2786" s="2" t="s">
        <v>19</v>
      </c>
      <c r="E2786" s="7" t="s">
        <v>3534</v>
      </c>
      <c r="F2786" s="37">
        <v>42601.440972222219</v>
      </c>
      <c r="G2786" s="37">
        <v>42601.451388888891</v>
      </c>
      <c r="H2786" s="1" t="s">
        <v>6</v>
      </c>
      <c r="I2786" s="1" t="s">
        <v>38</v>
      </c>
      <c r="J2786" s="1">
        <v>42601.449756944443</v>
      </c>
      <c r="K2786" s="1" t="s">
        <v>36</v>
      </c>
      <c r="L2786" s="14">
        <f>24*(TblTimeSheet[[#This Row],[End Date and Time]]-TblTimeSheet[[#This Row],[Start Date and Time]])</f>
        <v>0.25000000011641532</v>
      </c>
      <c r="M27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6" s="14">
        <f>--(0&gt;(TblTimeSheet[[#This Row],[End Date and Time]]-TblTimeSheet[[#This Row],[Start Date and Time]]))</f>
        <v>0</v>
      </c>
    </row>
    <row r="2787" spans="1:14" x14ac:dyDescent="0.25">
      <c r="A2787" s="1"/>
      <c r="B2787" s="2" t="s">
        <v>2878</v>
      </c>
      <c r="C2787" s="2" t="s">
        <v>36</v>
      </c>
      <c r="D2787" s="2" t="s">
        <v>3261</v>
      </c>
      <c r="E2787" s="7" t="s">
        <v>3961</v>
      </c>
      <c r="F2787" s="37">
        <v>42601.381944444445</v>
      </c>
      <c r="G2787" s="37">
        <v>42601.4375</v>
      </c>
      <c r="H2787" s="1" t="s">
        <v>6</v>
      </c>
      <c r="I2787" s="1" t="s">
        <v>38</v>
      </c>
      <c r="J2787" s="1">
        <v>42601.593715277777</v>
      </c>
      <c r="K2787" s="1" t="s">
        <v>36</v>
      </c>
      <c r="L2787" s="14">
        <f>24*(TblTimeSheet[[#This Row],[End Date and Time]]-TblTimeSheet[[#This Row],[Start Date and Time]])</f>
        <v>1.3333333333139308</v>
      </c>
      <c r="M27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7" s="14">
        <f>--(0&gt;(TblTimeSheet[[#This Row],[End Date and Time]]-TblTimeSheet[[#This Row],[Start Date and Time]]))</f>
        <v>0</v>
      </c>
    </row>
    <row r="2788" spans="1:14" x14ac:dyDescent="0.25">
      <c r="A2788" s="1"/>
      <c r="B2788" s="2" t="s">
        <v>2878</v>
      </c>
      <c r="C2788" s="2" t="s">
        <v>36</v>
      </c>
      <c r="D2788" s="2" t="s">
        <v>3261</v>
      </c>
      <c r="E2788" s="7" t="s">
        <v>3535</v>
      </c>
      <c r="F2788" s="37">
        <v>42601.458333333336</v>
      </c>
      <c r="G2788" s="37">
        <v>42601.479166666664</v>
      </c>
      <c r="H2788" s="1" t="s">
        <v>6</v>
      </c>
      <c r="I2788" s="1" t="s">
        <v>38</v>
      </c>
      <c r="J2788" s="1">
        <v>42601.594525462962</v>
      </c>
      <c r="K2788" s="1" t="s">
        <v>36</v>
      </c>
      <c r="L2788" s="14">
        <f>24*(TblTimeSheet[[#This Row],[End Date and Time]]-TblTimeSheet[[#This Row],[Start Date and Time]])</f>
        <v>0.49999999988358468</v>
      </c>
      <c r="M27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8" s="14">
        <f>--(0&gt;(TblTimeSheet[[#This Row],[End Date and Time]]-TblTimeSheet[[#This Row],[Start Date and Time]]))</f>
        <v>0</v>
      </c>
    </row>
    <row r="2789" spans="1:14" x14ac:dyDescent="0.25">
      <c r="A2789" s="1"/>
      <c r="B2789" s="2" t="s">
        <v>2878</v>
      </c>
      <c r="C2789" s="2" t="s">
        <v>36</v>
      </c>
      <c r="D2789" s="2" t="s">
        <v>3261</v>
      </c>
      <c r="E2789" s="7" t="s">
        <v>3536</v>
      </c>
      <c r="F2789" s="37">
        <v>42601.5</v>
      </c>
      <c r="G2789" s="37">
        <v>42601.541666666664</v>
      </c>
      <c r="H2789" s="1" t="s">
        <v>6</v>
      </c>
      <c r="I2789" s="1" t="s">
        <v>38</v>
      </c>
      <c r="J2789" s="1">
        <v>42601.595046296294</v>
      </c>
      <c r="K2789" s="1" t="s">
        <v>36</v>
      </c>
      <c r="L2789" s="14">
        <f>24*(TblTimeSheet[[#This Row],[End Date and Time]]-TblTimeSheet[[#This Row],[Start Date and Time]])</f>
        <v>0.99999999994179234</v>
      </c>
      <c r="M27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89" s="14">
        <f>--(0&gt;(TblTimeSheet[[#This Row],[End Date and Time]]-TblTimeSheet[[#This Row],[Start Date and Time]]))</f>
        <v>0</v>
      </c>
    </row>
    <row r="2790" spans="1:14" ht="30" x14ac:dyDescent="0.25">
      <c r="A2790" s="1"/>
      <c r="B2790" s="2" t="s">
        <v>2878</v>
      </c>
      <c r="C2790" s="2" t="s">
        <v>36</v>
      </c>
      <c r="D2790" s="2" t="s">
        <v>3261</v>
      </c>
      <c r="E2790" s="7" t="s">
        <v>3962</v>
      </c>
      <c r="F2790" s="37">
        <v>42601.583333333336</v>
      </c>
      <c r="G2790" s="37">
        <v>42601.75</v>
      </c>
      <c r="H2790" s="1" t="s">
        <v>6</v>
      </c>
      <c r="I2790" s="1" t="s">
        <v>38</v>
      </c>
      <c r="J2790" s="1">
        <v>42602.386724537035</v>
      </c>
      <c r="K2790" s="1" t="s">
        <v>36</v>
      </c>
      <c r="L2790" s="14">
        <f>24*(TblTimeSheet[[#This Row],[End Date and Time]]-TblTimeSheet[[#This Row],[Start Date and Time]])</f>
        <v>3.9999999999417923</v>
      </c>
      <c r="M27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0" s="14">
        <f>--(0&gt;(TblTimeSheet[[#This Row],[End Date and Time]]-TblTimeSheet[[#This Row],[Start Date and Time]]))</f>
        <v>0</v>
      </c>
    </row>
    <row r="2791" spans="1:14" ht="30" x14ac:dyDescent="0.25">
      <c r="A2791" s="1"/>
      <c r="B2791" s="2" t="s">
        <v>2878</v>
      </c>
      <c r="C2791" s="2" t="s">
        <v>36</v>
      </c>
      <c r="D2791" s="2" t="s">
        <v>3261</v>
      </c>
      <c r="E2791" s="7" t="s">
        <v>3963</v>
      </c>
      <c r="F2791" s="37">
        <v>42602.381944444445</v>
      </c>
      <c r="G2791" s="37">
        <v>42602.541666666664</v>
      </c>
      <c r="H2791" s="1" t="s">
        <v>6</v>
      </c>
      <c r="I2791" s="1" t="s">
        <v>38</v>
      </c>
      <c r="J2791" s="1">
        <v>42602.597233796296</v>
      </c>
      <c r="K2791" s="1" t="s">
        <v>36</v>
      </c>
      <c r="L2791" s="14">
        <f>24*(TblTimeSheet[[#This Row],[End Date and Time]]-TblTimeSheet[[#This Row],[Start Date and Time]])</f>
        <v>3.8333333332557231</v>
      </c>
      <c r="M27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1" s="14">
        <f>--(0&gt;(TblTimeSheet[[#This Row],[End Date and Time]]-TblTimeSheet[[#This Row],[Start Date and Time]]))</f>
        <v>0</v>
      </c>
    </row>
    <row r="2792" spans="1:14" ht="45" x14ac:dyDescent="0.25">
      <c r="A2792" s="1"/>
      <c r="B2792" s="2" t="s">
        <v>2878</v>
      </c>
      <c r="C2792" s="2" t="s">
        <v>36</v>
      </c>
      <c r="D2792" s="2" t="s">
        <v>3261</v>
      </c>
      <c r="E2792" s="7" t="s">
        <v>3964</v>
      </c>
      <c r="F2792" s="37">
        <v>42604.381944444445</v>
      </c>
      <c r="G2792" s="37">
        <v>42604.541666666664</v>
      </c>
      <c r="H2792" s="1" t="s">
        <v>6</v>
      </c>
      <c r="I2792" s="1" t="s">
        <v>38</v>
      </c>
      <c r="J2792" s="1">
        <v>42604.605949074074</v>
      </c>
      <c r="K2792" s="1" t="s">
        <v>36</v>
      </c>
      <c r="L2792" s="14">
        <f>24*(TblTimeSheet[[#This Row],[End Date and Time]]-TblTimeSheet[[#This Row],[Start Date and Time]])</f>
        <v>3.8333333332557231</v>
      </c>
      <c r="M27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2" s="14">
        <f>--(0&gt;(TblTimeSheet[[#This Row],[End Date and Time]]-TblTimeSheet[[#This Row],[Start Date and Time]]))</f>
        <v>0</v>
      </c>
    </row>
    <row r="2793" spans="1:14" x14ac:dyDescent="0.25">
      <c r="A2793" s="1"/>
      <c r="B2793" s="2" t="s">
        <v>2880</v>
      </c>
      <c r="C2793" s="2" t="s">
        <v>116</v>
      </c>
      <c r="D2793" s="2" t="s">
        <v>19</v>
      </c>
      <c r="E2793" s="7" t="s">
        <v>3537</v>
      </c>
      <c r="F2793" s="37">
        <v>42604.583333333336</v>
      </c>
      <c r="G2793" s="37">
        <v>42604.611111111109</v>
      </c>
      <c r="H2793" s="1" t="s">
        <v>6</v>
      </c>
      <c r="I2793" s="1" t="s">
        <v>38</v>
      </c>
      <c r="J2793" s="1">
        <v>42604.619143518517</v>
      </c>
      <c r="K2793" s="1" t="s">
        <v>701</v>
      </c>
      <c r="L2793" s="14">
        <f>24*(TblTimeSheet[[#This Row],[End Date and Time]]-TblTimeSheet[[#This Row],[Start Date and Time]])</f>
        <v>0.6666666665696539</v>
      </c>
      <c r="M27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3" s="14">
        <f>--(0&gt;(TblTimeSheet[[#This Row],[End Date and Time]]-TblTimeSheet[[#This Row],[Start Date and Time]]))</f>
        <v>0</v>
      </c>
    </row>
    <row r="2794" spans="1:14" x14ac:dyDescent="0.25">
      <c r="A2794" s="1"/>
      <c r="B2794" s="2" t="s">
        <v>2880</v>
      </c>
      <c r="C2794" s="2" t="s">
        <v>36</v>
      </c>
      <c r="D2794" s="2" t="s">
        <v>19</v>
      </c>
      <c r="E2794" s="7" t="s">
        <v>3538</v>
      </c>
      <c r="F2794" s="37">
        <v>42604.645833333336</v>
      </c>
      <c r="G2794" s="37">
        <v>42604.649305555555</v>
      </c>
      <c r="H2794" s="1" t="s">
        <v>6</v>
      </c>
      <c r="I2794" s="1" t="s">
        <v>38</v>
      </c>
      <c r="J2794" s="1">
        <v>42604.648761574077</v>
      </c>
      <c r="K2794" s="1" t="s">
        <v>36</v>
      </c>
      <c r="L2794" s="14">
        <f>24*(TblTimeSheet[[#This Row],[End Date and Time]]-TblTimeSheet[[#This Row],[Start Date and Time]])</f>
        <v>8.3333333255723119E-2</v>
      </c>
      <c r="M27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794" s="14">
        <f>--(0&gt;(TblTimeSheet[[#This Row],[End Date and Time]]-TblTimeSheet[[#This Row],[Start Date and Time]]))</f>
        <v>0</v>
      </c>
    </row>
    <row r="2795" spans="1:14" x14ac:dyDescent="0.25">
      <c r="A2795" s="1"/>
      <c r="B2795" s="2" t="s">
        <v>2882</v>
      </c>
      <c r="C2795" s="2" t="s">
        <v>116</v>
      </c>
      <c r="D2795" s="2" t="s">
        <v>19</v>
      </c>
      <c r="E2795" s="7" t="s">
        <v>3539</v>
      </c>
      <c r="F2795" s="37">
        <v>42606.743055555555</v>
      </c>
      <c r="G2795" s="37">
        <v>42606.75</v>
      </c>
      <c r="H2795" s="1" t="s">
        <v>6</v>
      </c>
      <c r="I2795" s="1" t="s">
        <v>38</v>
      </c>
      <c r="J2795" s="1">
        <v>42607.391597222224</v>
      </c>
      <c r="K2795" s="1" t="s">
        <v>39</v>
      </c>
      <c r="L2795" s="14">
        <f>24*(TblTimeSheet[[#This Row],[End Date and Time]]-TblTimeSheet[[#This Row],[Start Date and Time]])</f>
        <v>0.16666666668606922</v>
      </c>
      <c r="M27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5" s="14">
        <f>--(0&gt;(TblTimeSheet[[#This Row],[End Date and Time]]-TblTimeSheet[[#This Row],[Start Date and Time]]))</f>
        <v>0</v>
      </c>
    </row>
    <row r="2796" spans="1:14" x14ac:dyDescent="0.25">
      <c r="A2796" s="1"/>
      <c r="B2796" s="2" t="s">
        <v>2882</v>
      </c>
      <c r="C2796" s="2" t="s">
        <v>36</v>
      </c>
      <c r="D2796" s="2" t="s">
        <v>19</v>
      </c>
      <c r="E2796" s="7" t="s">
        <v>3965</v>
      </c>
      <c r="F2796" s="37">
        <v>42606.715277777781</v>
      </c>
      <c r="G2796" s="37">
        <v>42606.71875</v>
      </c>
      <c r="H2796" s="1" t="s">
        <v>6</v>
      </c>
      <c r="I2796" s="1" t="s">
        <v>38</v>
      </c>
      <c r="J2796" s="1">
        <v>42607.402939814812</v>
      </c>
      <c r="K2796" s="1" t="s">
        <v>36</v>
      </c>
      <c r="L2796" s="14">
        <f>24*(TblTimeSheet[[#This Row],[End Date and Time]]-TblTimeSheet[[#This Row],[Start Date and Time]])</f>
        <v>8.3333333255723119E-2</v>
      </c>
      <c r="M27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6" s="14">
        <f>--(0&gt;(TblTimeSheet[[#This Row],[End Date and Time]]-TblTimeSheet[[#This Row],[Start Date and Time]]))</f>
        <v>0</v>
      </c>
    </row>
    <row r="2797" spans="1:14" x14ac:dyDescent="0.25">
      <c r="A2797" s="1"/>
      <c r="B2797" s="2" t="s">
        <v>2882</v>
      </c>
      <c r="C2797" s="2" t="s">
        <v>36</v>
      </c>
      <c r="D2797" s="2" t="s">
        <v>19</v>
      </c>
      <c r="E2797" s="7" t="s">
        <v>3966</v>
      </c>
      <c r="F2797" s="37">
        <v>42607.388888888891</v>
      </c>
      <c r="G2797" s="37">
        <v>42607.395833333336</v>
      </c>
      <c r="H2797" s="1" t="s">
        <v>6</v>
      </c>
      <c r="I2797" s="1" t="s">
        <v>38</v>
      </c>
      <c r="J2797" s="1">
        <v>42607.40388888889</v>
      </c>
      <c r="K2797" s="1" t="s">
        <v>36</v>
      </c>
      <c r="L2797" s="14">
        <f>24*(TblTimeSheet[[#This Row],[End Date and Time]]-TblTimeSheet[[#This Row],[Start Date and Time]])</f>
        <v>0.16666666668606922</v>
      </c>
      <c r="M27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7" s="14">
        <f>--(0&gt;(TblTimeSheet[[#This Row],[End Date and Time]]-TblTimeSheet[[#This Row],[Start Date and Time]]))</f>
        <v>0</v>
      </c>
    </row>
    <row r="2798" spans="1:14" x14ac:dyDescent="0.25">
      <c r="A2798" s="1"/>
      <c r="B2798" s="2" t="s">
        <v>2882</v>
      </c>
      <c r="C2798" s="2" t="s">
        <v>116</v>
      </c>
      <c r="D2798" s="2" t="s">
        <v>19</v>
      </c>
      <c r="E2798" s="7" t="s">
        <v>3540</v>
      </c>
      <c r="F2798" s="37">
        <v>42607.4375</v>
      </c>
      <c r="G2798" s="37">
        <v>42607.447916666664</v>
      </c>
      <c r="H2798" s="1" t="s">
        <v>6</v>
      </c>
      <c r="I2798" s="1" t="s">
        <v>38</v>
      </c>
      <c r="J2798" s="1">
        <v>42607.463333333333</v>
      </c>
      <c r="K2798" s="1" t="s">
        <v>701</v>
      </c>
      <c r="L2798" s="14">
        <f>24*(TblTimeSheet[[#This Row],[End Date and Time]]-TblTimeSheet[[#This Row],[Start Date and Time]])</f>
        <v>0.24999999994179234</v>
      </c>
      <c r="M27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8" s="14">
        <f>--(0&gt;(TblTimeSheet[[#This Row],[End Date and Time]]-TblTimeSheet[[#This Row],[Start Date and Time]]))</f>
        <v>0</v>
      </c>
    </row>
    <row r="2799" spans="1:14" x14ac:dyDescent="0.25">
      <c r="A2799" s="1"/>
      <c r="B2799" s="2" t="s">
        <v>2882</v>
      </c>
      <c r="C2799" s="2" t="s">
        <v>36</v>
      </c>
      <c r="D2799" s="2" t="s">
        <v>19</v>
      </c>
      <c r="E2799" s="7" t="s">
        <v>3530</v>
      </c>
      <c r="F2799" s="37">
        <v>42607.465277777781</v>
      </c>
      <c r="G2799" s="37">
        <v>42607.46875</v>
      </c>
      <c r="H2799" s="1" t="s">
        <v>6</v>
      </c>
      <c r="I2799" s="1" t="s">
        <v>38</v>
      </c>
      <c r="J2799" s="1">
        <v>42607.468009259261</v>
      </c>
      <c r="K2799" s="1" t="s">
        <v>36</v>
      </c>
      <c r="L2799" s="14">
        <f>24*(TblTimeSheet[[#This Row],[End Date and Time]]-TblTimeSheet[[#This Row],[Start Date and Time]])</f>
        <v>8.3333333255723119E-2</v>
      </c>
      <c r="M27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799" s="14">
        <f>--(0&gt;(TblTimeSheet[[#This Row],[End Date and Time]]-TblTimeSheet[[#This Row],[Start Date and Time]]))</f>
        <v>0</v>
      </c>
    </row>
    <row r="2800" spans="1:14" x14ac:dyDescent="0.25">
      <c r="A2800" s="1"/>
      <c r="B2800" s="2" t="s">
        <v>2882</v>
      </c>
      <c r="C2800" s="2" t="s">
        <v>36</v>
      </c>
      <c r="D2800" s="2" t="s">
        <v>19</v>
      </c>
      <c r="E2800" s="7" t="s">
        <v>3967</v>
      </c>
      <c r="F2800" s="37">
        <v>42608.631944444445</v>
      </c>
      <c r="G2800" s="37">
        <v>42608.645833333336</v>
      </c>
      <c r="H2800" s="1" t="s">
        <v>6</v>
      </c>
      <c r="I2800" s="1" t="s">
        <v>38</v>
      </c>
      <c r="J2800" s="1">
        <v>42608.653958333336</v>
      </c>
      <c r="K2800" s="1" t="s">
        <v>36</v>
      </c>
      <c r="L2800" s="14">
        <f>24*(TblTimeSheet[[#This Row],[End Date and Time]]-TblTimeSheet[[#This Row],[Start Date and Time]])</f>
        <v>0.33333333337213844</v>
      </c>
      <c r="M28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0" s="14">
        <f>--(0&gt;(TblTimeSheet[[#This Row],[End Date and Time]]-TblTimeSheet[[#This Row],[Start Date and Time]]))</f>
        <v>0</v>
      </c>
    </row>
    <row r="2801" spans="1:14" x14ac:dyDescent="0.25">
      <c r="A2801" s="1"/>
      <c r="B2801" s="2" t="s">
        <v>2878</v>
      </c>
      <c r="C2801" s="2" t="s">
        <v>36</v>
      </c>
      <c r="D2801" s="2" t="s">
        <v>3261</v>
      </c>
      <c r="E2801" s="7" t="s">
        <v>3541</v>
      </c>
      <c r="F2801" s="37">
        <v>42604.583333333336</v>
      </c>
      <c r="G2801" s="37">
        <v>42604.642361111109</v>
      </c>
      <c r="H2801" s="1" t="s">
        <v>6</v>
      </c>
      <c r="I2801" s="1" t="s">
        <v>38</v>
      </c>
      <c r="J2801" s="1">
        <v>42608.680925925924</v>
      </c>
      <c r="K2801" s="1" t="s">
        <v>36</v>
      </c>
      <c r="L2801" s="14">
        <f>24*(TblTimeSheet[[#This Row],[End Date and Time]]-TblTimeSheet[[#This Row],[Start Date and Time]])</f>
        <v>1.4166666665696539</v>
      </c>
      <c r="M28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01" s="14">
        <f>--(0&gt;(TblTimeSheet[[#This Row],[End Date and Time]]-TblTimeSheet[[#This Row],[Start Date and Time]]))</f>
        <v>0</v>
      </c>
    </row>
    <row r="2802" spans="1:14" x14ac:dyDescent="0.25">
      <c r="A2802" s="1"/>
      <c r="B2802" s="2" t="s">
        <v>2878</v>
      </c>
      <c r="C2802" s="2" t="s">
        <v>36</v>
      </c>
      <c r="D2802" s="2" t="s">
        <v>3261</v>
      </c>
      <c r="E2802" s="7" t="s">
        <v>3541</v>
      </c>
      <c r="F2802" s="37">
        <v>42604.65625</v>
      </c>
      <c r="G2802" s="37">
        <v>42604.729166666664</v>
      </c>
      <c r="H2802" s="1" t="s">
        <v>6</v>
      </c>
      <c r="I2802" s="1" t="s">
        <v>38</v>
      </c>
      <c r="J2802" s="1">
        <v>42608.681539351855</v>
      </c>
      <c r="K2802" s="1" t="s">
        <v>36</v>
      </c>
      <c r="L2802" s="14">
        <f>24*(TblTimeSheet[[#This Row],[End Date and Time]]-TblTimeSheet[[#This Row],[Start Date and Time]])</f>
        <v>1.7499999999417923</v>
      </c>
      <c r="M28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02" s="14">
        <f>--(0&gt;(TblTimeSheet[[#This Row],[End Date and Time]]-TblTimeSheet[[#This Row],[Start Date and Time]]))</f>
        <v>0</v>
      </c>
    </row>
    <row r="2803" spans="1:14" x14ac:dyDescent="0.25">
      <c r="A2803" s="1"/>
      <c r="B2803" s="2" t="s">
        <v>2878</v>
      </c>
      <c r="C2803" s="2" t="s">
        <v>36</v>
      </c>
      <c r="D2803" s="2" t="s">
        <v>3261</v>
      </c>
      <c r="E2803" s="7" t="s">
        <v>3542</v>
      </c>
      <c r="F2803" s="37">
        <v>42605.378472222219</v>
      </c>
      <c r="G2803" s="37">
        <v>42605.416666666664</v>
      </c>
      <c r="H2803" s="1" t="s">
        <v>6</v>
      </c>
      <c r="I2803" s="1" t="s">
        <v>38</v>
      </c>
      <c r="J2803" s="1">
        <v>42608.683136574073</v>
      </c>
      <c r="K2803" s="1" t="s">
        <v>36</v>
      </c>
      <c r="L2803" s="14">
        <f>24*(TblTimeSheet[[#This Row],[End Date and Time]]-TblTimeSheet[[#This Row],[Start Date and Time]])</f>
        <v>0.91666666668606922</v>
      </c>
      <c r="M28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3" s="14">
        <f>--(0&gt;(TblTimeSheet[[#This Row],[End Date and Time]]-TblTimeSheet[[#This Row],[Start Date and Time]]))</f>
        <v>0</v>
      </c>
    </row>
    <row r="2804" spans="1:14" x14ac:dyDescent="0.25">
      <c r="A2804" s="1"/>
      <c r="B2804" s="2" t="s">
        <v>2878</v>
      </c>
      <c r="C2804" s="2" t="s">
        <v>36</v>
      </c>
      <c r="D2804" s="2" t="s">
        <v>3261</v>
      </c>
      <c r="E2804" s="7" t="s">
        <v>3543</v>
      </c>
      <c r="F2804" s="37">
        <v>42604.625</v>
      </c>
      <c r="G2804" s="37">
        <v>42604.708333333336</v>
      </c>
      <c r="H2804" s="1" t="s">
        <v>6</v>
      </c>
      <c r="I2804" s="1" t="s">
        <v>38</v>
      </c>
      <c r="J2804" s="1">
        <v>42608.684236111112</v>
      </c>
      <c r="K2804" s="1" t="s">
        <v>36</v>
      </c>
      <c r="L2804" s="14">
        <f>24*(TblTimeSheet[[#This Row],[End Date and Time]]-TblTimeSheet[[#This Row],[Start Date and Time]])</f>
        <v>2.0000000000582077</v>
      </c>
      <c r="M28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04" s="14">
        <f>--(0&gt;(TblTimeSheet[[#This Row],[End Date and Time]]-TblTimeSheet[[#This Row],[Start Date and Time]]))</f>
        <v>0</v>
      </c>
    </row>
    <row r="2805" spans="1:14" x14ac:dyDescent="0.25">
      <c r="A2805" s="1"/>
      <c r="B2805" s="2" t="s">
        <v>2878</v>
      </c>
      <c r="C2805" s="2" t="s">
        <v>36</v>
      </c>
      <c r="D2805" s="2" t="s">
        <v>3261</v>
      </c>
      <c r="E2805" s="7" t="s">
        <v>3544</v>
      </c>
      <c r="F2805" s="37">
        <v>42606.381944444445</v>
      </c>
      <c r="G2805" s="37">
        <v>42606.541666666664</v>
      </c>
      <c r="H2805" s="1" t="s">
        <v>6</v>
      </c>
      <c r="I2805" s="1" t="s">
        <v>38</v>
      </c>
      <c r="J2805" s="1">
        <v>42608.704884259256</v>
      </c>
      <c r="K2805" s="1" t="s">
        <v>36</v>
      </c>
      <c r="L2805" s="14">
        <f>24*(TblTimeSheet[[#This Row],[End Date and Time]]-TblTimeSheet[[#This Row],[Start Date and Time]])</f>
        <v>3.8333333332557231</v>
      </c>
      <c r="M28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5" s="14">
        <f>--(0&gt;(TblTimeSheet[[#This Row],[End Date and Time]]-TblTimeSheet[[#This Row],[Start Date and Time]]))</f>
        <v>0</v>
      </c>
    </row>
    <row r="2806" spans="1:14" x14ac:dyDescent="0.25">
      <c r="A2806" s="1"/>
      <c r="B2806" s="2" t="s">
        <v>2878</v>
      </c>
      <c r="C2806" s="2" t="s">
        <v>36</v>
      </c>
      <c r="D2806" s="2" t="s">
        <v>3261</v>
      </c>
      <c r="E2806" s="7" t="s">
        <v>3544</v>
      </c>
      <c r="F2806" s="37">
        <v>42606.583333333336</v>
      </c>
      <c r="G2806" s="37">
        <v>42606.666666666664</v>
      </c>
      <c r="H2806" s="1" t="s">
        <v>6</v>
      </c>
      <c r="I2806" s="1" t="s">
        <v>38</v>
      </c>
      <c r="J2806" s="1">
        <v>42608.705138888887</v>
      </c>
      <c r="K2806" s="1" t="s">
        <v>36</v>
      </c>
      <c r="L2806" s="14">
        <f>24*(TblTimeSheet[[#This Row],[End Date and Time]]-TblTimeSheet[[#This Row],[Start Date and Time]])</f>
        <v>1.9999999998835847</v>
      </c>
      <c r="M28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6" s="14">
        <f>--(0&gt;(TblTimeSheet[[#This Row],[End Date and Time]]-TblTimeSheet[[#This Row],[Start Date and Time]]))</f>
        <v>0</v>
      </c>
    </row>
    <row r="2807" spans="1:14" x14ac:dyDescent="0.25">
      <c r="A2807" s="1"/>
      <c r="B2807" s="2" t="s">
        <v>2878</v>
      </c>
      <c r="C2807" s="2" t="s">
        <v>36</v>
      </c>
      <c r="D2807" s="2" t="s">
        <v>3261</v>
      </c>
      <c r="E2807" s="7" t="s">
        <v>3544</v>
      </c>
      <c r="F2807" s="37">
        <v>42607.583333333336</v>
      </c>
      <c r="G2807" s="37">
        <v>42607.729166666664</v>
      </c>
      <c r="H2807" s="1" t="s">
        <v>6</v>
      </c>
      <c r="I2807" s="1" t="s">
        <v>38</v>
      </c>
      <c r="J2807" s="1">
        <v>42608.706053240741</v>
      </c>
      <c r="K2807" s="1" t="s">
        <v>36</v>
      </c>
      <c r="L2807" s="14">
        <f>24*(TblTimeSheet[[#This Row],[End Date and Time]]-TblTimeSheet[[#This Row],[Start Date and Time]])</f>
        <v>3.4999999998835847</v>
      </c>
      <c r="M28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7" s="14">
        <f>--(0&gt;(TblTimeSheet[[#This Row],[End Date and Time]]-TblTimeSheet[[#This Row],[Start Date and Time]]))</f>
        <v>0</v>
      </c>
    </row>
    <row r="2808" spans="1:14" x14ac:dyDescent="0.25">
      <c r="A2808" s="1"/>
      <c r="B2808" s="2" t="s">
        <v>2878</v>
      </c>
      <c r="C2808" s="2" t="s">
        <v>36</v>
      </c>
      <c r="D2808" s="2" t="s">
        <v>3261</v>
      </c>
      <c r="E2808" s="7" t="s">
        <v>3545</v>
      </c>
      <c r="F2808" s="37">
        <v>42608.458333333336</v>
      </c>
      <c r="G2808" s="37">
        <v>42608.590277777781</v>
      </c>
      <c r="H2808" s="1" t="s">
        <v>6</v>
      </c>
      <c r="I2808" s="1" t="s">
        <v>38</v>
      </c>
      <c r="J2808" s="1">
        <v>42608.707071759258</v>
      </c>
      <c r="K2808" s="1" t="s">
        <v>36</v>
      </c>
      <c r="L2808" s="14">
        <f>24*(TblTimeSheet[[#This Row],[End Date and Time]]-TblTimeSheet[[#This Row],[Start Date and Time]])</f>
        <v>3.1666666666860692</v>
      </c>
      <c r="M28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8" s="14">
        <f>--(0&gt;(TblTimeSheet[[#This Row],[End Date and Time]]-TblTimeSheet[[#This Row],[Start Date and Time]]))</f>
        <v>0</v>
      </c>
    </row>
    <row r="2809" spans="1:14" ht="30" x14ac:dyDescent="0.25">
      <c r="A2809" s="1"/>
      <c r="B2809" s="2" t="s">
        <v>2878</v>
      </c>
      <c r="C2809" s="2" t="s">
        <v>36</v>
      </c>
      <c r="D2809" s="2" t="s">
        <v>3261</v>
      </c>
      <c r="E2809" s="7" t="s">
        <v>3968</v>
      </c>
      <c r="F2809" s="37">
        <v>42608.65625</v>
      </c>
      <c r="G2809" s="37">
        <v>42608.739583333336</v>
      </c>
      <c r="H2809" s="1" t="s">
        <v>6</v>
      </c>
      <c r="I2809" s="1" t="s">
        <v>38</v>
      </c>
      <c r="J2809" s="1">
        <v>42608.739386574074</v>
      </c>
      <c r="K2809" s="1" t="s">
        <v>36</v>
      </c>
      <c r="L2809" s="14">
        <f>24*(TblTimeSheet[[#This Row],[End Date and Time]]-TblTimeSheet[[#This Row],[Start Date and Time]])</f>
        <v>2.0000000000582077</v>
      </c>
      <c r="M28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09" s="14">
        <f>--(0&gt;(TblTimeSheet[[#This Row],[End Date and Time]]-TblTimeSheet[[#This Row],[Start Date and Time]]))</f>
        <v>0</v>
      </c>
    </row>
    <row r="2810" spans="1:14" x14ac:dyDescent="0.25">
      <c r="A2810" s="1"/>
      <c r="B2810" s="2" t="s">
        <v>2882</v>
      </c>
      <c r="C2810" s="2" t="s">
        <v>116</v>
      </c>
      <c r="D2810" s="2" t="s">
        <v>19</v>
      </c>
      <c r="E2810" s="7" t="s">
        <v>3546</v>
      </c>
      <c r="F2810" s="37">
        <v>42608.75</v>
      </c>
      <c r="G2810" s="37">
        <v>42608.770833333336</v>
      </c>
      <c r="H2810" s="1" t="s">
        <v>6</v>
      </c>
      <c r="I2810" s="1" t="s">
        <v>38</v>
      </c>
      <c r="J2810" s="1">
        <v>42609.386712962965</v>
      </c>
      <c r="K2810" s="1" t="s">
        <v>701</v>
      </c>
      <c r="L2810" s="14">
        <f>24*(TblTimeSheet[[#This Row],[End Date and Time]]-TblTimeSheet[[#This Row],[Start Date and Time]])</f>
        <v>0.50000000005820766</v>
      </c>
      <c r="M281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0" s="14">
        <f>--(0&gt;(TblTimeSheet[[#This Row],[End Date and Time]]-TblTimeSheet[[#This Row],[Start Date and Time]]))</f>
        <v>0</v>
      </c>
    </row>
    <row r="2811" spans="1:14" x14ac:dyDescent="0.25">
      <c r="A2811" s="1"/>
      <c r="B2811" s="2" t="s">
        <v>2882</v>
      </c>
      <c r="C2811" s="2" t="s">
        <v>36</v>
      </c>
      <c r="D2811" s="2" t="s">
        <v>19</v>
      </c>
      <c r="E2811" s="7" t="s">
        <v>3547</v>
      </c>
      <c r="F2811" s="37">
        <v>42611.743055555555</v>
      </c>
      <c r="G2811" s="37">
        <v>42611.746527777781</v>
      </c>
      <c r="H2811" s="1" t="s">
        <v>6</v>
      </c>
      <c r="I2811" s="1" t="s">
        <v>38</v>
      </c>
      <c r="J2811" s="1">
        <v>42611.749016203707</v>
      </c>
      <c r="K2811" s="1" t="s">
        <v>36</v>
      </c>
      <c r="L2811" s="14">
        <f>24*(TblTimeSheet[[#This Row],[End Date and Time]]-TblTimeSheet[[#This Row],[Start Date and Time]])</f>
        <v>8.3333333430346102E-2</v>
      </c>
      <c r="M281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1" s="14">
        <f>--(0&gt;(TblTimeSheet[[#This Row],[End Date and Time]]-TblTimeSheet[[#This Row],[Start Date and Time]]))</f>
        <v>0</v>
      </c>
    </row>
    <row r="2812" spans="1:14" x14ac:dyDescent="0.25">
      <c r="A2812" s="1"/>
      <c r="B2812" s="2" t="s">
        <v>2882</v>
      </c>
      <c r="C2812" s="2" t="s">
        <v>116</v>
      </c>
      <c r="D2812" s="2" t="s">
        <v>19</v>
      </c>
      <c r="E2812" s="7" t="s">
        <v>3548</v>
      </c>
      <c r="F2812" s="37">
        <v>42611.708333333336</v>
      </c>
      <c r="G2812" s="37">
        <v>42611.71875</v>
      </c>
      <c r="H2812" s="1" t="s">
        <v>6</v>
      </c>
      <c r="I2812" s="1" t="s">
        <v>38</v>
      </c>
      <c r="J2812" s="1">
        <v>42612.442777777775</v>
      </c>
      <c r="K2812" s="1" t="s">
        <v>701</v>
      </c>
      <c r="L2812" s="14">
        <f>24*(TblTimeSheet[[#This Row],[End Date and Time]]-TblTimeSheet[[#This Row],[Start Date and Time]])</f>
        <v>0.24999999994179234</v>
      </c>
      <c r="M281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2" s="14">
        <f>--(0&gt;(TblTimeSheet[[#This Row],[End Date and Time]]-TblTimeSheet[[#This Row],[Start Date and Time]]))</f>
        <v>0</v>
      </c>
    </row>
    <row r="2813" spans="1:14" x14ac:dyDescent="0.25">
      <c r="A2813" s="1"/>
      <c r="B2813" s="2" t="s">
        <v>2882</v>
      </c>
      <c r="C2813" s="2" t="s">
        <v>116</v>
      </c>
      <c r="D2813" s="2" t="s">
        <v>19</v>
      </c>
      <c r="E2813" s="7" t="s">
        <v>3549</v>
      </c>
      <c r="F2813" s="37">
        <v>42611.729166666664</v>
      </c>
      <c r="G2813" s="37">
        <v>42611.743055555555</v>
      </c>
      <c r="H2813" s="1" t="s">
        <v>6</v>
      </c>
      <c r="I2813" s="1" t="s">
        <v>38</v>
      </c>
      <c r="J2813" s="1">
        <v>42612.443842592591</v>
      </c>
      <c r="K2813" s="1" t="s">
        <v>701</v>
      </c>
      <c r="L2813" s="14">
        <f>24*(TblTimeSheet[[#This Row],[End Date and Time]]-TblTimeSheet[[#This Row],[Start Date and Time]])</f>
        <v>0.33333333337213844</v>
      </c>
      <c r="M281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3" s="14">
        <f>--(0&gt;(TblTimeSheet[[#This Row],[End Date and Time]]-TblTimeSheet[[#This Row],[Start Date and Time]]))</f>
        <v>0</v>
      </c>
    </row>
    <row r="2814" spans="1:14" x14ac:dyDescent="0.25">
      <c r="A2814" s="1"/>
      <c r="B2814" s="2" t="s">
        <v>2882</v>
      </c>
      <c r="C2814" s="2" t="s">
        <v>116</v>
      </c>
      <c r="D2814" s="2" t="s">
        <v>19</v>
      </c>
      <c r="E2814" s="7" t="s">
        <v>3550</v>
      </c>
      <c r="F2814" s="37">
        <v>42611.75</v>
      </c>
      <c r="G2814" s="37">
        <v>42611.760416666664</v>
      </c>
      <c r="H2814" s="1" t="s">
        <v>6</v>
      </c>
      <c r="I2814" s="1" t="s">
        <v>38</v>
      </c>
      <c r="J2814" s="1">
        <v>42612.444710648146</v>
      </c>
      <c r="K2814" s="1" t="s">
        <v>701</v>
      </c>
      <c r="L2814" s="14">
        <f>24*(TblTimeSheet[[#This Row],[End Date and Time]]-TblTimeSheet[[#This Row],[Start Date and Time]])</f>
        <v>0.24999999994179234</v>
      </c>
      <c r="M281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4" s="14">
        <f>--(0&gt;(TblTimeSheet[[#This Row],[End Date and Time]]-TblTimeSheet[[#This Row],[Start Date and Time]]))</f>
        <v>0</v>
      </c>
    </row>
    <row r="2815" spans="1:14" x14ac:dyDescent="0.25">
      <c r="A2815" s="1"/>
      <c r="B2815" s="2" t="s">
        <v>2882</v>
      </c>
      <c r="C2815" s="2" t="s">
        <v>116</v>
      </c>
      <c r="D2815" s="2" t="s">
        <v>19</v>
      </c>
      <c r="E2815" s="7" t="s">
        <v>3551</v>
      </c>
      <c r="F2815" s="37">
        <v>42612.479166666664</v>
      </c>
      <c r="G2815" s="37">
        <v>42612.541666666664</v>
      </c>
      <c r="H2815" s="1" t="s">
        <v>6</v>
      </c>
      <c r="I2815" s="1" t="s">
        <v>38</v>
      </c>
      <c r="J2815" s="1">
        <v>42612.599629629629</v>
      </c>
      <c r="K2815" s="1" t="s">
        <v>701</v>
      </c>
      <c r="L2815" s="14">
        <f>24*(TblTimeSheet[[#This Row],[End Date and Time]]-TblTimeSheet[[#This Row],[Start Date and Time]])</f>
        <v>1.5</v>
      </c>
      <c r="M281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5" s="14">
        <f>--(0&gt;(TblTimeSheet[[#This Row],[End Date and Time]]-TblTimeSheet[[#This Row],[Start Date and Time]]))</f>
        <v>0</v>
      </c>
    </row>
    <row r="2816" spans="1:14" x14ac:dyDescent="0.25">
      <c r="A2816" s="1"/>
      <c r="B2816" s="2" t="s">
        <v>2882</v>
      </c>
      <c r="C2816" s="2" t="s">
        <v>36</v>
      </c>
      <c r="D2816" s="2" t="s">
        <v>19</v>
      </c>
      <c r="E2816" s="7" t="s">
        <v>3552</v>
      </c>
      <c r="F2816" s="37">
        <v>42612.604166666664</v>
      </c>
      <c r="G2816" s="37">
        <v>42612.614583333336</v>
      </c>
      <c r="H2816" s="1" t="s">
        <v>6</v>
      </c>
      <c r="I2816" s="1" t="s">
        <v>38</v>
      </c>
      <c r="J2816" s="1">
        <v>42612.614525462966</v>
      </c>
      <c r="K2816" s="1" t="s">
        <v>36</v>
      </c>
      <c r="L2816" s="14">
        <f>24*(TblTimeSheet[[#This Row],[End Date and Time]]-TblTimeSheet[[#This Row],[Start Date and Time]])</f>
        <v>0.25000000011641532</v>
      </c>
      <c r="M281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6" s="14">
        <f>--(0&gt;(TblTimeSheet[[#This Row],[End Date and Time]]-TblTimeSheet[[#This Row],[Start Date and Time]]))</f>
        <v>0</v>
      </c>
    </row>
    <row r="2817" spans="1:14" x14ac:dyDescent="0.25">
      <c r="A2817" s="1"/>
      <c r="B2817" s="2" t="s">
        <v>2882</v>
      </c>
      <c r="C2817" s="2" t="s">
        <v>43</v>
      </c>
      <c r="D2817" s="2" t="s">
        <v>19</v>
      </c>
      <c r="E2817" s="7" t="s">
        <v>3553</v>
      </c>
      <c r="F2817" s="37">
        <v>42612.625</v>
      </c>
      <c r="G2817" s="37">
        <v>42612.666666666664</v>
      </c>
      <c r="H2817" s="1" t="s">
        <v>6</v>
      </c>
      <c r="I2817" s="1" t="s">
        <v>38</v>
      </c>
      <c r="J2817" s="1">
        <v>42612.674687500003</v>
      </c>
      <c r="K2817" s="1" t="s">
        <v>43</v>
      </c>
      <c r="L2817" s="14">
        <f>24*(TblTimeSheet[[#This Row],[End Date and Time]]-TblTimeSheet[[#This Row],[Start Date and Time]])</f>
        <v>0.99999999994179234</v>
      </c>
      <c r="M281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7" s="14">
        <f>--(0&gt;(TblTimeSheet[[#This Row],[End Date and Time]]-TblTimeSheet[[#This Row],[Start Date and Time]]))</f>
        <v>0</v>
      </c>
    </row>
    <row r="2818" spans="1:14" x14ac:dyDescent="0.25">
      <c r="A2818" s="1"/>
      <c r="B2818" s="2" t="s">
        <v>2882</v>
      </c>
      <c r="C2818" s="2" t="s">
        <v>78</v>
      </c>
      <c r="D2818" s="2" t="s">
        <v>19</v>
      </c>
      <c r="E2818" s="7" t="s">
        <v>3554</v>
      </c>
      <c r="F2818" s="37">
        <v>42612.625</v>
      </c>
      <c r="G2818" s="37">
        <v>42612.666666666664</v>
      </c>
      <c r="H2818" s="1" t="s">
        <v>6</v>
      </c>
      <c r="I2818" s="1" t="s">
        <v>38</v>
      </c>
      <c r="J2818" s="1">
        <v>42613.390173611115</v>
      </c>
      <c r="K2818" s="1" t="s">
        <v>78</v>
      </c>
      <c r="L2818" s="14">
        <f>24*(TblTimeSheet[[#This Row],[End Date and Time]]-TblTimeSheet[[#This Row],[Start Date and Time]])</f>
        <v>0.99999999994179234</v>
      </c>
      <c r="M281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8" s="14">
        <f>--(0&gt;(TblTimeSheet[[#This Row],[End Date and Time]]-TblTimeSheet[[#This Row],[Start Date and Time]]))</f>
        <v>0</v>
      </c>
    </row>
    <row r="2819" spans="1:14" x14ac:dyDescent="0.25">
      <c r="A2819" s="1"/>
      <c r="B2819" s="2" t="s">
        <v>2882</v>
      </c>
      <c r="C2819" s="2" t="s">
        <v>36</v>
      </c>
      <c r="D2819" s="2" t="s">
        <v>19</v>
      </c>
      <c r="E2819" s="7" t="s">
        <v>3555</v>
      </c>
      <c r="F2819" s="37">
        <v>42613.618055555555</v>
      </c>
      <c r="G2819" s="37">
        <v>42613.625</v>
      </c>
      <c r="H2819" s="1" t="s">
        <v>6</v>
      </c>
      <c r="I2819" s="1" t="s">
        <v>38</v>
      </c>
      <c r="J2819" s="1">
        <v>42613.626805555556</v>
      </c>
      <c r="K2819" s="1" t="s">
        <v>36</v>
      </c>
      <c r="L2819" s="14">
        <f>24*(TblTimeSheet[[#This Row],[End Date and Time]]-TblTimeSheet[[#This Row],[Start Date and Time]])</f>
        <v>0.16666666668606922</v>
      </c>
      <c r="M281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19" s="14">
        <f>--(0&gt;(TblTimeSheet[[#This Row],[End Date and Time]]-TblTimeSheet[[#This Row],[Start Date and Time]]))</f>
        <v>0</v>
      </c>
    </row>
    <row r="2820" spans="1:14" x14ac:dyDescent="0.25">
      <c r="A2820" s="1"/>
      <c r="B2820" s="2" t="s">
        <v>2882</v>
      </c>
      <c r="C2820" s="2" t="s">
        <v>1105</v>
      </c>
      <c r="D2820" s="2" t="s">
        <v>19</v>
      </c>
      <c r="E2820" s="7" t="s">
        <v>3556</v>
      </c>
      <c r="F2820" s="37">
        <v>42613.604166666664</v>
      </c>
      <c r="G2820" s="37">
        <v>42613.625</v>
      </c>
      <c r="H2820" s="1" t="s">
        <v>6</v>
      </c>
      <c r="I2820" s="1" t="s">
        <v>38</v>
      </c>
      <c r="J2820" s="1">
        <v>42613.632002314815</v>
      </c>
      <c r="K2820" s="1" t="s">
        <v>2864</v>
      </c>
      <c r="L2820" s="14">
        <f>24*(TblTimeSheet[[#This Row],[End Date and Time]]-TblTimeSheet[[#This Row],[Start Date and Time]])</f>
        <v>0.50000000005820766</v>
      </c>
      <c r="M282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0" s="14">
        <f>--(0&gt;(TblTimeSheet[[#This Row],[End Date and Time]]-TblTimeSheet[[#This Row],[Start Date and Time]]))</f>
        <v>0</v>
      </c>
    </row>
    <row r="2821" spans="1:14" x14ac:dyDescent="0.25">
      <c r="A2821" s="1"/>
      <c r="B2821" s="2" t="s">
        <v>2882</v>
      </c>
      <c r="C2821" s="2" t="s">
        <v>36</v>
      </c>
      <c r="D2821" s="2" t="s">
        <v>20</v>
      </c>
      <c r="E2821" s="7" t="s">
        <v>3557</v>
      </c>
      <c r="F2821" s="37">
        <v>42613.638888888891</v>
      </c>
      <c r="G2821" s="37">
        <v>42613.652777777781</v>
      </c>
      <c r="H2821" s="1" t="s">
        <v>6</v>
      </c>
      <c r="I2821" s="1" t="s">
        <v>38</v>
      </c>
      <c r="J2821" s="1">
        <v>42613.652986111112</v>
      </c>
      <c r="K2821" s="1" t="s">
        <v>36</v>
      </c>
      <c r="L2821" s="14">
        <f>24*(TblTimeSheet[[#This Row],[End Date and Time]]-TblTimeSheet[[#This Row],[Start Date and Time]])</f>
        <v>0.33333333337213844</v>
      </c>
      <c r="M282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1" s="14">
        <f>--(0&gt;(TblTimeSheet[[#This Row],[End Date and Time]]-TblTimeSheet[[#This Row],[Start Date and Time]]))</f>
        <v>0</v>
      </c>
    </row>
    <row r="2822" spans="1:14" x14ac:dyDescent="0.25">
      <c r="A2822" s="1"/>
      <c r="B2822" s="2" t="s">
        <v>2882</v>
      </c>
      <c r="C2822" s="2" t="s">
        <v>36</v>
      </c>
      <c r="D2822" s="2" t="s">
        <v>20</v>
      </c>
      <c r="E2822" s="7" t="s">
        <v>3558</v>
      </c>
      <c r="F2822" s="37">
        <v>42613.659722222219</v>
      </c>
      <c r="G2822" s="37">
        <v>42613.663194444445</v>
      </c>
      <c r="H2822" s="1" t="s">
        <v>6</v>
      </c>
      <c r="I2822" s="1" t="s">
        <v>38</v>
      </c>
      <c r="J2822" s="1">
        <v>42613.662638888891</v>
      </c>
      <c r="K2822" s="1" t="s">
        <v>36</v>
      </c>
      <c r="L2822" s="14">
        <f>24*(TblTimeSheet[[#This Row],[End Date and Time]]-TblTimeSheet[[#This Row],[Start Date and Time]])</f>
        <v>8.3333333430346102E-2</v>
      </c>
      <c r="M282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2" s="14">
        <f>--(0&gt;(TblTimeSheet[[#This Row],[End Date and Time]]-TblTimeSheet[[#This Row],[Start Date and Time]]))</f>
        <v>0</v>
      </c>
    </row>
    <row r="2823" spans="1:14" x14ac:dyDescent="0.25">
      <c r="A2823" s="1"/>
      <c r="B2823" s="2" t="s">
        <v>2882</v>
      </c>
      <c r="C2823" s="2" t="s">
        <v>1105</v>
      </c>
      <c r="D2823" s="2" t="s">
        <v>20</v>
      </c>
      <c r="E2823" s="7" t="s">
        <v>3559</v>
      </c>
      <c r="F2823" s="37">
        <v>42613.659722222219</v>
      </c>
      <c r="G2823" s="37">
        <v>42613.663194444445</v>
      </c>
      <c r="H2823" s="1" t="s">
        <v>6</v>
      </c>
      <c r="I2823" s="1" t="s">
        <v>38</v>
      </c>
      <c r="J2823" s="1">
        <v>42613.674351851849</v>
      </c>
      <c r="K2823" s="1" t="s">
        <v>2864</v>
      </c>
      <c r="L2823" s="14">
        <f>24*(TblTimeSheet[[#This Row],[End Date and Time]]-TblTimeSheet[[#This Row],[Start Date and Time]])</f>
        <v>8.3333333430346102E-2</v>
      </c>
      <c r="M282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3" s="14">
        <f>--(0&gt;(TblTimeSheet[[#This Row],[End Date and Time]]-TblTimeSheet[[#This Row],[Start Date and Time]]))</f>
        <v>0</v>
      </c>
    </row>
    <row r="2824" spans="1:14" x14ac:dyDescent="0.25">
      <c r="A2824" s="1"/>
      <c r="B2824" s="2" t="s">
        <v>2882</v>
      </c>
      <c r="C2824" s="2" t="s">
        <v>36</v>
      </c>
      <c r="D2824" s="2" t="s">
        <v>20</v>
      </c>
      <c r="E2824" s="7" t="s">
        <v>3560</v>
      </c>
      <c r="F2824" s="37">
        <v>42613.673611111109</v>
      </c>
      <c r="G2824" s="37">
        <v>42613.680555555555</v>
      </c>
      <c r="H2824" s="1" t="s">
        <v>6</v>
      </c>
      <c r="I2824" s="1" t="s">
        <v>38</v>
      </c>
      <c r="J2824" s="1">
        <v>42613.776574074072</v>
      </c>
      <c r="K2824" s="1" t="s">
        <v>36</v>
      </c>
      <c r="L2824" s="14">
        <f>24*(TblTimeSheet[[#This Row],[End Date and Time]]-TblTimeSheet[[#This Row],[Start Date and Time]])</f>
        <v>0.16666666668606922</v>
      </c>
      <c r="M282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4" s="14">
        <f>--(0&gt;(TblTimeSheet[[#This Row],[End Date and Time]]-TblTimeSheet[[#This Row],[Start Date and Time]]))</f>
        <v>0</v>
      </c>
    </row>
    <row r="2825" spans="1:14" ht="30" x14ac:dyDescent="0.25">
      <c r="A2825" s="1"/>
      <c r="B2825" s="2" t="s">
        <v>2882</v>
      </c>
      <c r="C2825" s="2" t="s">
        <v>78</v>
      </c>
      <c r="D2825" s="2" t="s">
        <v>20</v>
      </c>
      <c r="E2825" s="7" t="s">
        <v>3969</v>
      </c>
      <c r="F2825" s="37">
        <v>42614.385416666664</v>
      </c>
      <c r="G2825" s="37">
        <v>42614.392361111109</v>
      </c>
      <c r="H2825" s="1" t="s">
        <v>6</v>
      </c>
      <c r="I2825" s="1" t="s">
        <v>38</v>
      </c>
      <c r="J2825" s="1">
        <v>42614.395451388889</v>
      </c>
      <c r="K2825" s="1" t="s">
        <v>78</v>
      </c>
      <c r="L2825" s="14">
        <f>24*(TblTimeSheet[[#This Row],[End Date and Time]]-TblTimeSheet[[#This Row],[Start Date and Time]])</f>
        <v>0.16666666668606922</v>
      </c>
      <c r="M282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5" s="14">
        <f>--(0&gt;(TblTimeSheet[[#This Row],[End Date and Time]]-TblTimeSheet[[#This Row],[Start Date and Time]]))</f>
        <v>0</v>
      </c>
    </row>
    <row r="2826" spans="1:14" x14ac:dyDescent="0.25">
      <c r="A2826" s="1"/>
      <c r="B2826" s="2" t="s">
        <v>2882</v>
      </c>
      <c r="C2826" s="2" t="s">
        <v>116</v>
      </c>
      <c r="D2826" s="2" t="s">
        <v>20</v>
      </c>
      <c r="E2826" s="7" t="s">
        <v>3970</v>
      </c>
      <c r="F2826" s="37">
        <v>42614.385416666664</v>
      </c>
      <c r="G2826" s="37">
        <v>42614.392361111109</v>
      </c>
      <c r="H2826" s="1" t="s">
        <v>6</v>
      </c>
      <c r="I2826" s="1" t="s">
        <v>38</v>
      </c>
      <c r="J2826" s="1">
        <v>42614.397974537038</v>
      </c>
      <c r="K2826" s="1" t="s">
        <v>701</v>
      </c>
      <c r="L2826" s="14">
        <f>24*(TblTimeSheet[[#This Row],[End Date and Time]]-TblTimeSheet[[#This Row],[Start Date and Time]])</f>
        <v>0.16666666668606922</v>
      </c>
      <c r="M282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6" s="14">
        <f>--(0&gt;(TblTimeSheet[[#This Row],[End Date and Time]]-TblTimeSheet[[#This Row],[Start Date and Time]]))</f>
        <v>0</v>
      </c>
    </row>
    <row r="2827" spans="1:14" x14ac:dyDescent="0.25">
      <c r="A2827" s="1"/>
      <c r="B2827" s="2" t="s">
        <v>2882</v>
      </c>
      <c r="C2827" s="2" t="s">
        <v>43</v>
      </c>
      <c r="D2827" s="2" t="s">
        <v>20</v>
      </c>
      <c r="E2827" s="7" t="s">
        <v>3971</v>
      </c>
      <c r="F2827" s="37">
        <v>42614.385416666664</v>
      </c>
      <c r="G2827" s="37">
        <v>42614.392361111109</v>
      </c>
      <c r="H2827" s="1" t="s">
        <v>6</v>
      </c>
      <c r="I2827" s="1" t="s">
        <v>38</v>
      </c>
      <c r="J2827" s="1">
        <v>42614.403379629628</v>
      </c>
      <c r="K2827" s="1" t="s">
        <v>43</v>
      </c>
      <c r="L2827" s="14">
        <f>24*(TblTimeSheet[[#This Row],[End Date and Time]]-TblTimeSheet[[#This Row],[Start Date and Time]])</f>
        <v>0.16666666668606922</v>
      </c>
      <c r="M282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7" s="14">
        <f>--(0&gt;(TblTimeSheet[[#This Row],[End Date and Time]]-TblTimeSheet[[#This Row],[Start Date and Time]]))</f>
        <v>0</v>
      </c>
    </row>
    <row r="2828" spans="1:14" x14ac:dyDescent="0.25">
      <c r="A2828" s="1"/>
      <c r="B2828" s="2" t="s">
        <v>2882</v>
      </c>
      <c r="C2828" s="2" t="s">
        <v>36</v>
      </c>
      <c r="D2828" s="2" t="s">
        <v>20</v>
      </c>
      <c r="E2828" s="7" t="s">
        <v>3972</v>
      </c>
      <c r="F2828" s="37">
        <v>42614.385416666664</v>
      </c>
      <c r="G2828" s="37">
        <v>42614.392361111109</v>
      </c>
      <c r="H2828" s="1" t="s">
        <v>6</v>
      </c>
      <c r="I2828" s="1" t="s">
        <v>38</v>
      </c>
      <c r="J2828" s="1">
        <v>42614.429016203707</v>
      </c>
      <c r="K2828" s="1" t="s">
        <v>36</v>
      </c>
      <c r="L2828" s="14">
        <f>24*(TblTimeSheet[[#This Row],[End Date and Time]]-TblTimeSheet[[#This Row],[Start Date and Time]])</f>
        <v>0.16666666668606922</v>
      </c>
      <c r="M282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8" s="14">
        <f>--(0&gt;(TblTimeSheet[[#This Row],[End Date and Time]]-TblTimeSheet[[#This Row],[Start Date and Time]]))</f>
        <v>0</v>
      </c>
    </row>
    <row r="2829" spans="1:14" x14ac:dyDescent="0.25">
      <c r="A2829" s="1"/>
      <c r="B2829" s="2" t="s">
        <v>2882</v>
      </c>
      <c r="C2829" s="2" t="s">
        <v>1105</v>
      </c>
      <c r="D2829" s="2" t="s">
        <v>20</v>
      </c>
      <c r="E2829" s="7" t="s">
        <v>3973</v>
      </c>
      <c r="F2829" s="37">
        <v>42614.385416666664</v>
      </c>
      <c r="G2829" s="37">
        <v>42614.392361111109</v>
      </c>
      <c r="H2829" s="1" t="s">
        <v>6</v>
      </c>
      <c r="I2829" s="1" t="s">
        <v>38</v>
      </c>
      <c r="J2829" s="1">
        <v>42614.430081018516</v>
      </c>
      <c r="K2829" s="1" t="s">
        <v>2864</v>
      </c>
      <c r="L2829" s="14">
        <f>24*(TblTimeSheet[[#This Row],[End Date and Time]]-TblTimeSheet[[#This Row],[Start Date and Time]])</f>
        <v>0.16666666668606922</v>
      </c>
      <c r="M282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29" s="14">
        <f>--(0&gt;(TblTimeSheet[[#This Row],[End Date and Time]]-TblTimeSheet[[#This Row],[Start Date and Time]]))</f>
        <v>0</v>
      </c>
    </row>
    <row r="2830" spans="1:14" x14ac:dyDescent="0.25">
      <c r="A2830" s="1"/>
      <c r="B2830" s="2" t="s">
        <v>2882</v>
      </c>
      <c r="C2830" s="2" t="s">
        <v>116</v>
      </c>
      <c r="D2830" s="2" t="s">
        <v>20</v>
      </c>
      <c r="E2830" s="7" t="s">
        <v>3561</v>
      </c>
      <c r="F2830" s="37">
        <v>42614.395833333336</v>
      </c>
      <c r="G2830" s="37">
        <v>42614.430555555555</v>
      </c>
      <c r="H2830" s="1" t="s">
        <v>6</v>
      </c>
      <c r="I2830" s="1" t="s">
        <v>38</v>
      </c>
      <c r="J2830" s="1">
        <v>42614.430613425924</v>
      </c>
      <c r="K2830" s="1" t="s">
        <v>701</v>
      </c>
      <c r="L2830" s="14">
        <f>24*(TblTimeSheet[[#This Row],[End Date and Time]]-TblTimeSheet[[#This Row],[Start Date and Time]])</f>
        <v>0.83333333325572312</v>
      </c>
      <c r="M283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0" s="14">
        <f>--(0&gt;(TblTimeSheet[[#This Row],[End Date and Time]]-TblTimeSheet[[#This Row],[Start Date and Time]]))</f>
        <v>0</v>
      </c>
    </row>
    <row r="2831" spans="1:14" x14ac:dyDescent="0.25">
      <c r="A2831" s="1"/>
      <c r="B2831" s="2" t="s">
        <v>2882</v>
      </c>
      <c r="C2831" s="2" t="s">
        <v>116</v>
      </c>
      <c r="D2831" s="2" t="s">
        <v>20</v>
      </c>
      <c r="E2831" s="7" t="s">
        <v>3562</v>
      </c>
      <c r="F2831" s="37">
        <v>42614.458333333336</v>
      </c>
      <c r="G2831" s="37">
        <v>42614.472222222219</v>
      </c>
      <c r="H2831" s="1" t="s">
        <v>6</v>
      </c>
      <c r="I2831" s="1" t="s">
        <v>38</v>
      </c>
      <c r="J2831" s="1">
        <v>42614.473657407405</v>
      </c>
      <c r="K2831" s="1" t="s">
        <v>701</v>
      </c>
      <c r="L2831" s="14">
        <f>24*(TblTimeSheet[[#This Row],[End Date and Time]]-TblTimeSheet[[#This Row],[Start Date and Time]])</f>
        <v>0.33333333319751546</v>
      </c>
      <c r="M283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31" s="14">
        <f>--(0&gt;(TblTimeSheet[[#This Row],[End Date and Time]]-TblTimeSheet[[#This Row],[Start Date and Time]]))</f>
        <v>0</v>
      </c>
    </row>
    <row r="2832" spans="1:14" x14ac:dyDescent="0.25">
      <c r="A2832" s="1"/>
      <c r="B2832" s="2" t="s">
        <v>2882</v>
      </c>
      <c r="C2832" s="2" t="s">
        <v>116</v>
      </c>
      <c r="D2832" s="2" t="s">
        <v>20</v>
      </c>
      <c r="E2832" s="7" t="s">
        <v>3563</v>
      </c>
      <c r="F2832" s="37">
        <v>42614.458333333336</v>
      </c>
      <c r="G2832" s="37">
        <v>42614.472222222219</v>
      </c>
      <c r="H2832" s="1" t="s">
        <v>6</v>
      </c>
      <c r="I2832" s="1" t="s">
        <v>38</v>
      </c>
      <c r="J2832" s="1">
        <v>42614.574861111112</v>
      </c>
      <c r="K2832" s="1" t="s">
        <v>39</v>
      </c>
      <c r="L2832" s="14">
        <f>24*(TblTimeSheet[[#This Row],[End Date and Time]]-TblTimeSheet[[#This Row],[Start Date and Time]])</f>
        <v>0.33333333319751546</v>
      </c>
      <c r="M283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32" s="14">
        <f>--(0&gt;(TblTimeSheet[[#This Row],[End Date and Time]]-TblTimeSheet[[#This Row],[Start Date and Time]]))</f>
        <v>0</v>
      </c>
    </row>
    <row r="2833" spans="1:14" x14ac:dyDescent="0.25">
      <c r="A2833" s="1"/>
      <c r="B2833" s="2" t="s">
        <v>2882</v>
      </c>
      <c r="C2833" s="2" t="s">
        <v>118</v>
      </c>
      <c r="D2833" s="2" t="s">
        <v>20</v>
      </c>
      <c r="E2833" s="7" t="s">
        <v>968</v>
      </c>
      <c r="F2833" s="37">
        <v>42614.666666666664</v>
      </c>
      <c r="G2833" s="37">
        <v>42614.6875</v>
      </c>
      <c r="H2833" s="1" t="s">
        <v>6</v>
      </c>
      <c r="I2833" s="1" t="s">
        <v>38</v>
      </c>
      <c r="J2833" s="1">
        <v>42614.705011574071</v>
      </c>
      <c r="K2833" s="1" t="s">
        <v>118</v>
      </c>
      <c r="L2833" s="14">
        <f>24*(TblTimeSheet[[#This Row],[End Date and Time]]-TblTimeSheet[[#This Row],[Start Date and Time]])</f>
        <v>0.50000000005820766</v>
      </c>
      <c r="M283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3" s="14">
        <f>--(0&gt;(TblTimeSheet[[#This Row],[End Date and Time]]-TblTimeSheet[[#This Row],[Start Date and Time]]))</f>
        <v>0</v>
      </c>
    </row>
    <row r="2834" spans="1:14" x14ac:dyDescent="0.25">
      <c r="A2834" s="1"/>
      <c r="B2834" s="2" t="s">
        <v>2882</v>
      </c>
      <c r="C2834" s="2" t="s">
        <v>43</v>
      </c>
      <c r="D2834" s="2" t="s">
        <v>20</v>
      </c>
      <c r="E2834" s="7" t="s">
        <v>3564</v>
      </c>
      <c r="F2834" s="37">
        <v>42614.680555555555</v>
      </c>
      <c r="G2834" s="37">
        <v>42614.6875</v>
      </c>
      <c r="H2834" s="1" t="s">
        <v>6</v>
      </c>
      <c r="I2834" s="1" t="s">
        <v>38</v>
      </c>
      <c r="J2834" s="1">
        <v>42614.707326388889</v>
      </c>
      <c r="K2834" s="1" t="s">
        <v>43</v>
      </c>
      <c r="L2834" s="14">
        <f>24*(TblTimeSheet[[#This Row],[End Date and Time]]-TblTimeSheet[[#This Row],[Start Date and Time]])</f>
        <v>0.16666666668606922</v>
      </c>
      <c r="M283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4" s="14">
        <f>--(0&gt;(TblTimeSheet[[#This Row],[End Date and Time]]-TblTimeSheet[[#This Row],[Start Date and Time]]))</f>
        <v>0</v>
      </c>
    </row>
    <row r="2835" spans="1:14" ht="30" x14ac:dyDescent="0.25">
      <c r="A2835" s="1"/>
      <c r="B2835" s="2" t="s">
        <v>2882</v>
      </c>
      <c r="C2835" s="2" t="s">
        <v>961</v>
      </c>
      <c r="D2835" s="2" t="s">
        <v>20</v>
      </c>
      <c r="E2835" s="7" t="s">
        <v>3565</v>
      </c>
      <c r="F2835" s="37">
        <v>42614.385416666664</v>
      </c>
      <c r="G2835" s="37">
        <v>42614.392361111109</v>
      </c>
      <c r="H2835" s="1" t="s">
        <v>6</v>
      </c>
      <c r="I2835" s="1" t="s">
        <v>38</v>
      </c>
      <c r="J2835" s="1">
        <v>42614.778923611113</v>
      </c>
      <c r="K2835" s="1" t="s">
        <v>961</v>
      </c>
      <c r="L2835" s="14">
        <f>24*(TblTimeSheet[[#This Row],[End Date and Time]]-TblTimeSheet[[#This Row],[Start Date and Time]])</f>
        <v>0.16666666668606922</v>
      </c>
      <c r="M283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5" s="14">
        <f>--(0&gt;(TblTimeSheet[[#This Row],[End Date and Time]]-TblTimeSheet[[#This Row],[Start Date and Time]]))</f>
        <v>0</v>
      </c>
    </row>
    <row r="2836" spans="1:14" x14ac:dyDescent="0.25">
      <c r="A2836" s="1"/>
      <c r="B2836" s="2" t="s">
        <v>2882</v>
      </c>
      <c r="C2836" s="2" t="s">
        <v>41</v>
      </c>
      <c r="D2836" s="2" t="s">
        <v>20</v>
      </c>
      <c r="E2836" s="7" t="s">
        <v>3974</v>
      </c>
      <c r="F2836" s="37">
        <v>42615.4375</v>
      </c>
      <c r="G2836" s="37">
        <v>42615.520833333336</v>
      </c>
      <c r="H2836" s="1" t="s">
        <v>6</v>
      </c>
      <c r="I2836" s="1" t="s">
        <v>38</v>
      </c>
      <c r="J2836" s="1">
        <v>42615.669236111113</v>
      </c>
      <c r="K2836" s="1" t="s">
        <v>41</v>
      </c>
      <c r="L2836" s="14">
        <f>24*(TblTimeSheet[[#This Row],[End Date and Time]]-TblTimeSheet[[#This Row],[Start Date and Time]])</f>
        <v>2.0000000000582077</v>
      </c>
      <c r="M283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6" s="14">
        <f>--(0&gt;(TblTimeSheet[[#This Row],[End Date and Time]]-TblTimeSheet[[#This Row],[Start Date and Time]]))</f>
        <v>0</v>
      </c>
    </row>
    <row r="2837" spans="1:14" x14ac:dyDescent="0.25">
      <c r="A2837" s="1"/>
      <c r="B2837" s="2" t="s">
        <v>2882</v>
      </c>
      <c r="C2837" s="2" t="s">
        <v>41</v>
      </c>
      <c r="D2837" s="2" t="s">
        <v>20</v>
      </c>
      <c r="E2837" s="7" t="s">
        <v>3975</v>
      </c>
      <c r="F2837" s="37">
        <v>42615.645833333336</v>
      </c>
      <c r="G2837" s="37">
        <v>42615.666666666664</v>
      </c>
      <c r="H2837" s="1" t="s">
        <v>6</v>
      </c>
      <c r="I2837" s="1" t="s">
        <v>38</v>
      </c>
      <c r="J2837" s="1">
        <v>42615.669907407406</v>
      </c>
      <c r="K2837" s="1" t="s">
        <v>41</v>
      </c>
      <c r="L2837" s="14">
        <f>24*(TblTimeSheet[[#This Row],[End Date and Time]]-TblTimeSheet[[#This Row],[Start Date and Time]])</f>
        <v>0.49999999988358468</v>
      </c>
      <c r="M283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7" s="14">
        <f>--(0&gt;(TblTimeSheet[[#This Row],[End Date and Time]]-TblTimeSheet[[#This Row],[Start Date and Time]]))</f>
        <v>0</v>
      </c>
    </row>
    <row r="2838" spans="1:14" ht="30" x14ac:dyDescent="0.25">
      <c r="A2838" s="1"/>
      <c r="B2838" s="2" t="s">
        <v>2882</v>
      </c>
      <c r="C2838" s="2" t="s">
        <v>41</v>
      </c>
      <c r="D2838" s="2" t="s">
        <v>20</v>
      </c>
      <c r="E2838" s="7" t="s">
        <v>3976</v>
      </c>
      <c r="F2838" s="37">
        <v>42615.666666666664</v>
      </c>
      <c r="G2838" s="37">
        <v>42615.684027777781</v>
      </c>
      <c r="H2838" s="1" t="s">
        <v>6</v>
      </c>
      <c r="I2838" s="1" t="s">
        <v>38</v>
      </c>
      <c r="J2838" s="1">
        <v>42615.686435185184</v>
      </c>
      <c r="K2838" s="1" t="s">
        <v>41</v>
      </c>
      <c r="L2838" s="14">
        <f>24*(TblTimeSheet[[#This Row],[End Date and Time]]-TblTimeSheet[[#This Row],[Start Date and Time]])</f>
        <v>0.41666666680248454</v>
      </c>
      <c r="M283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8" s="14">
        <f>--(0&gt;(TblTimeSheet[[#This Row],[End Date and Time]]-TblTimeSheet[[#This Row],[Start Date and Time]]))</f>
        <v>0</v>
      </c>
    </row>
    <row r="2839" spans="1:14" x14ac:dyDescent="0.25">
      <c r="A2839" s="1"/>
      <c r="B2839" s="2" t="s">
        <v>2882</v>
      </c>
      <c r="C2839" s="2" t="s">
        <v>78</v>
      </c>
      <c r="D2839" s="2" t="s">
        <v>20</v>
      </c>
      <c r="E2839" s="7" t="s">
        <v>3566</v>
      </c>
      <c r="F2839" s="37">
        <v>42615.666666666664</v>
      </c>
      <c r="G2839" s="37">
        <v>42615.684027777781</v>
      </c>
      <c r="H2839" s="1" t="s">
        <v>6</v>
      </c>
      <c r="I2839" s="1" t="s">
        <v>38</v>
      </c>
      <c r="J2839" s="1">
        <v>42615.687986111108</v>
      </c>
      <c r="K2839" s="1" t="s">
        <v>78</v>
      </c>
      <c r="L2839" s="14">
        <f>24*(TblTimeSheet[[#This Row],[End Date and Time]]-TblTimeSheet[[#This Row],[Start Date and Time]])</f>
        <v>0.41666666680248454</v>
      </c>
      <c r="M283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39" s="14">
        <f>--(0&gt;(TblTimeSheet[[#This Row],[End Date and Time]]-TblTimeSheet[[#This Row],[Start Date and Time]]))</f>
        <v>0</v>
      </c>
    </row>
    <row r="2840" spans="1:14" x14ac:dyDescent="0.25">
      <c r="A2840" s="1"/>
      <c r="B2840" s="2" t="s">
        <v>2882</v>
      </c>
      <c r="C2840" s="2" t="s">
        <v>116</v>
      </c>
      <c r="D2840" s="2" t="s">
        <v>20</v>
      </c>
      <c r="E2840" s="7" t="s">
        <v>3567</v>
      </c>
      <c r="F2840" s="37">
        <v>42615.645833333336</v>
      </c>
      <c r="G2840" s="37">
        <v>42615.666666666664</v>
      </c>
      <c r="H2840" s="1" t="s">
        <v>6</v>
      </c>
      <c r="I2840" s="1" t="s">
        <v>38</v>
      </c>
      <c r="J2840" s="1">
        <v>42616.379317129627</v>
      </c>
      <c r="K2840" s="1" t="s">
        <v>701</v>
      </c>
      <c r="L2840" s="14">
        <f>24*(TblTimeSheet[[#This Row],[End Date and Time]]-TblTimeSheet[[#This Row],[Start Date and Time]])</f>
        <v>0.49999999988358468</v>
      </c>
      <c r="M284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0" s="14">
        <f>--(0&gt;(TblTimeSheet[[#This Row],[End Date and Time]]-TblTimeSheet[[#This Row],[Start Date and Time]]))</f>
        <v>0</v>
      </c>
    </row>
    <row r="2841" spans="1:14" x14ac:dyDescent="0.25">
      <c r="A2841" s="1"/>
      <c r="B2841" s="2" t="s">
        <v>2882</v>
      </c>
      <c r="C2841" s="2" t="s">
        <v>43</v>
      </c>
      <c r="D2841" s="2" t="s">
        <v>20</v>
      </c>
      <c r="E2841" s="7" t="s">
        <v>3568</v>
      </c>
      <c r="F2841" s="37">
        <v>42616.5</v>
      </c>
      <c r="G2841" s="37">
        <v>42616.506944444445</v>
      </c>
      <c r="H2841" s="1" t="s">
        <v>6</v>
      </c>
      <c r="I2841" s="1" t="s">
        <v>38</v>
      </c>
      <c r="J2841" s="1">
        <v>42616.546203703707</v>
      </c>
      <c r="K2841" s="1" t="s">
        <v>43</v>
      </c>
      <c r="L2841" s="14">
        <f>24*(TblTimeSheet[[#This Row],[End Date and Time]]-TblTimeSheet[[#This Row],[Start Date and Time]])</f>
        <v>0.16666666668606922</v>
      </c>
      <c r="M284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1" s="14">
        <f>--(0&gt;(TblTimeSheet[[#This Row],[End Date and Time]]-TblTimeSheet[[#This Row],[Start Date and Time]]))</f>
        <v>0</v>
      </c>
    </row>
    <row r="2842" spans="1:14" x14ac:dyDescent="0.25">
      <c r="A2842" s="1"/>
      <c r="B2842" s="2" t="s">
        <v>2882</v>
      </c>
      <c r="C2842" s="2" t="s">
        <v>36</v>
      </c>
      <c r="D2842" s="2" t="s">
        <v>20</v>
      </c>
      <c r="E2842" s="7" t="s">
        <v>3977</v>
      </c>
      <c r="F2842" s="37">
        <v>42615.739583333336</v>
      </c>
      <c r="G2842" s="37">
        <v>42615.75</v>
      </c>
      <c r="H2842" s="1" t="s">
        <v>6</v>
      </c>
      <c r="I2842" s="1" t="s">
        <v>38</v>
      </c>
      <c r="J2842" s="1">
        <v>42616.620162037034</v>
      </c>
      <c r="K2842" s="1" t="s">
        <v>36</v>
      </c>
      <c r="L2842" s="14">
        <f>24*(TblTimeSheet[[#This Row],[End Date and Time]]-TblTimeSheet[[#This Row],[Start Date and Time]])</f>
        <v>0.24999999994179234</v>
      </c>
      <c r="M284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2" s="14">
        <f>--(0&gt;(TblTimeSheet[[#This Row],[End Date and Time]]-TblTimeSheet[[#This Row],[Start Date and Time]]))</f>
        <v>0</v>
      </c>
    </row>
    <row r="2843" spans="1:14" x14ac:dyDescent="0.25">
      <c r="A2843" s="1"/>
      <c r="B2843" s="2" t="s">
        <v>2882</v>
      </c>
      <c r="C2843" s="2" t="s">
        <v>36</v>
      </c>
      <c r="D2843" s="2" t="s">
        <v>20</v>
      </c>
      <c r="E2843" s="7" t="s">
        <v>3978</v>
      </c>
      <c r="F2843" s="37">
        <v>42616.4375</v>
      </c>
      <c r="G2843" s="37">
        <v>42616.517361111109</v>
      </c>
      <c r="H2843" s="1" t="s">
        <v>6</v>
      </c>
      <c r="I2843" s="1" t="s">
        <v>38</v>
      </c>
      <c r="J2843" s="1">
        <v>42616.622245370374</v>
      </c>
      <c r="K2843" s="1" t="s">
        <v>36</v>
      </c>
      <c r="L2843" s="14">
        <f>24*(TblTimeSheet[[#This Row],[End Date and Time]]-TblTimeSheet[[#This Row],[Start Date and Time]])</f>
        <v>1.9166666666278616</v>
      </c>
      <c r="M284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3" s="14">
        <f>--(0&gt;(TblTimeSheet[[#This Row],[End Date and Time]]-TblTimeSheet[[#This Row],[Start Date and Time]]))</f>
        <v>0</v>
      </c>
    </row>
    <row r="2844" spans="1:14" x14ac:dyDescent="0.25">
      <c r="A2844" s="1"/>
      <c r="B2844" s="2" t="s">
        <v>2882</v>
      </c>
      <c r="C2844" s="2" t="s">
        <v>36</v>
      </c>
      <c r="D2844" s="2" t="s">
        <v>20</v>
      </c>
      <c r="E2844" s="7" t="s">
        <v>3569</v>
      </c>
      <c r="F2844" s="37">
        <v>42616.583333333336</v>
      </c>
      <c r="G2844" s="37">
        <v>42616.621527777781</v>
      </c>
      <c r="H2844" s="1" t="s">
        <v>6</v>
      </c>
      <c r="I2844" s="1" t="s">
        <v>38</v>
      </c>
      <c r="J2844" s="1">
        <v>42616.62296296296</v>
      </c>
      <c r="K2844" s="1" t="s">
        <v>36</v>
      </c>
      <c r="L2844" s="14">
        <f>24*(TblTimeSheet[[#This Row],[End Date and Time]]-TblTimeSheet[[#This Row],[Start Date and Time]])</f>
        <v>0.91666666668606922</v>
      </c>
      <c r="M284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4" s="14">
        <f>--(0&gt;(TblTimeSheet[[#This Row],[End Date and Time]]-TblTimeSheet[[#This Row],[Start Date and Time]]))</f>
        <v>0</v>
      </c>
    </row>
    <row r="2845" spans="1:14" x14ac:dyDescent="0.25">
      <c r="A2845" s="1"/>
      <c r="B2845" s="2" t="s">
        <v>2882</v>
      </c>
      <c r="C2845" s="2" t="s">
        <v>36</v>
      </c>
      <c r="D2845" s="2" t="s">
        <v>20</v>
      </c>
      <c r="E2845" s="7" t="s">
        <v>3570</v>
      </c>
      <c r="F2845" s="37">
        <v>42616.625</v>
      </c>
      <c r="G2845" s="37">
        <v>42616.694444444445</v>
      </c>
      <c r="H2845" s="1" t="s">
        <v>6</v>
      </c>
      <c r="I2845" s="1" t="s">
        <v>38</v>
      </c>
      <c r="J2845" s="1">
        <v>42616.694768518515</v>
      </c>
      <c r="K2845" s="1" t="s">
        <v>36</v>
      </c>
      <c r="L2845" s="14">
        <f>24*(TblTimeSheet[[#This Row],[End Date and Time]]-TblTimeSheet[[#This Row],[Start Date and Time]])</f>
        <v>1.6666666666860692</v>
      </c>
      <c r="M284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5" s="14">
        <f>--(0&gt;(TblTimeSheet[[#This Row],[End Date and Time]]-TblTimeSheet[[#This Row],[Start Date and Time]]))</f>
        <v>0</v>
      </c>
    </row>
    <row r="2846" spans="1:14" x14ac:dyDescent="0.25">
      <c r="A2846" s="1"/>
      <c r="B2846" s="2" t="s">
        <v>2882</v>
      </c>
      <c r="C2846" s="2" t="s">
        <v>43</v>
      </c>
      <c r="D2846" s="2" t="s">
        <v>20</v>
      </c>
      <c r="E2846" s="7" t="s">
        <v>3571</v>
      </c>
      <c r="F2846" s="37">
        <v>42620.420138888891</v>
      </c>
      <c r="G2846" s="37">
        <v>42620.4375</v>
      </c>
      <c r="H2846" s="1" t="s">
        <v>6</v>
      </c>
      <c r="I2846" s="1" t="s">
        <v>38</v>
      </c>
      <c r="J2846" s="1">
        <v>42620.439282407409</v>
      </c>
      <c r="K2846" s="1" t="s">
        <v>43</v>
      </c>
      <c r="L2846" s="14">
        <f>24*(TblTimeSheet[[#This Row],[End Date and Time]]-TblTimeSheet[[#This Row],[Start Date and Time]])</f>
        <v>0.41666666662786156</v>
      </c>
      <c r="M284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6" s="14">
        <f>--(0&gt;(TblTimeSheet[[#This Row],[End Date and Time]]-TblTimeSheet[[#This Row],[Start Date and Time]]))</f>
        <v>0</v>
      </c>
    </row>
    <row r="2847" spans="1:14" x14ac:dyDescent="0.25">
      <c r="A2847" s="1"/>
      <c r="B2847" s="2" t="s">
        <v>2882</v>
      </c>
      <c r="C2847" s="2" t="s">
        <v>116</v>
      </c>
      <c r="D2847" s="2" t="s">
        <v>20</v>
      </c>
      <c r="E2847" s="7" t="s">
        <v>449</v>
      </c>
      <c r="F2847" s="37">
        <v>42620.420138888891</v>
      </c>
      <c r="G2847" s="37">
        <v>42620.4375</v>
      </c>
      <c r="H2847" s="1" t="s">
        <v>6</v>
      </c>
      <c r="I2847" s="1" t="s">
        <v>38</v>
      </c>
      <c r="J2847" s="1">
        <v>42620.439675925925</v>
      </c>
      <c r="K2847" s="1" t="s">
        <v>701</v>
      </c>
      <c r="L2847" s="14">
        <f>24*(TblTimeSheet[[#This Row],[End Date and Time]]-TblTimeSheet[[#This Row],[Start Date and Time]])</f>
        <v>0.41666666662786156</v>
      </c>
      <c r="M284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47" s="14">
        <f>--(0&gt;(TblTimeSheet[[#This Row],[End Date and Time]]-TblTimeSheet[[#This Row],[Start Date and Time]]))</f>
        <v>0</v>
      </c>
    </row>
    <row r="2848" spans="1:14" ht="30" x14ac:dyDescent="0.25">
      <c r="A2848" s="1"/>
      <c r="B2848" s="2" t="s">
        <v>2882</v>
      </c>
      <c r="C2848" s="2" t="s">
        <v>36</v>
      </c>
      <c r="D2848" s="2" t="s">
        <v>20</v>
      </c>
      <c r="E2848" s="7" t="s">
        <v>3979</v>
      </c>
      <c r="F2848" s="37">
        <v>42620.420138888891</v>
      </c>
      <c r="G2848" s="37">
        <v>42620.4375</v>
      </c>
      <c r="H2848" s="1" t="s">
        <v>6</v>
      </c>
      <c r="I2848" s="1" t="s">
        <v>38</v>
      </c>
      <c r="J2848" s="1">
        <v>42620.439976851849</v>
      </c>
      <c r="K2848" s="1" t="s">
        <v>36</v>
      </c>
      <c r="L2848" s="14">
        <f>24*(TblTimeSheet[[#This Row],[End Date and Time]]-TblTimeSheet[[#This Row],[Start Date and Time]])</f>
        <v>0.41666666662786156</v>
      </c>
      <c r="M284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8" s="14">
        <f>--(0&gt;(TblTimeSheet[[#This Row],[End Date and Time]]-TblTimeSheet[[#This Row],[Start Date and Time]]))</f>
        <v>0</v>
      </c>
    </row>
    <row r="2849" spans="1:14" x14ac:dyDescent="0.25">
      <c r="A2849" s="1"/>
      <c r="B2849" s="2" t="s">
        <v>2882</v>
      </c>
      <c r="C2849" s="2" t="s">
        <v>118</v>
      </c>
      <c r="D2849" s="2" t="s">
        <v>20</v>
      </c>
      <c r="E2849" s="7" t="s">
        <v>3572</v>
      </c>
      <c r="F2849" s="37">
        <v>42620.420138888891</v>
      </c>
      <c r="G2849" s="37">
        <v>42620.4375</v>
      </c>
      <c r="H2849" s="1" t="s">
        <v>6</v>
      </c>
      <c r="I2849" s="1" t="s">
        <v>38</v>
      </c>
      <c r="J2849" s="1">
        <v>42620.445937500001</v>
      </c>
      <c r="K2849" s="1" t="s">
        <v>118</v>
      </c>
      <c r="L2849" s="14">
        <f>24*(TblTimeSheet[[#This Row],[End Date and Time]]-TblTimeSheet[[#This Row],[Start Date and Time]])</f>
        <v>0.41666666662786156</v>
      </c>
      <c r="M284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49" s="14">
        <f>--(0&gt;(TblTimeSheet[[#This Row],[End Date and Time]]-TblTimeSheet[[#This Row],[Start Date and Time]]))</f>
        <v>0</v>
      </c>
    </row>
    <row r="2850" spans="1:14" x14ac:dyDescent="0.25">
      <c r="A2850" s="1"/>
      <c r="B2850" s="2" t="s">
        <v>2882</v>
      </c>
      <c r="C2850" s="2" t="s">
        <v>1105</v>
      </c>
      <c r="D2850" s="2" t="s">
        <v>20</v>
      </c>
      <c r="E2850" s="7" t="s">
        <v>3573</v>
      </c>
      <c r="F2850" s="37">
        <v>42620.420138888891</v>
      </c>
      <c r="G2850" s="37">
        <v>42620.4375</v>
      </c>
      <c r="H2850" s="1" t="s">
        <v>6</v>
      </c>
      <c r="I2850" s="1" t="s">
        <v>38</v>
      </c>
      <c r="J2850" s="1">
        <v>42620.453217592592</v>
      </c>
      <c r="K2850" s="1" t="s">
        <v>2864</v>
      </c>
      <c r="L2850" s="14">
        <f>24*(TblTimeSheet[[#This Row],[End Date and Time]]-TblTimeSheet[[#This Row],[Start Date and Time]])</f>
        <v>0.41666666662786156</v>
      </c>
      <c r="M285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0" s="14">
        <f>--(0&gt;(TblTimeSheet[[#This Row],[End Date and Time]]-TblTimeSheet[[#This Row],[Start Date and Time]]))</f>
        <v>0</v>
      </c>
    </row>
    <row r="2851" spans="1:14" ht="30" x14ac:dyDescent="0.25">
      <c r="A2851" s="1"/>
      <c r="B2851" s="2" t="s">
        <v>2882</v>
      </c>
      <c r="C2851" s="2" t="s">
        <v>116</v>
      </c>
      <c r="D2851" s="2" t="s">
        <v>20</v>
      </c>
      <c r="E2851" s="7" t="s">
        <v>3574</v>
      </c>
      <c r="F2851" s="37">
        <v>42620.420138888891</v>
      </c>
      <c r="G2851" s="37">
        <v>42620.4375</v>
      </c>
      <c r="H2851" s="1" t="s">
        <v>6</v>
      </c>
      <c r="I2851" s="1" t="s">
        <v>38</v>
      </c>
      <c r="J2851" s="1">
        <v>42620.467523148145</v>
      </c>
      <c r="K2851" s="1" t="s">
        <v>81</v>
      </c>
      <c r="L2851" s="14">
        <f>24*(TblTimeSheet[[#This Row],[End Date and Time]]-TblTimeSheet[[#This Row],[Start Date and Time]])</f>
        <v>0.41666666662786156</v>
      </c>
      <c r="M285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51" s="14">
        <f>--(0&gt;(TblTimeSheet[[#This Row],[End Date and Time]]-TblTimeSheet[[#This Row],[Start Date and Time]]))</f>
        <v>0</v>
      </c>
    </row>
    <row r="2852" spans="1:14" ht="45" x14ac:dyDescent="0.25">
      <c r="A2852" s="1"/>
      <c r="B2852" s="2" t="s">
        <v>2882</v>
      </c>
      <c r="C2852" s="2" t="s">
        <v>41</v>
      </c>
      <c r="D2852" s="2" t="s">
        <v>20</v>
      </c>
      <c r="E2852" s="7" t="s">
        <v>3980</v>
      </c>
      <c r="F2852" s="37">
        <v>42620.420138888891</v>
      </c>
      <c r="G2852" s="37">
        <v>42620.4375</v>
      </c>
      <c r="H2852" s="1" t="s">
        <v>6</v>
      </c>
      <c r="I2852" s="1" t="s">
        <v>38</v>
      </c>
      <c r="J2852" s="1">
        <v>42620.469884259262</v>
      </c>
      <c r="K2852" s="1" t="s">
        <v>41</v>
      </c>
      <c r="L2852" s="14">
        <f>24*(TblTimeSheet[[#This Row],[End Date and Time]]-TblTimeSheet[[#This Row],[Start Date and Time]])</f>
        <v>0.41666666662786156</v>
      </c>
      <c r="M285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2" s="14">
        <f>--(0&gt;(TblTimeSheet[[#This Row],[End Date and Time]]-TblTimeSheet[[#This Row],[Start Date and Time]]))</f>
        <v>0</v>
      </c>
    </row>
    <row r="2853" spans="1:14" x14ac:dyDescent="0.25">
      <c r="A2853" s="1"/>
      <c r="B2853" s="2" t="s">
        <v>2882</v>
      </c>
      <c r="C2853" s="2" t="s">
        <v>961</v>
      </c>
      <c r="D2853" s="2" t="s">
        <v>20</v>
      </c>
      <c r="E2853" s="7" t="s">
        <v>3575</v>
      </c>
      <c r="F2853" s="37">
        <v>42620.420138888891</v>
      </c>
      <c r="G2853" s="37">
        <v>42620.4375</v>
      </c>
      <c r="H2853" s="1" t="s">
        <v>6</v>
      </c>
      <c r="I2853" s="1" t="s">
        <v>38</v>
      </c>
      <c r="J2853" s="1">
        <v>42620.486608796295</v>
      </c>
      <c r="K2853" s="1" t="s">
        <v>961</v>
      </c>
      <c r="L2853" s="14">
        <f>24*(TblTimeSheet[[#This Row],[End Date and Time]]-TblTimeSheet[[#This Row],[Start Date and Time]])</f>
        <v>0.41666666662786156</v>
      </c>
      <c r="M285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3" s="14">
        <f>--(0&gt;(TblTimeSheet[[#This Row],[End Date and Time]]-TblTimeSheet[[#This Row],[Start Date and Time]]))</f>
        <v>0</v>
      </c>
    </row>
    <row r="2854" spans="1:14" x14ac:dyDescent="0.25">
      <c r="A2854" s="1"/>
      <c r="B2854" s="2" t="s">
        <v>2882</v>
      </c>
      <c r="C2854" s="2" t="s">
        <v>116</v>
      </c>
      <c r="D2854" s="2" t="s">
        <v>20</v>
      </c>
      <c r="E2854" s="7" t="s">
        <v>3981</v>
      </c>
      <c r="F2854" s="37">
        <v>42620.420138888891</v>
      </c>
      <c r="G2854" s="37">
        <v>42620.4375</v>
      </c>
      <c r="H2854" s="1" t="s">
        <v>6</v>
      </c>
      <c r="I2854" s="1" t="s">
        <v>38</v>
      </c>
      <c r="J2854" s="1">
        <v>42620.487743055557</v>
      </c>
      <c r="K2854" s="1" t="s">
        <v>149</v>
      </c>
      <c r="L2854" s="14">
        <f>24*(TblTimeSheet[[#This Row],[End Date and Time]]-TblTimeSheet[[#This Row],[Start Date and Time]])</f>
        <v>0.41666666662786156</v>
      </c>
      <c r="M285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1</v>
      </c>
      <c r="N2854" s="14">
        <f>--(0&gt;(TblTimeSheet[[#This Row],[End Date and Time]]-TblTimeSheet[[#This Row],[Start Date and Time]]))</f>
        <v>0</v>
      </c>
    </row>
    <row r="2855" spans="1:14" x14ac:dyDescent="0.25">
      <c r="A2855" s="1"/>
      <c r="B2855" s="2" t="s">
        <v>2882</v>
      </c>
      <c r="C2855" s="2" t="s">
        <v>36</v>
      </c>
      <c r="D2855" s="2" t="s">
        <v>20</v>
      </c>
      <c r="E2855" s="7" t="s">
        <v>3982</v>
      </c>
      <c r="F2855" s="37">
        <v>42620.5</v>
      </c>
      <c r="G2855" s="37">
        <v>42620.520833333336</v>
      </c>
      <c r="H2855" s="1" t="s">
        <v>6</v>
      </c>
      <c r="I2855" s="1" t="s">
        <v>38</v>
      </c>
      <c r="J2855" s="1">
        <v>42620.521770833337</v>
      </c>
      <c r="K2855" s="1" t="s">
        <v>36</v>
      </c>
      <c r="L2855" s="14">
        <f>24*(TblTimeSheet[[#This Row],[End Date and Time]]-TblTimeSheet[[#This Row],[Start Date and Time]])</f>
        <v>0.50000000005820766</v>
      </c>
      <c r="M285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5" s="14">
        <f>--(0&gt;(TblTimeSheet[[#This Row],[End Date and Time]]-TblTimeSheet[[#This Row],[Start Date and Time]]))</f>
        <v>0</v>
      </c>
    </row>
    <row r="2856" spans="1:14" x14ac:dyDescent="0.25">
      <c r="A2856" s="1"/>
      <c r="B2856" s="2" t="s">
        <v>2882</v>
      </c>
      <c r="C2856" s="2" t="s">
        <v>36</v>
      </c>
      <c r="D2856" s="2" t="s">
        <v>20</v>
      </c>
      <c r="E2856" s="7" t="s">
        <v>3576</v>
      </c>
      <c r="F2856" s="37">
        <v>42620.524305555555</v>
      </c>
      <c r="G2856" s="37">
        <v>42620.527777777781</v>
      </c>
      <c r="H2856" s="1" t="s">
        <v>6</v>
      </c>
      <c r="I2856" s="1" t="s">
        <v>38</v>
      </c>
      <c r="J2856" s="1">
        <v>42620.526828703703</v>
      </c>
      <c r="K2856" s="1" t="s">
        <v>36</v>
      </c>
      <c r="L2856" s="14">
        <f>24*(TblTimeSheet[[#This Row],[End Date and Time]]-TblTimeSheet[[#This Row],[Start Date and Time]])</f>
        <v>8.3333333430346102E-2</v>
      </c>
      <c r="M285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6" s="14">
        <f>--(0&gt;(TblTimeSheet[[#This Row],[End Date and Time]]-TblTimeSheet[[#This Row],[Start Date and Time]]))</f>
        <v>0</v>
      </c>
    </row>
    <row r="2857" spans="1:14" x14ac:dyDescent="0.25">
      <c r="A2857" s="1"/>
      <c r="B2857" s="2" t="s">
        <v>2882</v>
      </c>
      <c r="C2857" s="2" t="s">
        <v>1105</v>
      </c>
      <c r="D2857" s="2" t="s">
        <v>20</v>
      </c>
      <c r="E2857" s="7" t="s">
        <v>3577</v>
      </c>
      <c r="F2857" s="37">
        <v>42620.5</v>
      </c>
      <c r="G2857" s="37">
        <v>42620.520833333336</v>
      </c>
      <c r="H2857" s="1" t="s">
        <v>6</v>
      </c>
      <c r="I2857" s="1" t="s">
        <v>38</v>
      </c>
      <c r="J2857" s="1">
        <v>42620.654768518521</v>
      </c>
      <c r="K2857" s="1" t="s">
        <v>2864</v>
      </c>
      <c r="L2857" s="14">
        <f>24*(TblTimeSheet[[#This Row],[End Date and Time]]-TblTimeSheet[[#This Row],[Start Date and Time]])</f>
        <v>0.50000000005820766</v>
      </c>
      <c r="M285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7" s="14">
        <f>--(0&gt;(TblTimeSheet[[#This Row],[End Date and Time]]-TblTimeSheet[[#This Row],[Start Date and Time]]))</f>
        <v>0</v>
      </c>
    </row>
    <row r="2858" spans="1:14" x14ac:dyDescent="0.25">
      <c r="A2858" s="1"/>
      <c r="B2858" s="2" t="s">
        <v>2882</v>
      </c>
      <c r="C2858" s="2" t="s">
        <v>1105</v>
      </c>
      <c r="D2858" s="2" t="s">
        <v>20</v>
      </c>
      <c r="E2858" s="7" t="s">
        <v>3578</v>
      </c>
      <c r="F2858" s="37">
        <v>42620.663194444445</v>
      </c>
      <c r="G2858" s="37">
        <v>42620.677083333336</v>
      </c>
      <c r="H2858" s="1" t="s">
        <v>6</v>
      </c>
      <c r="I2858" s="1" t="s">
        <v>38</v>
      </c>
      <c r="J2858" s="1">
        <v>42620.678599537037</v>
      </c>
      <c r="K2858" s="1" t="s">
        <v>2864</v>
      </c>
      <c r="L2858" s="14">
        <f>24*(TblTimeSheet[[#This Row],[End Date and Time]]-TblTimeSheet[[#This Row],[Start Date and Time]])</f>
        <v>0.33333333337213844</v>
      </c>
      <c r="M285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8" s="14">
        <f>--(0&gt;(TblTimeSheet[[#This Row],[End Date and Time]]-TblTimeSheet[[#This Row],[Start Date and Time]]))</f>
        <v>0</v>
      </c>
    </row>
    <row r="2859" spans="1:14" x14ac:dyDescent="0.25">
      <c r="A2859" s="1"/>
      <c r="B2859" s="2" t="s">
        <v>2882</v>
      </c>
      <c r="C2859" s="2" t="s">
        <v>118</v>
      </c>
      <c r="D2859" s="2" t="s">
        <v>32</v>
      </c>
      <c r="E2859" s="7" t="s">
        <v>3094</v>
      </c>
      <c r="F2859" s="37">
        <v>42620.583333333336</v>
      </c>
      <c r="G2859" s="37">
        <v>42620.677083333336</v>
      </c>
      <c r="H2859" s="1" t="s">
        <v>6</v>
      </c>
      <c r="I2859" s="1" t="s">
        <v>38</v>
      </c>
      <c r="J2859" s="1">
        <v>42620.683587962965</v>
      </c>
      <c r="K2859" s="1" t="s">
        <v>118</v>
      </c>
      <c r="L2859" s="14">
        <f>24*(TblTimeSheet[[#This Row],[End Date and Time]]-TblTimeSheet[[#This Row],[Start Date and Time]])</f>
        <v>2.25</v>
      </c>
      <c r="M285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59" s="14">
        <f>--(0&gt;(TblTimeSheet[[#This Row],[End Date and Time]]-TblTimeSheet[[#This Row],[Start Date and Time]]))</f>
        <v>0</v>
      </c>
    </row>
    <row r="2860" spans="1:14" x14ac:dyDescent="0.25">
      <c r="A2860" s="1"/>
      <c r="B2860" s="2" t="s">
        <v>2882</v>
      </c>
      <c r="C2860" s="2" t="s">
        <v>36</v>
      </c>
      <c r="D2860" s="2" t="s">
        <v>32</v>
      </c>
      <c r="E2860" s="7" t="s">
        <v>3579</v>
      </c>
      <c r="F2860" s="37">
        <v>42620.673611111109</v>
      </c>
      <c r="G2860" s="37">
        <v>42620.694444444445</v>
      </c>
      <c r="H2860" s="1" t="s">
        <v>6</v>
      </c>
      <c r="I2860" s="1" t="s">
        <v>38</v>
      </c>
      <c r="J2860" s="1">
        <v>42620.694918981484</v>
      </c>
      <c r="K2860" s="1" t="s">
        <v>36</v>
      </c>
      <c r="L2860" s="14">
        <f>24*(TblTimeSheet[[#This Row],[End Date and Time]]-TblTimeSheet[[#This Row],[Start Date and Time]])</f>
        <v>0.50000000005820766</v>
      </c>
      <c r="M286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0" s="14">
        <f>--(0&gt;(TblTimeSheet[[#This Row],[End Date and Time]]-TblTimeSheet[[#This Row],[Start Date and Time]]))</f>
        <v>0</v>
      </c>
    </row>
    <row r="2861" spans="1:14" x14ac:dyDescent="0.25">
      <c r="A2861" s="1"/>
      <c r="B2861" s="2" t="s">
        <v>2882</v>
      </c>
      <c r="C2861" s="2" t="s">
        <v>36</v>
      </c>
      <c r="D2861" s="2" t="s">
        <v>32</v>
      </c>
      <c r="E2861" s="7" t="s">
        <v>3580</v>
      </c>
      <c r="F2861" s="37">
        <v>42620.697916666664</v>
      </c>
      <c r="G2861" s="37">
        <v>42620.704861111109</v>
      </c>
      <c r="H2861" s="1" t="s">
        <v>6</v>
      </c>
      <c r="I2861" s="1" t="s">
        <v>38</v>
      </c>
      <c r="J2861" s="1">
        <v>42620.717615740738</v>
      </c>
      <c r="K2861" s="1" t="s">
        <v>36</v>
      </c>
      <c r="L2861" s="14">
        <f>24*(TblTimeSheet[[#This Row],[End Date and Time]]-TblTimeSheet[[#This Row],[Start Date and Time]])</f>
        <v>0.16666666668606922</v>
      </c>
      <c r="M286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1" s="14">
        <f>--(0&gt;(TblTimeSheet[[#This Row],[End Date and Time]]-TblTimeSheet[[#This Row],[Start Date and Time]]))</f>
        <v>0</v>
      </c>
    </row>
    <row r="2862" spans="1:14" ht="30" x14ac:dyDescent="0.25">
      <c r="A2862" s="1"/>
      <c r="B2862" s="2" t="s">
        <v>2882</v>
      </c>
      <c r="C2862" s="2" t="s">
        <v>1105</v>
      </c>
      <c r="D2862" s="2" t="s">
        <v>32</v>
      </c>
      <c r="E2862" s="7" t="s">
        <v>3581</v>
      </c>
      <c r="F2862" s="37">
        <v>42620.697916666664</v>
      </c>
      <c r="G2862" s="37">
        <v>42620.704861111109</v>
      </c>
      <c r="H2862" s="1" t="s">
        <v>6</v>
      </c>
      <c r="I2862" s="1" t="s">
        <v>38</v>
      </c>
      <c r="J2862" s="1">
        <v>42620.719039351854</v>
      </c>
      <c r="K2862" s="1" t="s">
        <v>2864</v>
      </c>
      <c r="L2862" s="14">
        <f>24*(TblTimeSheet[[#This Row],[End Date and Time]]-TblTimeSheet[[#This Row],[Start Date and Time]])</f>
        <v>0.16666666668606922</v>
      </c>
      <c r="M286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2" s="14">
        <f>--(0&gt;(TblTimeSheet[[#This Row],[End Date and Time]]-TblTimeSheet[[#This Row],[Start Date and Time]]))</f>
        <v>0</v>
      </c>
    </row>
    <row r="2863" spans="1:14" x14ac:dyDescent="0.25">
      <c r="A2863" s="1"/>
      <c r="B2863" s="2" t="s">
        <v>2882</v>
      </c>
      <c r="C2863" s="2" t="s">
        <v>36</v>
      </c>
      <c r="D2863" s="2" t="s">
        <v>32</v>
      </c>
      <c r="E2863" s="7" t="s">
        <v>3983</v>
      </c>
      <c r="F2863" s="37">
        <v>42625.666666666664</v>
      </c>
      <c r="G2863" s="37">
        <v>42625.729166666664</v>
      </c>
      <c r="H2863" s="1" t="s">
        <v>6</v>
      </c>
      <c r="I2863" s="1" t="s">
        <v>38</v>
      </c>
      <c r="J2863" s="1">
        <v>42626.411249999997</v>
      </c>
      <c r="K2863" s="1" t="s">
        <v>36</v>
      </c>
      <c r="L2863" s="14">
        <f>24*(TblTimeSheet[[#This Row],[End Date and Time]]-TblTimeSheet[[#This Row],[Start Date and Time]])</f>
        <v>1.5</v>
      </c>
      <c r="M286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3" s="14">
        <f>--(0&gt;(TblTimeSheet[[#This Row],[End Date and Time]]-TblTimeSheet[[#This Row],[Start Date and Time]]))</f>
        <v>0</v>
      </c>
    </row>
    <row r="2864" spans="1:14" x14ac:dyDescent="0.25">
      <c r="A2864" s="1"/>
      <c r="B2864" s="2" t="s">
        <v>2882</v>
      </c>
      <c r="C2864" s="2" t="s">
        <v>36</v>
      </c>
      <c r="D2864" s="2" t="s">
        <v>32</v>
      </c>
      <c r="E2864" s="7" t="s">
        <v>3582</v>
      </c>
      <c r="F2864" s="37">
        <v>42629.645833333336</v>
      </c>
      <c r="G2864" s="37">
        <v>42629.715277777781</v>
      </c>
      <c r="H2864" s="1" t="s">
        <v>6</v>
      </c>
      <c r="I2864" s="1" t="s">
        <v>38</v>
      </c>
      <c r="J2864" s="1">
        <v>42629.714675925927</v>
      </c>
      <c r="K2864" s="1" t="s">
        <v>36</v>
      </c>
      <c r="L2864" s="14">
        <f>24*(TblTimeSheet[[#This Row],[End Date and Time]]-TblTimeSheet[[#This Row],[Start Date and Time]])</f>
        <v>1.6666666666860692</v>
      </c>
      <c r="M286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4" s="14">
        <f>--(0&gt;(TblTimeSheet[[#This Row],[End Date and Time]]-TblTimeSheet[[#This Row],[Start Date and Time]]))</f>
        <v>0</v>
      </c>
    </row>
    <row r="2865" spans="1:14" x14ac:dyDescent="0.25">
      <c r="A2865" s="1"/>
      <c r="B2865" s="2" t="s">
        <v>2882</v>
      </c>
      <c r="C2865" s="2" t="s">
        <v>36</v>
      </c>
      <c r="D2865" s="2" t="s">
        <v>32</v>
      </c>
      <c r="E2865" s="7" t="s">
        <v>3583</v>
      </c>
      <c r="F2865" s="37">
        <v>42630.388888888891</v>
      </c>
      <c r="G2865" s="37">
        <v>42630.402777777781</v>
      </c>
      <c r="H2865" s="1" t="s">
        <v>6</v>
      </c>
      <c r="I2865" s="1" t="s">
        <v>38</v>
      </c>
      <c r="J2865" s="1">
        <v>42630.457002314812</v>
      </c>
      <c r="K2865" s="1" t="s">
        <v>36</v>
      </c>
      <c r="L2865" s="14">
        <f>24*(TblTimeSheet[[#This Row],[End Date and Time]]-TblTimeSheet[[#This Row],[Start Date and Time]])</f>
        <v>0.33333333337213844</v>
      </c>
      <c r="M286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5" s="14">
        <f>--(0&gt;(TblTimeSheet[[#This Row],[End Date and Time]]-TblTimeSheet[[#This Row],[Start Date and Time]]))</f>
        <v>0</v>
      </c>
    </row>
    <row r="2866" spans="1:14" x14ac:dyDescent="0.25">
      <c r="A2866" s="1"/>
      <c r="B2866" s="2" t="s">
        <v>581</v>
      </c>
      <c r="C2866" s="2" t="s">
        <v>1503</v>
      </c>
      <c r="D2866" s="2" t="s">
        <v>3261</v>
      </c>
      <c r="E2866" s="7" t="s">
        <v>3584</v>
      </c>
      <c r="F2866" s="37">
        <v>42646.392361111109</v>
      </c>
      <c r="G2866" s="37">
        <v>42646.40625</v>
      </c>
      <c r="H2866" s="1" t="s">
        <v>6</v>
      </c>
      <c r="I2866" s="1" t="s">
        <v>38</v>
      </c>
      <c r="J2866" s="1">
        <v>42646.566967592589</v>
      </c>
      <c r="K2866" s="1" t="s">
        <v>2866</v>
      </c>
      <c r="L2866" s="14">
        <f>24*(TblTimeSheet[[#This Row],[End Date and Time]]-TblTimeSheet[[#This Row],[Start Date and Time]])</f>
        <v>0.33333333337213844</v>
      </c>
      <c r="M286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6" s="14">
        <f>--(0&gt;(TblTimeSheet[[#This Row],[End Date and Time]]-TblTimeSheet[[#This Row],[Start Date and Time]]))</f>
        <v>0</v>
      </c>
    </row>
    <row r="2867" spans="1:14" x14ac:dyDescent="0.25">
      <c r="A2867" s="1"/>
      <c r="B2867" s="2" t="s">
        <v>581</v>
      </c>
      <c r="C2867" s="2" t="s">
        <v>1503</v>
      </c>
      <c r="D2867" s="2" t="s">
        <v>3261</v>
      </c>
      <c r="E2867" s="7" t="s">
        <v>3585</v>
      </c>
      <c r="F2867" s="37">
        <v>42646.409722222219</v>
      </c>
      <c r="G2867" s="37">
        <v>42646.541666666664</v>
      </c>
      <c r="H2867" s="1" t="s">
        <v>6</v>
      </c>
      <c r="I2867" s="1" t="s">
        <v>38</v>
      </c>
      <c r="J2867" s="1">
        <v>42646.56894675926</v>
      </c>
      <c r="K2867" s="1" t="s">
        <v>2866</v>
      </c>
      <c r="L2867" s="14">
        <f>24*(TblTimeSheet[[#This Row],[End Date and Time]]-TblTimeSheet[[#This Row],[Start Date and Time]])</f>
        <v>3.1666666666860692</v>
      </c>
      <c r="M286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7" s="14">
        <f>--(0&gt;(TblTimeSheet[[#This Row],[End Date and Time]]-TblTimeSheet[[#This Row],[Start Date and Time]]))</f>
        <v>0</v>
      </c>
    </row>
    <row r="2868" spans="1:14" x14ac:dyDescent="0.25">
      <c r="A2868" s="1"/>
      <c r="B2868" s="2" t="s">
        <v>581</v>
      </c>
      <c r="C2868" s="2" t="s">
        <v>3586</v>
      </c>
      <c r="D2868" s="2" t="s">
        <v>3261</v>
      </c>
      <c r="E2868" s="7" t="s">
        <v>3587</v>
      </c>
      <c r="F2868" s="37">
        <v>42644.375</v>
      </c>
      <c r="G2868" s="37">
        <v>42644.458333333336</v>
      </c>
      <c r="H2868" s="1" t="s">
        <v>6</v>
      </c>
      <c r="I2868" s="1" t="s">
        <v>38</v>
      </c>
      <c r="J2868" s="1">
        <v>42646.611458333333</v>
      </c>
      <c r="K2868" s="1" t="s">
        <v>2866</v>
      </c>
      <c r="L2868" s="14">
        <f>24*(TblTimeSheet[[#This Row],[End Date and Time]]-TblTimeSheet[[#This Row],[Start Date and Time]])</f>
        <v>2.0000000000582077</v>
      </c>
      <c r="M286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8" s="14">
        <f>--(0&gt;(TblTimeSheet[[#This Row],[End Date and Time]]-TblTimeSheet[[#This Row],[Start Date and Time]]))</f>
        <v>0</v>
      </c>
    </row>
    <row r="2869" spans="1:14" x14ac:dyDescent="0.25">
      <c r="A2869" s="1"/>
      <c r="B2869" s="2" t="s">
        <v>2878</v>
      </c>
      <c r="C2869" s="2" t="s">
        <v>1503</v>
      </c>
      <c r="D2869" s="2" t="s">
        <v>3261</v>
      </c>
      <c r="E2869" s="7" t="s">
        <v>3588</v>
      </c>
      <c r="F2869" s="37">
        <v>42660.4375</v>
      </c>
      <c r="G2869" s="37">
        <v>42660.541666666664</v>
      </c>
      <c r="H2869" s="1" t="s">
        <v>6</v>
      </c>
      <c r="I2869" s="1" t="s">
        <v>38</v>
      </c>
      <c r="J2869" s="1">
        <v>42660.53701388889</v>
      </c>
      <c r="K2869" s="1" t="s">
        <v>2866</v>
      </c>
      <c r="L2869" s="14">
        <f>24*(TblTimeSheet[[#This Row],[End Date and Time]]-TblTimeSheet[[#This Row],[Start Date and Time]])</f>
        <v>2.4999999999417923</v>
      </c>
      <c r="M286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69" s="14">
        <f>--(0&gt;(TblTimeSheet[[#This Row],[End Date and Time]]-TblTimeSheet[[#This Row],[Start Date and Time]]))</f>
        <v>0</v>
      </c>
    </row>
    <row r="2870" spans="1:14" ht="30" x14ac:dyDescent="0.25">
      <c r="A2870" s="1"/>
      <c r="B2870" s="2" t="s">
        <v>2884</v>
      </c>
      <c r="C2870" s="2" t="s">
        <v>36</v>
      </c>
      <c r="D2870" s="2" t="s">
        <v>19</v>
      </c>
      <c r="E2870" s="7" t="s">
        <v>3589</v>
      </c>
      <c r="F2870" s="37">
        <v>42874.652777777781</v>
      </c>
      <c r="G2870" s="37">
        <v>42874.701388888891</v>
      </c>
      <c r="H2870" s="1" t="s">
        <v>6</v>
      </c>
      <c r="I2870" s="1" t="s">
        <v>38</v>
      </c>
      <c r="J2870" s="1">
        <v>42874.723043981481</v>
      </c>
      <c r="K2870" s="1" t="s">
        <v>36</v>
      </c>
      <c r="L2870" s="14">
        <f>24*(TblTimeSheet[[#This Row],[End Date and Time]]-TblTimeSheet[[#This Row],[Start Date and Time]])</f>
        <v>1.1666666666278616</v>
      </c>
      <c r="M287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0" s="14">
        <f>--(0&gt;(TblTimeSheet[[#This Row],[End Date and Time]]-TblTimeSheet[[#This Row],[Start Date and Time]]))</f>
        <v>0</v>
      </c>
    </row>
    <row r="2871" spans="1:14" x14ac:dyDescent="0.25">
      <c r="A2871" s="1"/>
      <c r="B2871" s="2" t="s">
        <v>2884</v>
      </c>
      <c r="C2871" s="2" t="s">
        <v>36</v>
      </c>
      <c r="D2871" s="2" t="s">
        <v>19</v>
      </c>
      <c r="E2871" s="7" t="s">
        <v>3590</v>
      </c>
      <c r="F2871" s="37">
        <v>42874.715277777781</v>
      </c>
      <c r="G2871" s="37">
        <v>42874.722222222219</v>
      </c>
      <c r="H2871" s="1" t="s">
        <v>6</v>
      </c>
      <c r="I2871" s="1" t="s">
        <v>38</v>
      </c>
      <c r="J2871" s="1">
        <v>42874.723692129628</v>
      </c>
      <c r="K2871" s="1" t="s">
        <v>36</v>
      </c>
      <c r="L2871" s="14">
        <f>24*(TblTimeSheet[[#This Row],[End Date and Time]]-TblTimeSheet[[#This Row],[Start Date and Time]])</f>
        <v>0.16666666651144624</v>
      </c>
      <c r="M287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1" s="14">
        <f>--(0&gt;(TblTimeSheet[[#This Row],[End Date and Time]]-TblTimeSheet[[#This Row],[Start Date and Time]]))</f>
        <v>0</v>
      </c>
    </row>
    <row r="2872" spans="1:14" x14ac:dyDescent="0.25">
      <c r="A2872" s="1"/>
      <c r="B2872" s="2" t="s">
        <v>2884</v>
      </c>
      <c r="C2872" s="2" t="s">
        <v>43</v>
      </c>
      <c r="D2872" s="2" t="s">
        <v>19</v>
      </c>
      <c r="E2872" s="7" t="s">
        <v>3591</v>
      </c>
      <c r="F2872" s="37">
        <v>42874.652777777781</v>
      </c>
      <c r="G2872" s="37">
        <v>42874.701388888891</v>
      </c>
      <c r="H2872" s="1" t="s">
        <v>6</v>
      </c>
      <c r="I2872" s="1" t="s">
        <v>38</v>
      </c>
      <c r="J2872" s="1">
        <v>42874.731099537035</v>
      </c>
      <c r="K2872" s="1" t="s">
        <v>43</v>
      </c>
      <c r="L2872" s="14">
        <f>24*(TblTimeSheet[[#This Row],[End Date and Time]]-TblTimeSheet[[#This Row],[Start Date and Time]])</f>
        <v>1.1666666666278616</v>
      </c>
      <c r="M287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2" s="14">
        <f>--(0&gt;(TblTimeSheet[[#This Row],[End Date and Time]]-TblTimeSheet[[#This Row],[Start Date and Time]]))</f>
        <v>0</v>
      </c>
    </row>
    <row r="2873" spans="1:14" x14ac:dyDescent="0.25">
      <c r="A2873" s="1"/>
      <c r="B2873" s="2" t="s">
        <v>2884</v>
      </c>
      <c r="C2873" s="2" t="s">
        <v>41</v>
      </c>
      <c r="D2873" s="2" t="s">
        <v>19</v>
      </c>
      <c r="E2873" s="7" t="s">
        <v>3592</v>
      </c>
      <c r="F2873" s="37">
        <v>42874.652777777781</v>
      </c>
      <c r="G2873" s="37">
        <v>42874.701388888891</v>
      </c>
      <c r="H2873" s="1" t="s">
        <v>6</v>
      </c>
      <c r="I2873" s="1" t="s">
        <v>38</v>
      </c>
      <c r="J2873" s="1">
        <v>42875.385185185187</v>
      </c>
      <c r="K2873" s="1" t="s">
        <v>41</v>
      </c>
      <c r="L2873" s="14">
        <f>24*(TblTimeSheet[[#This Row],[End Date and Time]]-TblTimeSheet[[#This Row],[Start Date and Time]])</f>
        <v>1.1666666666278616</v>
      </c>
      <c r="M287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3" s="14">
        <f>--(0&gt;(TblTimeSheet[[#This Row],[End Date and Time]]-TblTimeSheet[[#This Row],[Start Date and Time]]))</f>
        <v>0</v>
      </c>
    </row>
    <row r="2874" spans="1:14" x14ac:dyDescent="0.25">
      <c r="A2874" s="1"/>
      <c r="B2874" s="2" t="s">
        <v>2884</v>
      </c>
      <c r="C2874" s="2" t="s">
        <v>78</v>
      </c>
      <c r="D2874" s="2" t="s">
        <v>19</v>
      </c>
      <c r="E2874" s="7" t="s">
        <v>3593</v>
      </c>
      <c r="F2874" s="37">
        <v>42874.652777777781</v>
      </c>
      <c r="G2874" s="37">
        <v>42874.701388888891</v>
      </c>
      <c r="H2874" s="1" t="s">
        <v>6</v>
      </c>
      <c r="I2874" s="1" t="s">
        <v>38</v>
      </c>
      <c r="J2874" s="1">
        <v>42875.460613425923</v>
      </c>
      <c r="K2874" s="1" t="s">
        <v>78</v>
      </c>
      <c r="L2874" s="14">
        <f>24*(TblTimeSheet[[#This Row],[End Date and Time]]-TblTimeSheet[[#This Row],[Start Date and Time]])</f>
        <v>1.1666666666278616</v>
      </c>
      <c r="M287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4" s="14">
        <f>--(0&gt;(TblTimeSheet[[#This Row],[End Date and Time]]-TblTimeSheet[[#This Row],[Start Date and Time]]))</f>
        <v>0</v>
      </c>
    </row>
    <row r="2875" spans="1:14" x14ac:dyDescent="0.25">
      <c r="A2875" s="1"/>
      <c r="B2875" s="2" t="s">
        <v>2884</v>
      </c>
      <c r="C2875" s="2" t="s">
        <v>42</v>
      </c>
      <c r="D2875" s="2" t="s">
        <v>19</v>
      </c>
      <c r="E2875" s="7" t="s">
        <v>1209</v>
      </c>
      <c r="F2875" s="37">
        <v>42874.652777777781</v>
      </c>
      <c r="G2875" s="37">
        <v>42874.701388888891</v>
      </c>
      <c r="H2875" s="1" t="s">
        <v>6</v>
      </c>
      <c r="I2875" s="1" t="s">
        <v>38</v>
      </c>
      <c r="J2875" s="1">
        <v>42875.636377314811</v>
      </c>
      <c r="K2875" s="1" t="s">
        <v>42</v>
      </c>
      <c r="L2875" s="14">
        <f>24*(TblTimeSheet[[#This Row],[End Date and Time]]-TblTimeSheet[[#This Row],[Start Date and Time]])</f>
        <v>1.1666666666278616</v>
      </c>
      <c r="M287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5" s="14">
        <f>--(0&gt;(TblTimeSheet[[#This Row],[End Date and Time]]-TblTimeSheet[[#This Row],[Start Date and Time]]))</f>
        <v>0</v>
      </c>
    </row>
    <row r="2876" spans="1:14" x14ac:dyDescent="0.25">
      <c r="A2876" s="1"/>
      <c r="B2876" s="2" t="s">
        <v>2884</v>
      </c>
      <c r="C2876" s="2" t="s">
        <v>78</v>
      </c>
      <c r="D2876" s="2" t="s">
        <v>19</v>
      </c>
      <c r="E2876" s="7" t="s">
        <v>3594</v>
      </c>
      <c r="F2876" s="37">
        <v>42875.625</v>
      </c>
      <c r="G2876" s="37">
        <v>42875.697916666664</v>
      </c>
      <c r="H2876" s="1" t="s">
        <v>6</v>
      </c>
      <c r="I2876" s="1" t="s">
        <v>38</v>
      </c>
      <c r="J2876" s="1">
        <v>42875.753692129627</v>
      </c>
      <c r="K2876" s="1" t="s">
        <v>78</v>
      </c>
      <c r="L2876" s="14">
        <f>24*(TblTimeSheet[[#This Row],[End Date and Time]]-TblTimeSheet[[#This Row],[Start Date and Time]])</f>
        <v>1.7499999999417923</v>
      </c>
      <c r="M287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6" s="14">
        <f>--(0&gt;(TblTimeSheet[[#This Row],[End Date and Time]]-TblTimeSheet[[#This Row],[Start Date and Time]]))</f>
        <v>0</v>
      </c>
    </row>
    <row r="2877" spans="1:14" x14ac:dyDescent="0.25">
      <c r="A2877" s="1"/>
      <c r="B2877" s="2" t="s">
        <v>2884</v>
      </c>
      <c r="C2877" s="2" t="s">
        <v>118</v>
      </c>
      <c r="D2877" s="2" t="s">
        <v>19</v>
      </c>
      <c r="E2877" s="7" t="s">
        <v>3595</v>
      </c>
      <c r="F2877" s="37">
        <v>42877.645833333336</v>
      </c>
      <c r="G2877" s="37">
        <v>42877.673611111109</v>
      </c>
      <c r="H2877" s="1" t="s">
        <v>6</v>
      </c>
      <c r="I2877" s="1" t="s">
        <v>38</v>
      </c>
      <c r="J2877" s="1">
        <v>42877.687280092592</v>
      </c>
      <c r="K2877" s="1" t="s">
        <v>118</v>
      </c>
      <c r="L2877" s="14">
        <f>24*(TblTimeSheet[[#This Row],[End Date and Time]]-TblTimeSheet[[#This Row],[Start Date and Time]])</f>
        <v>0.6666666665696539</v>
      </c>
      <c r="M287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7" s="14">
        <f>--(0&gt;(TblTimeSheet[[#This Row],[End Date and Time]]-TblTimeSheet[[#This Row],[Start Date and Time]]))</f>
        <v>0</v>
      </c>
    </row>
    <row r="2878" spans="1:14" x14ac:dyDescent="0.25">
      <c r="A2878" s="1"/>
      <c r="B2878" s="2" t="s">
        <v>2884</v>
      </c>
      <c r="C2878" s="2" t="s">
        <v>78</v>
      </c>
      <c r="D2878" s="2" t="s">
        <v>19</v>
      </c>
      <c r="E2878" s="7" t="s">
        <v>3596</v>
      </c>
      <c r="F2878" s="37">
        <v>42877.597222222219</v>
      </c>
      <c r="G2878" s="37">
        <v>42877.684027777781</v>
      </c>
      <c r="H2878" s="1" t="s">
        <v>6</v>
      </c>
      <c r="I2878" s="1" t="s">
        <v>38</v>
      </c>
      <c r="J2878" s="1">
        <v>42877.699224537035</v>
      </c>
      <c r="K2878" s="1" t="s">
        <v>78</v>
      </c>
      <c r="L2878" s="14">
        <f>24*(TblTimeSheet[[#This Row],[End Date and Time]]-TblTimeSheet[[#This Row],[Start Date and Time]])</f>
        <v>2.0833333334885538</v>
      </c>
      <c r="M287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8" s="14">
        <f>--(0&gt;(TblTimeSheet[[#This Row],[End Date and Time]]-TblTimeSheet[[#This Row],[Start Date and Time]]))</f>
        <v>0</v>
      </c>
    </row>
    <row r="2879" spans="1:14" x14ac:dyDescent="0.25">
      <c r="A2879" s="1"/>
      <c r="B2879" s="2" t="s">
        <v>2884</v>
      </c>
      <c r="C2879" s="2" t="s">
        <v>41</v>
      </c>
      <c r="D2879" s="2" t="s">
        <v>19</v>
      </c>
      <c r="E2879" s="7" t="s">
        <v>3984</v>
      </c>
      <c r="F2879" s="37">
        <v>42877.416666666664</v>
      </c>
      <c r="G2879" s="37">
        <v>42877.541666666664</v>
      </c>
      <c r="H2879" s="1" t="s">
        <v>6</v>
      </c>
      <c r="I2879" s="1" t="s">
        <v>38</v>
      </c>
      <c r="J2879" s="1">
        <v>42877.707650462966</v>
      </c>
      <c r="K2879" s="1" t="s">
        <v>41</v>
      </c>
      <c r="L2879" s="14">
        <f>24*(TblTimeSheet[[#This Row],[End Date and Time]]-TblTimeSheet[[#This Row],[Start Date and Time]])</f>
        <v>3</v>
      </c>
      <c r="M287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79" s="14">
        <f>--(0&gt;(TblTimeSheet[[#This Row],[End Date and Time]]-TblTimeSheet[[#This Row],[Start Date and Time]]))</f>
        <v>0</v>
      </c>
    </row>
    <row r="2880" spans="1:14" ht="30" x14ac:dyDescent="0.25">
      <c r="A2880" s="1"/>
      <c r="B2880" s="2" t="s">
        <v>2884</v>
      </c>
      <c r="C2880" s="2" t="s">
        <v>41</v>
      </c>
      <c r="D2880" s="2" t="s">
        <v>19</v>
      </c>
      <c r="E2880" s="7" t="s">
        <v>3985</v>
      </c>
      <c r="F2880" s="37">
        <v>42877.597222222219</v>
      </c>
      <c r="G2880" s="37">
        <v>42877.684027777781</v>
      </c>
      <c r="H2880" s="1" t="s">
        <v>6</v>
      </c>
      <c r="I2880" s="1" t="s">
        <v>38</v>
      </c>
      <c r="J2880" s="1">
        <v>42877.709270833337</v>
      </c>
      <c r="K2880" s="1" t="s">
        <v>41</v>
      </c>
      <c r="L2880" s="14">
        <f>24*(TblTimeSheet[[#This Row],[End Date and Time]]-TblTimeSheet[[#This Row],[Start Date and Time]])</f>
        <v>2.0833333334885538</v>
      </c>
      <c r="M288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0" s="14">
        <f>--(0&gt;(TblTimeSheet[[#This Row],[End Date and Time]]-TblTimeSheet[[#This Row],[Start Date and Time]]))</f>
        <v>0</v>
      </c>
    </row>
    <row r="2881" spans="1:14" x14ac:dyDescent="0.25">
      <c r="A2881" s="1"/>
      <c r="B2881" s="2" t="s">
        <v>2884</v>
      </c>
      <c r="C2881" s="2" t="s">
        <v>924</v>
      </c>
      <c r="D2881" s="2" t="s">
        <v>19</v>
      </c>
      <c r="E2881" s="7" t="s">
        <v>3597</v>
      </c>
      <c r="F2881" s="37">
        <v>42878.625</v>
      </c>
      <c r="G2881" s="37">
        <v>42878.673611111109</v>
      </c>
      <c r="H2881" s="1" t="s">
        <v>6</v>
      </c>
      <c r="I2881" s="1" t="s">
        <v>38</v>
      </c>
      <c r="J2881" s="1">
        <v>42878.674675925926</v>
      </c>
      <c r="K2881" s="1" t="s">
        <v>924</v>
      </c>
      <c r="L2881" s="14">
        <f>24*(TblTimeSheet[[#This Row],[End Date and Time]]-TblTimeSheet[[#This Row],[Start Date and Time]])</f>
        <v>1.1666666666278616</v>
      </c>
      <c r="M288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1" s="14">
        <f>--(0&gt;(TblTimeSheet[[#This Row],[End Date and Time]]-TblTimeSheet[[#This Row],[Start Date and Time]]))</f>
        <v>0</v>
      </c>
    </row>
    <row r="2882" spans="1:14" x14ac:dyDescent="0.25">
      <c r="A2882" s="1"/>
      <c r="B2882" s="2" t="s">
        <v>2884</v>
      </c>
      <c r="C2882" s="2" t="s">
        <v>78</v>
      </c>
      <c r="D2882" s="2" t="s">
        <v>19</v>
      </c>
      <c r="E2882" s="7" t="s">
        <v>3598</v>
      </c>
      <c r="F2882" s="37">
        <v>42878.625</v>
      </c>
      <c r="G2882" s="37">
        <v>42878.673611111109</v>
      </c>
      <c r="H2882" s="1" t="s">
        <v>6</v>
      </c>
      <c r="I2882" s="1" t="s">
        <v>38</v>
      </c>
      <c r="J2882" s="1">
        <v>42879.396249999998</v>
      </c>
      <c r="K2882" s="1" t="s">
        <v>78</v>
      </c>
      <c r="L2882" s="14">
        <f>24*(TblTimeSheet[[#This Row],[End Date and Time]]-TblTimeSheet[[#This Row],[Start Date and Time]])</f>
        <v>1.1666666666278616</v>
      </c>
      <c r="M288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2" s="14">
        <f>--(0&gt;(TblTimeSheet[[#This Row],[End Date and Time]]-TblTimeSheet[[#This Row],[Start Date and Time]]))</f>
        <v>0</v>
      </c>
    </row>
    <row r="2883" spans="1:14" x14ac:dyDescent="0.25">
      <c r="A2883" s="1"/>
      <c r="B2883" s="2" t="s">
        <v>2884</v>
      </c>
      <c r="C2883" s="2" t="s">
        <v>78</v>
      </c>
      <c r="D2883" s="2" t="s">
        <v>19</v>
      </c>
      <c r="E2883" s="7" t="s">
        <v>3599</v>
      </c>
      <c r="F2883" s="37">
        <v>42879.392361111109</v>
      </c>
      <c r="G2883" s="37">
        <v>42879.395833333336</v>
      </c>
      <c r="H2883" s="1" t="s">
        <v>6</v>
      </c>
      <c r="I2883" s="1" t="s">
        <v>38</v>
      </c>
      <c r="J2883" s="1">
        <v>42879.400891203702</v>
      </c>
      <c r="K2883" s="1" t="s">
        <v>78</v>
      </c>
      <c r="L2883" s="14">
        <f>24*(TblTimeSheet[[#This Row],[End Date and Time]]-TblTimeSheet[[#This Row],[Start Date and Time]])</f>
        <v>8.3333333430346102E-2</v>
      </c>
      <c r="M288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3" s="14">
        <f>--(0&gt;(TblTimeSheet[[#This Row],[End Date and Time]]-TblTimeSheet[[#This Row],[Start Date and Time]]))</f>
        <v>0</v>
      </c>
    </row>
    <row r="2884" spans="1:14" x14ac:dyDescent="0.25">
      <c r="A2884" s="1"/>
      <c r="B2884" s="2" t="s">
        <v>2884</v>
      </c>
      <c r="C2884" s="2" t="s">
        <v>43</v>
      </c>
      <c r="D2884" s="2" t="s">
        <v>19</v>
      </c>
      <c r="E2884" s="7" t="s">
        <v>3554</v>
      </c>
      <c r="F2884" s="37">
        <v>42880.736111111109</v>
      </c>
      <c r="G2884" s="37">
        <v>42880.777777777781</v>
      </c>
      <c r="H2884" s="1" t="s">
        <v>6</v>
      </c>
      <c r="I2884" s="1" t="s">
        <v>38</v>
      </c>
      <c r="J2884" s="1">
        <v>42881.399976851855</v>
      </c>
      <c r="K2884" s="1" t="s">
        <v>43</v>
      </c>
      <c r="L2884" s="14">
        <f>24*(TblTimeSheet[[#This Row],[End Date and Time]]-TblTimeSheet[[#This Row],[Start Date and Time]])</f>
        <v>1.0000000001164153</v>
      </c>
      <c r="M288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4" s="14">
        <f>--(0&gt;(TblTimeSheet[[#This Row],[End Date and Time]]-TblTimeSheet[[#This Row],[Start Date and Time]]))</f>
        <v>0</v>
      </c>
    </row>
    <row r="2885" spans="1:14" x14ac:dyDescent="0.25">
      <c r="A2885" s="1"/>
      <c r="B2885" s="2" t="s">
        <v>2884</v>
      </c>
      <c r="C2885" s="2" t="s">
        <v>78</v>
      </c>
      <c r="D2885" s="2" t="s">
        <v>19</v>
      </c>
      <c r="E2885" s="7" t="s">
        <v>3554</v>
      </c>
      <c r="F2885" s="37">
        <v>42880.736111111109</v>
      </c>
      <c r="G2885" s="37">
        <v>42880.777777777781</v>
      </c>
      <c r="H2885" s="1" t="s">
        <v>6</v>
      </c>
      <c r="I2885" s="1" t="s">
        <v>38</v>
      </c>
      <c r="J2885" s="1">
        <v>42881.402511574073</v>
      </c>
      <c r="K2885" s="1" t="s">
        <v>78</v>
      </c>
      <c r="L2885" s="14">
        <f>24*(TblTimeSheet[[#This Row],[End Date and Time]]-TblTimeSheet[[#This Row],[Start Date and Time]])</f>
        <v>1.0000000001164153</v>
      </c>
      <c r="M288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5" s="14">
        <f>--(0&gt;(TblTimeSheet[[#This Row],[End Date and Time]]-TblTimeSheet[[#This Row],[Start Date and Time]]))</f>
        <v>0</v>
      </c>
    </row>
    <row r="2886" spans="1:14" x14ac:dyDescent="0.25">
      <c r="A2886" s="1"/>
      <c r="B2886" s="2" t="s">
        <v>2884</v>
      </c>
      <c r="C2886" s="2" t="s">
        <v>42</v>
      </c>
      <c r="D2886" s="2" t="s">
        <v>19</v>
      </c>
      <c r="E2886" s="7" t="s">
        <v>3600</v>
      </c>
      <c r="F2886" s="37">
        <v>42881.586805555555</v>
      </c>
      <c r="G2886" s="37">
        <v>42881.628472222219</v>
      </c>
      <c r="H2886" s="1" t="s">
        <v>6</v>
      </c>
      <c r="I2886" s="1" t="s">
        <v>38</v>
      </c>
      <c r="J2886" s="1">
        <v>42881.733043981483</v>
      </c>
      <c r="K2886" s="1" t="s">
        <v>42</v>
      </c>
      <c r="L2886" s="14">
        <f>24*(TblTimeSheet[[#This Row],[End Date and Time]]-TblTimeSheet[[#This Row],[Start Date and Time]])</f>
        <v>0.99999999994179234</v>
      </c>
      <c r="M288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6" s="14">
        <f>--(0&gt;(TblTimeSheet[[#This Row],[End Date and Time]]-TblTimeSheet[[#This Row],[Start Date and Time]]))</f>
        <v>0</v>
      </c>
    </row>
    <row r="2887" spans="1:14" x14ac:dyDescent="0.25">
      <c r="A2887" s="1"/>
      <c r="B2887" s="2" t="s">
        <v>2884</v>
      </c>
      <c r="C2887" s="2" t="s">
        <v>78</v>
      </c>
      <c r="D2887" s="2" t="s">
        <v>19</v>
      </c>
      <c r="E2887" s="7" t="s">
        <v>3601</v>
      </c>
      <c r="F2887" s="37">
        <v>42873.736111111109</v>
      </c>
      <c r="G2887" s="37">
        <v>42873.75</v>
      </c>
      <c r="H2887" s="1" t="s">
        <v>6</v>
      </c>
      <c r="I2887" s="1" t="s">
        <v>38</v>
      </c>
      <c r="J2887" s="1">
        <v>42881.770949074074</v>
      </c>
      <c r="K2887" s="1" t="s">
        <v>78</v>
      </c>
      <c r="L2887" s="14">
        <f>24*(TblTimeSheet[[#This Row],[End Date and Time]]-TblTimeSheet[[#This Row],[Start Date and Time]])</f>
        <v>0.33333333337213844</v>
      </c>
      <c r="M288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7" s="14">
        <f>--(0&gt;(TblTimeSheet[[#This Row],[End Date and Time]]-TblTimeSheet[[#This Row],[Start Date and Time]]))</f>
        <v>0</v>
      </c>
    </row>
    <row r="2888" spans="1:14" x14ac:dyDescent="0.25">
      <c r="A2888" s="1"/>
      <c r="B2888" s="2" t="s">
        <v>2884</v>
      </c>
      <c r="C2888" s="2" t="s">
        <v>924</v>
      </c>
      <c r="D2888" s="2" t="s">
        <v>19</v>
      </c>
      <c r="E2888" s="7" t="s">
        <v>3602</v>
      </c>
      <c r="F2888" s="37">
        <v>42873.736111111109</v>
      </c>
      <c r="G2888" s="37">
        <v>42873.75</v>
      </c>
      <c r="H2888" s="1" t="s">
        <v>6</v>
      </c>
      <c r="I2888" s="1" t="s">
        <v>38</v>
      </c>
      <c r="J2888" s="1">
        <v>42881.790173611109</v>
      </c>
      <c r="K2888" s="1" t="s">
        <v>924</v>
      </c>
      <c r="L2888" s="14">
        <f>24*(TblTimeSheet[[#This Row],[End Date and Time]]-TblTimeSheet[[#This Row],[Start Date and Time]])</f>
        <v>0.33333333337213844</v>
      </c>
      <c r="M288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8" s="14">
        <f>--(0&gt;(TblTimeSheet[[#This Row],[End Date and Time]]-TblTimeSheet[[#This Row],[Start Date and Time]]))</f>
        <v>0</v>
      </c>
    </row>
    <row r="2889" spans="1:14" x14ac:dyDescent="0.25">
      <c r="A2889" s="1"/>
      <c r="B2889" s="2" t="s">
        <v>2884</v>
      </c>
      <c r="C2889" s="2" t="s">
        <v>78</v>
      </c>
      <c r="D2889" s="2" t="s">
        <v>19</v>
      </c>
      <c r="E2889" s="7" t="s">
        <v>3603</v>
      </c>
      <c r="F2889" s="37">
        <v>42881.586805555555</v>
      </c>
      <c r="G2889" s="37">
        <v>42881.628472222219</v>
      </c>
      <c r="H2889" s="1" t="s">
        <v>6</v>
      </c>
      <c r="I2889" s="1" t="s">
        <v>38</v>
      </c>
      <c r="J2889" s="1">
        <v>42882.473969907405</v>
      </c>
      <c r="K2889" s="1" t="s">
        <v>78</v>
      </c>
      <c r="L2889" s="14">
        <f>24*(TblTimeSheet[[#This Row],[End Date and Time]]-TblTimeSheet[[#This Row],[Start Date and Time]])</f>
        <v>0.99999999994179234</v>
      </c>
      <c r="M288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89" s="14">
        <f>--(0&gt;(TblTimeSheet[[#This Row],[End Date and Time]]-TblTimeSheet[[#This Row],[Start Date and Time]]))</f>
        <v>0</v>
      </c>
    </row>
    <row r="2890" spans="1:14" x14ac:dyDescent="0.25">
      <c r="A2890" s="1"/>
      <c r="B2890" s="2" t="s">
        <v>2884</v>
      </c>
      <c r="C2890" s="2" t="s">
        <v>78</v>
      </c>
      <c r="D2890" s="2" t="s">
        <v>19</v>
      </c>
      <c r="E2890" s="7" t="s">
        <v>3604</v>
      </c>
      <c r="F2890" s="37">
        <v>42881.770833333336</v>
      </c>
      <c r="G2890" s="37">
        <v>42881.788194444445</v>
      </c>
      <c r="H2890" s="1" t="s">
        <v>6</v>
      </c>
      <c r="I2890" s="1" t="s">
        <v>38</v>
      </c>
      <c r="J2890" s="1">
        <v>42882.475162037037</v>
      </c>
      <c r="K2890" s="1" t="s">
        <v>78</v>
      </c>
      <c r="L2890" s="14">
        <f>24*(TblTimeSheet[[#This Row],[End Date and Time]]-TblTimeSheet[[#This Row],[Start Date and Time]])</f>
        <v>0.41666666662786156</v>
      </c>
      <c r="M289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0" s="14">
        <f>--(0&gt;(TblTimeSheet[[#This Row],[End Date and Time]]-TblTimeSheet[[#This Row],[Start Date and Time]]))</f>
        <v>0</v>
      </c>
    </row>
    <row r="2891" spans="1:14" x14ac:dyDescent="0.25">
      <c r="A2891" s="1"/>
      <c r="B2891" s="2" t="s">
        <v>2884</v>
      </c>
      <c r="C2891" s="2" t="s">
        <v>78</v>
      </c>
      <c r="D2891" s="2" t="s">
        <v>19</v>
      </c>
      <c r="E2891" s="7" t="s">
        <v>3605</v>
      </c>
      <c r="F2891" s="37">
        <v>42882.375</v>
      </c>
      <c r="G2891" s="37">
        <v>42882.381944444445</v>
      </c>
      <c r="H2891" s="1" t="s">
        <v>6</v>
      </c>
      <c r="I2891" s="1" t="s">
        <v>38</v>
      </c>
      <c r="J2891" s="1">
        <v>42882.479108796295</v>
      </c>
      <c r="K2891" s="1" t="s">
        <v>78</v>
      </c>
      <c r="L2891" s="14">
        <f>24*(TblTimeSheet[[#This Row],[End Date and Time]]-TblTimeSheet[[#This Row],[Start Date and Time]])</f>
        <v>0.16666666668606922</v>
      </c>
      <c r="M289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1" s="14">
        <f>--(0&gt;(TblTimeSheet[[#This Row],[End Date and Time]]-TblTimeSheet[[#This Row],[Start Date and Time]]))</f>
        <v>0</v>
      </c>
    </row>
    <row r="2892" spans="1:14" x14ac:dyDescent="0.25">
      <c r="A2892" s="1"/>
      <c r="B2892" s="2" t="s">
        <v>2884</v>
      </c>
      <c r="C2892" s="2" t="s">
        <v>78</v>
      </c>
      <c r="D2892" s="2" t="s">
        <v>19</v>
      </c>
      <c r="E2892" s="7" t="s">
        <v>3605</v>
      </c>
      <c r="F2892" s="37">
        <v>42882.454861111109</v>
      </c>
      <c r="G2892" s="37">
        <v>42882.461805555555</v>
      </c>
      <c r="H2892" s="1" t="s">
        <v>6</v>
      </c>
      <c r="I2892" s="1" t="s">
        <v>38</v>
      </c>
      <c r="J2892" s="1">
        <v>42882.479710648149</v>
      </c>
      <c r="K2892" s="1" t="s">
        <v>78</v>
      </c>
      <c r="L2892" s="14">
        <f>24*(TblTimeSheet[[#This Row],[End Date and Time]]-TblTimeSheet[[#This Row],[Start Date and Time]])</f>
        <v>0.16666666668606922</v>
      </c>
      <c r="M289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2" s="14">
        <f>--(0&gt;(TblTimeSheet[[#This Row],[End Date and Time]]-TblTimeSheet[[#This Row],[Start Date and Time]]))</f>
        <v>0</v>
      </c>
    </row>
    <row r="2893" spans="1:14" x14ac:dyDescent="0.25">
      <c r="A2893" s="1"/>
      <c r="B2893" s="2" t="s">
        <v>2884</v>
      </c>
      <c r="C2893" s="2" t="s">
        <v>78</v>
      </c>
      <c r="D2893" s="2" t="s">
        <v>19</v>
      </c>
      <c r="E2893" s="7" t="s">
        <v>3606</v>
      </c>
      <c r="F2893" s="37">
        <v>42882.465277777781</v>
      </c>
      <c r="G2893" s="37">
        <v>42882.46875</v>
      </c>
      <c r="H2893" s="1" t="s">
        <v>6</v>
      </c>
      <c r="I2893" s="1" t="s">
        <v>38</v>
      </c>
      <c r="J2893" s="1">
        <v>42882.480509259258</v>
      </c>
      <c r="K2893" s="1" t="s">
        <v>78</v>
      </c>
      <c r="L2893" s="14">
        <f>24*(TblTimeSheet[[#This Row],[End Date and Time]]-TblTimeSheet[[#This Row],[Start Date and Time]])</f>
        <v>8.3333333255723119E-2</v>
      </c>
      <c r="M289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3" s="14">
        <f>--(0&gt;(TblTimeSheet[[#This Row],[End Date and Time]]-TblTimeSheet[[#This Row],[Start Date and Time]]))</f>
        <v>0</v>
      </c>
    </row>
    <row r="2894" spans="1:14" x14ac:dyDescent="0.25">
      <c r="A2894" s="1"/>
      <c r="B2894" s="2" t="s">
        <v>2884</v>
      </c>
      <c r="C2894" s="2" t="s">
        <v>42</v>
      </c>
      <c r="D2894" s="2" t="s">
        <v>19</v>
      </c>
      <c r="E2894" s="7" t="s">
        <v>3607</v>
      </c>
      <c r="F2894" s="37">
        <v>42881.715277777781</v>
      </c>
      <c r="G2894" s="37">
        <v>42881.729166666664</v>
      </c>
      <c r="H2894" s="1" t="s">
        <v>6</v>
      </c>
      <c r="I2894" s="1" t="s">
        <v>38</v>
      </c>
      <c r="J2894" s="1">
        <v>42882.583252314813</v>
      </c>
      <c r="K2894" s="1" t="s">
        <v>42</v>
      </c>
      <c r="L2894" s="14">
        <f>24*(TblTimeSheet[[#This Row],[End Date and Time]]-TblTimeSheet[[#This Row],[Start Date and Time]])</f>
        <v>0.33333333319751546</v>
      </c>
      <c r="M289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4" s="14">
        <f>--(0&gt;(TblTimeSheet[[#This Row],[End Date and Time]]-TblTimeSheet[[#This Row],[Start Date and Time]]))</f>
        <v>0</v>
      </c>
    </row>
    <row r="2895" spans="1:14" x14ac:dyDescent="0.25">
      <c r="A2895" s="1"/>
      <c r="B2895" s="2" t="s">
        <v>2884</v>
      </c>
      <c r="C2895" s="2" t="s">
        <v>78</v>
      </c>
      <c r="D2895" s="2" t="s">
        <v>20</v>
      </c>
      <c r="E2895" s="7" t="s">
        <v>3608</v>
      </c>
      <c r="F2895" s="37">
        <v>42882.631944444445</v>
      </c>
      <c r="G2895" s="37">
        <v>42882.673611111109</v>
      </c>
      <c r="H2895" s="1" t="s">
        <v>6</v>
      </c>
      <c r="I2895" s="1" t="s">
        <v>38</v>
      </c>
      <c r="J2895" s="1">
        <v>42882.692372685182</v>
      </c>
      <c r="K2895" s="1" t="s">
        <v>78</v>
      </c>
      <c r="L2895" s="14">
        <f>24*(TblTimeSheet[[#This Row],[End Date and Time]]-TblTimeSheet[[#This Row],[Start Date and Time]])</f>
        <v>0.99999999994179234</v>
      </c>
      <c r="M289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5" s="14">
        <f>--(0&gt;(TblTimeSheet[[#This Row],[End Date and Time]]-TblTimeSheet[[#This Row],[Start Date and Time]]))</f>
        <v>0</v>
      </c>
    </row>
    <row r="2896" spans="1:14" x14ac:dyDescent="0.25">
      <c r="A2896" s="1"/>
      <c r="B2896" s="2" t="s">
        <v>2884</v>
      </c>
      <c r="C2896" s="2" t="s">
        <v>78</v>
      </c>
      <c r="D2896" s="2" t="s">
        <v>20</v>
      </c>
      <c r="E2896" s="7" t="s">
        <v>3609</v>
      </c>
      <c r="F2896" s="37">
        <v>42882.701388888891</v>
      </c>
      <c r="G2896" s="37">
        <v>42882.704861111109</v>
      </c>
      <c r="H2896" s="1" t="s">
        <v>6</v>
      </c>
      <c r="I2896" s="1" t="s">
        <v>38</v>
      </c>
      <c r="J2896" s="1">
        <v>42882.712037037039</v>
      </c>
      <c r="K2896" s="1" t="s">
        <v>78</v>
      </c>
      <c r="L2896" s="14">
        <f>24*(TblTimeSheet[[#This Row],[End Date and Time]]-TblTimeSheet[[#This Row],[Start Date and Time]])</f>
        <v>8.3333333255723119E-2</v>
      </c>
      <c r="M289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6" s="14">
        <f>--(0&gt;(TblTimeSheet[[#This Row],[End Date and Time]]-TblTimeSheet[[#This Row],[Start Date and Time]]))</f>
        <v>0</v>
      </c>
    </row>
    <row r="2897" spans="1:14" x14ac:dyDescent="0.25">
      <c r="A2897" s="1"/>
      <c r="B2897" s="2" t="s">
        <v>2884</v>
      </c>
      <c r="C2897" s="2" t="s">
        <v>42</v>
      </c>
      <c r="D2897" s="2" t="s">
        <v>20</v>
      </c>
      <c r="E2897" s="7" t="s">
        <v>3610</v>
      </c>
      <c r="F2897" s="37">
        <v>42882.701388888891</v>
      </c>
      <c r="G2897" s="37">
        <v>42882.704861111109</v>
      </c>
      <c r="H2897" s="1" t="s">
        <v>6</v>
      </c>
      <c r="I2897" s="1" t="s">
        <v>38</v>
      </c>
      <c r="J2897" s="1">
        <v>42882.713842592595</v>
      </c>
      <c r="K2897" s="1" t="s">
        <v>42</v>
      </c>
      <c r="L2897" s="14">
        <f>24*(TblTimeSheet[[#This Row],[End Date and Time]]-TblTimeSheet[[#This Row],[Start Date and Time]])</f>
        <v>8.3333333255723119E-2</v>
      </c>
      <c r="M289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7" s="14">
        <f>--(0&gt;(TblTimeSheet[[#This Row],[End Date and Time]]-TblTimeSheet[[#This Row],[Start Date and Time]]))</f>
        <v>0</v>
      </c>
    </row>
    <row r="2898" spans="1:14" x14ac:dyDescent="0.25">
      <c r="A2898" s="1"/>
      <c r="B2898" s="2" t="s">
        <v>2884</v>
      </c>
      <c r="C2898" s="2" t="s">
        <v>924</v>
      </c>
      <c r="D2898" s="2" t="s">
        <v>20</v>
      </c>
      <c r="E2898" s="7" t="s">
        <v>3611</v>
      </c>
      <c r="F2898" s="37">
        <v>42882.75</v>
      </c>
      <c r="G2898" s="37">
        <v>42882.760416666664</v>
      </c>
      <c r="H2898" s="1" t="s">
        <v>6</v>
      </c>
      <c r="I2898" s="1" t="s">
        <v>38</v>
      </c>
      <c r="J2898" s="1">
        <v>42882.763645833336</v>
      </c>
      <c r="K2898" s="1" t="s">
        <v>924</v>
      </c>
      <c r="L2898" s="14">
        <f>24*(TblTimeSheet[[#This Row],[End Date and Time]]-TblTimeSheet[[#This Row],[Start Date and Time]])</f>
        <v>0.24999999994179234</v>
      </c>
      <c r="M289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8" s="14">
        <f>--(0&gt;(TblTimeSheet[[#This Row],[End Date and Time]]-TblTimeSheet[[#This Row],[Start Date and Time]]))</f>
        <v>0</v>
      </c>
    </row>
    <row r="2899" spans="1:14" x14ac:dyDescent="0.25">
      <c r="A2899" s="1"/>
      <c r="B2899" s="2" t="s">
        <v>2884</v>
      </c>
      <c r="C2899" s="2" t="s">
        <v>78</v>
      </c>
      <c r="D2899" s="2" t="s">
        <v>20</v>
      </c>
      <c r="E2899" s="7" t="s">
        <v>3612</v>
      </c>
      <c r="F2899" s="37">
        <v>42882.75</v>
      </c>
      <c r="G2899" s="37">
        <v>42882.767361111109</v>
      </c>
      <c r="H2899" s="1" t="s">
        <v>6</v>
      </c>
      <c r="I2899" s="1" t="s">
        <v>38</v>
      </c>
      <c r="J2899" s="1">
        <v>42882.770208333335</v>
      </c>
      <c r="K2899" s="1" t="s">
        <v>78</v>
      </c>
      <c r="L2899" s="14">
        <f>24*(TblTimeSheet[[#This Row],[End Date and Time]]-TblTimeSheet[[#This Row],[Start Date and Time]])</f>
        <v>0.41666666662786156</v>
      </c>
      <c r="M289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899" s="14">
        <f>--(0&gt;(TblTimeSheet[[#This Row],[End Date and Time]]-TblTimeSheet[[#This Row],[Start Date and Time]]))</f>
        <v>0</v>
      </c>
    </row>
    <row r="2900" spans="1:14" x14ac:dyDescent="0.25">
      <c r="A2900" s="1"/>
      <c r="B2900" s="2" t="s">
        <v>2884</v>
      </c>
      <c r="C2900" s="2" t="s">
        <v>78</v>
      </c>
      <c r="D2900" s="2" t="s">
        <v>20</v>
      </c>
      <c r="E2900" s="7" t="s">
        <v>3613</v>
      </c>
      <c r="F2900" s="37">
        <v>42905.715277777781</v>
      </c>
      <c r="G2900" s="37">
        <v>42905.746527777781</v>
      </c>
      <c r="H2900" s="1" t="s">
        <v>6</v>
      </c>
      <c r="I2900" s="1" t="s">
        <v>38</v>
      </c>
      <c r="J2900" s="1">
        <v>42905.746192129627</v>
      </c>
      <c r="K2900" s="1" t="s">
        <v>78</v>
      </c>
      <c r="L2900" s="14">
        <f>24*(TblTimeSheet[[#This Row],[End Date and Time]]-TblTimeSheet[[#This Row],[Start Date and Time]])</f>
        <v>0.75</v>
      </c>
      <c r="M2900"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0" s="14">
        <f>--(0&gt;(TblTimeSheet[[#This Row],[End Date and Time]]-TblTimeSheet[[#This Row],[Start Date and Time]]))</f>
        <v>0</v>
      </c>
    </row>
    <row r="2901" spans="1:14" x14ac:dyDescent="0.25">
      <c r="A2901" s="1"/>
      <c r="B2901" s="2" t="s">
        <v>2884</v>
      </c>
      <c r="C2901" s="2" t="s">
        <v>43</v>
      </c>
      <c r="D2901" s="2" t="s">
        <v>20</v>
      </c>
      <c r="E2901" s="7" t="s">
        <v>3986</v>
      </c>
      <c r="F2901" s="37">
        <v>42905.715277777781</v>
      </c>
      <c r="G2901" s="37">
        <v>42905.746527777781</v>
      </c>
      <c r="H2901" s="1" t="s">
        <v>6</v>
      </c>
      <c r="I2901" s="1" t="s">
        <v>38</v>
      </c>
      <c r="J2901" s="1">
        <v>42905.752534722225</v>
      </c>
      <c r="K2901" s="1" t="s">
        <v>43</v>
      </c>
      <c r="L2901" s="14">
        <f>24*(TblTimeSheet[[#This Row],[End Date and Time]]-TblTimeSheet[[#This Row],[Start Date and Time]])</f>
        <v>0.75</v>
      </c>
      <c r="M2901"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1" s="14">
        <f>--(0&gt;(TblTimeSheet[[#This Row],[End Date and Time]]-TblTimeSheet[[#This Row],[Start Date and Time]]))</f>
        <v>0</v>
      </c>
    </row>
    <row r="2902" spans="1:14" x14ac:dyDescent="0.25">
      <c r="A2902" s="1"/>
      <c r="B2902" s="2" t="s">
        <v>2884</v>
      </c>
      <c r="C2902" s="2" t="s">
        <v>78</v>
      </c>
      <c r="D2902" s="2" t="s">
        <v>20</v>
      </c>
      <c r="E2902" s="7" t="s">
        <v>3614</v>
      </c>
      <c r="F2902" s="37">
        <v>42919.739583333336</v>
      </c>
      <c r="G2902" s="37">
        <v>42919.753472222219</v>
      </c>
      <c r="H2902" s="1" t="s">
        <v>6</v>
      </c>
      <c r="I2902" s="1" t="s">
        <v>38</v>
      </c>
      <c r="J2902" s="1">
        <v>42919.754305555558</v>
      </c>
      <c r="K2902" s="1" t="s">
        <v>78</v>
      </c>
      <c r="L2902" s="14">
        <f>24*(TblTimeSheet[[#This Row],[End Date and Time]]-TblTimeSheet[[#This Row],[Start Date and Time]])</f>
        <v>0.33333333319751546</v>
      </c>
      <c r="M2902"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2" s="14">
        <f>--(0&gt;(TblTimeSheet[[#This Row],[End Date and Time]]-TblTimeSheet[[#This Row],[Start Date and Time]]))</f>
        <v>0</v>
      </c>
    </row>
    <row r="2903" spans="1:14" x14ac:dyDescent="0.25">
      <c r="A2903" s="1"/>
      <c r="B2903" s="2" t="s">
        <v>2884</v>
      </c>
      <c r="C2903" s="2" t="s">
        <v>171</v>
      </c>
      <c r="D2903" s="2" t="s">
        <v>20</v>
      </c>
      <c r="E2903" s="7" t="s">
        <v>3987</v>
      </c>
      <c r="F2903" s="37">
        <v>42919.739583333336</v>
      </c>
      <c r="G2903" s="37">
        <v>42919.753472222219</v>
      </c>
      <c r="H2903" s="1" t="s">
        <v>6</v>
      </c>
      <c r="I2903" s="1" t="s">
        <v>38</v>
      </c>
      <c r="J2903" s="1">
        <v>42920.404004629629</v>
      </c>
      <c r="K2903" s="1" t="s">
        <v>171</v>
      </c>
      <c r="L2903" s="14">
        <f>24*(TblTimeSheet[[#This Row],[End Date and Time]]-TblTimeSheet[[#This Row],[Start Date and Time]])</f>
        <v>0.33333333319751546</v>
      </c>
      <c r="M2903"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3" s="14">
        <f>--(0&gt;(TblTimeSheet[[#This Row],[End Date and Time]]-TblTimeSheet[[#This Row],[Start Date and Time]]))</f>
        <v>0</v>
      </c>
    </row>
    <row r="2904" spans="1:14" x14ac:dyDescent="0.25">
      <c r="A2904" s="1"/>
      <c r="B2904" s="2" t="s">
        <v>2884</v>
      </c>
      <c r="C2904" s="2" t="s">
        <v>41</v>
      </c>
      <c r="D2904" s="2" t="s">
        <v>20</v>
      </c>
      <c r="E2904" s="7" t="s">
        <v>3615</v>
      </c>
      <c r="F2904" s="37">
        <v>42922.666666666664</v>
      </c>
      <c r="G2904" s="37">
        <v>42922.708333333336</v>
      </c>
      <c r="H2904" s="1" t="s">
        <v>6</v>
      </c>
      <c r="I2904" s="1" t="s">
        <v>38</v>
      </c>
      <c r="J2904" s="1">
        <v>42922.709560185183</v>
      </c>
      <c r="K2904" s="1" t="s">
        <v>41</v>
      </c>
      <c r="L2904" s="14">
        <f>24*(TblTimeSheet[[#This Row],[End Date and Time]]-TblTimeSheet[[#This Row],[Start Date and Time]])</f>
        <v>1.0000000001164153</v>
      </c>
      <c r="M2904"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4" s="14">
        <f>--(0&gt;(TblTimeSheet[[#This Row],[End Date and Time]]-TblTimeSheet[[#This Row],[Start Date and Time]]))</f>
        <v>0</v>
      </c>
    </row>
    <row r="2905" spans="1:14" x14ac:dyDescent="0.25">
      <c r="A2905" s="1"/>
      <c r="B2905" s="2" t="s">
        <v>2884</v>
      </c>
      <c r="C2905" s="2" t="s">
        <v>961</v>
      </c>
      <c r="D2905" s="2" t="s">
        <v>20</v>
      </c>
      <c r="E2905" s="7" t="s">
        <v>3616</v>
      </c>
      <c r="F2905" s="37">
        <v>42919.739583333336</v>
      </c>
      <c r="G2905" s="37">
        <v>42919.753472222219</v>
      </c>
      <c r="H2905" s="1" t="s">
        <v>6</v>
      </c>
      <c r="I2905" s="1" t="s">
        <v>38</v>
      </c>
      <c r="J2905" s="1">
        <v>42923.499178240738</v>
      </c>
      <c r="K2905" s="1" t="s">
        <v>961</v>
      </c>
      <c r="L2905" s="14">
        <f>24*(TblTimeSheet[[#This Row],[End Date and Time]]-TblTimeSheet[[#This Row],[Start Date and Time]])</f>
        <v>0.33333333319751546</v>
      </c>
      <c r="M2905"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5" s="14">
        <f>--(0&gt;(TblTimeSheet[[#This Row],[End Date and Time]]-TblTimeSheet[[#This Row],[Start Date and Time]]))</f>
        <v>0</v>
      </c>
    </row>
    <row r="2906" spans="1:14" x14ac:dyDescent="0.25">
      <c r="A2906" s="1"/>
      <c r="B2906" s="2" t="s">
        <v>2884</v>
      </c>
      <c r="C2906" s="2" t="s">
        <v>41</v>
      </c>
      <c r="D2906" s="2" t="s">
        <v>20</v>
      </c>
      <c r="E2906" s="7" t="s">
        <v>3617</v>
      </c>
      <c r="F2906" s="37">
        <v>42924.645833333336</v>
      </c>
      <c r="G2906" s="37">
        <v>42924.6875</v>
      </c>
      <c r="H2906" s="1" t="s">
        <v>6</v>
      </c>
      <c r="I2906" s="1" t="s">
        <v>38</v>
      </c>
      <c r="J2906" s="1">
        <v>42924.690752314818</v>
      </c>
      <c r="K2906" s="1" t="s">
        <v>41</v>
      </c>
      <c r="L2906" s="14">
        <f>24*(TblTimeSheet[[#This Row],[End Date and Time]]-TblTimeSheet[[#This Row],[Start Date and Time]])</f>
        <v>0.99999999994179234</v>
      </c>
      <c r="M2906"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6" s="14">
        <f>--(0&gt;(TblTimeSheet[[#This Row],[End Date and Time]]-TblTimeSheet[[#This Row],[Start Date and Time]]))</f>
        <v>0</v>
      </c>
    </row>
    <row r="2907" spans="1:14" x14ac:dyDescent="0.25">
      <c r="A2907" s="1"/>
      <c r="B2907" s="2" t="s">
        <v>2884</v>
      </c>
      <c r="C2907" s="2" t="s">
        <v>1469</v>
      </c>
      <c r="D2907" s="2" t="s">
        <v>20</v>
      </c>
      <c r="E2907" s="7" t="s">
        <v>3618</v>
      </c>
      <c r="F2907" s="37">
        <v>42924.645833333336</v>
      </c>
      <c r="G2907" s="37">
        <v>42924.6875</v>
      </c>
      <c r="H2907" s="1" t="s">
        <v>6</v>
      </c>
      <c r="I2907" s="1" t="s">
        <v>38</v>
      </c>
      <c r="J2907" s="1">
        <v>42924.692094907405</v>
      </c>
      <c r="K2907" s="1" t="s">
        <v>1469</v>
      </c>
      <c r="L2907" s="14">
        <f>24*(TblTimeSheet[[#This Row],[End Date and Time]]-TblTimeSheet[[#This Row],[Start Date and Time]])</f>
        <v>0.99999999994179234</v>
      </c>
      <c r="M2907"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7" s="14">
        <f>--(0&gt;(TblTimeSheet[[#This Row],[End Date and Time]]-TblTimeSheet[[#This Row],[Start Date and Time]]))</f>
        <v>0</v>
      </c>
    </row>
    <row r="2908" spans="1:14" x14ac:dyDescent="0.25">
      <c r="A2908" s="1"/>
      <c r="B2908" s="2" t="s">
        <v>2884</v>
      </c>
      <c r="C2908" s="2" t="s">
        <v>43</v>
      </c>
      <c r="D2908" s="2" t="s">
        <v>20</v>
      </c>
      <c r="E2908" s="7" t="s">
        <v>3619</v>
      </c>
      <c r="F2908" s="37">
        <v>42927.4375</v>
      </c>
      <c r="G2908" s="37">
        <v>42927.458333333336</v>
      </c>
      <c r="H2908" s="1" t="s">
        <v>6</v>
      </c>
      <c r="I2908" s="1" t="s">
        <v>38</v>
      </c>
      <c r="J2908" s="1">
        <v>42927.477164351854</v>
      </c>
      <c r="K2908" s="1" t="s">
        <v>43</v>
      </c>
      <c r="L2908" s="14">
        <f>24*(TblTimeSheet[[#This Row],[End Date and Time]]-TblTimeSheet[[#This Row],[Start Date and Time]])</f>
        <v>0.50000000005820766</v>
      </c>
      <c r="M2908"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8" s="14">
        <f>--(0&gt;(TblTimeSheet[[#This Row],[End Date and Time]]-TblTimeSheet[[#This Row],[Start Date and Time]]))</f>
        <v>0</v>
      </c>
    </row>
    <row r="2909" spans="1:14" x14ac:dyDescent="0.25">
      <c r="A2909" s="1"/>
      <c r="B2909" s="2" t="s">
        <v>2884</v>
      </c>
      <c r="C2909" s="2" t="s">
        <v>118</v>
      </c>
      <c r="D2909" s="2" t="s">
        <v>20</v>
      </c>
      <c r="E2909" s="7" t="s">
        <v>3620</v>
      </c>
      <c r="F2909" s="37">
        <v>42927.4375</v>
      </c>
      <c r="G2909" s="37">
        <v>42927.458333333336</v>
      </c>
      <c r="H2909" s="1" t="s">
        <v>6</v>
      </c>
      <c r="I2909" s="1" t="s">
        <v>38</v>
      </c>
      <c r="J2909" s="1">
        <v>42927.478263888886</v>
      </c>
      <c r="K2909" s="1" t="s">
        <v>118</v>
      </c>
      <c r="L2909" s="14">
        <f>24*(TblTimeSheet[[#This Row],[End Date and Time]]-TblTimeSheet[[#This Row],[Start Date and Time]])</f>
        <v>0.50000000005820766</v>
      </c>
      <c r="M2909" s="14">
        <f>--(2&lt;SUMPRODUCT((TblTimeSheet[[#This Row],[Start Date and Time]]&gt;=TblTimeSheet[Start Date and Time])*(TblTimeSheet[[#This Row],[Start Date and Time]]&lt;TblTimeSheet[End Date and Time])*(TblTimeSheet[[#This Row],[Person''s Name]]=TblTimeSheet[Person''s Name])
+
(                                 TblTimeSheet[[#This Row],[End Date and Time]]&lt;=TblTimeSheet[End Date and Time])*(TblTimeSheet[[#This Row],[End Date and Time]]&gt;TblTimeSheet[Start Date and Time])*(TblTimeSheet[[#This Row],[Person''s Name]]=TblTimeSheet[Person''s Name])
))</f>
        <v>0</v>
      </c>
      <c r="N2909" s="14">
        <f>--(0&gt;(TblTimeSheet[[#This Row],[End Date and Time]]-TblTimeSheet[[#This Row],[Start Date and Time]]))</f>
        <v>0</v>
      </c>
    </row>
  </sheetData>
  <conditionalFormatting sqref="M2:N2909">
    <cfRule type="cellIs" dxfId="1" priority="2" operator="greaterThan">
      <formula>0</formula>
    </cfRule>
  </conditionalFormatting>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O422"/>
  <sheetViews>
    <sheetView workbookViewId="0">
      <selection activeCell="D4" sqref="D4"/>
    </sheetView>
  </sheetViews>
  <sheetFormatPr defaultRowHeight="15" x14ac:dyDescent="0.25"/>
  <cols>
    <col min="1" max="1" width="11.42578125" bestFit="1" customWidth="1"/>
    <col min="2" max="2" width="14.5703125" bestFit="1" customWidth="1"/>
    <col min="3" max="3" width="22.7109375" bestFit="1" customWidth="1"/>
    <col min="4" max="4" width="16.7109375" bestFit="1" customWidth="1"/>
    <col min="5" max="5" width="20.5703125" bestFit="1" customWidth="1"/>
    <col min="6" max="6" width="81.140625" bestFit="1" customWidth="1"/>
    <col min="7" max="7" width="21.5703125" bestFit="1" customWidth="1"/>
    <col min="8" max="8" width="81.140625" bestFit="1" customWidth="1"/>
    <col min="9" max="9" width="22.7109375" bestFit="1" customWidth="1"/>
    <col min="10" max="10" width="9.140625" bestFit="1" customWidth="1"/>
    <col min="11" max="12" width="81.140625" bestFit="1" customWidth="1"/>
    <col min="13" max="13" width="14.5703125" bestFit="1" customWidth="1"/>
    <col min="14" max="14" width="12.140625" bestFit="1" customWidth="1"/>
    <col min="15" max="15" width="39" bestFit="1" customWidth="1"/>
  </cols>
  <sheetData>
    <row r="1" spans="1:15" x14ac:dyDescent="0.25">
      <c r="A1" t="s">
        <v>0</v>
      </c>
      <c r="B1" t="s">
        <v>8</v>
      </c>
      <c r="C1" t="s">
        <v>22</v>
      </c>
      <c r="D1" t="s">
        <v>23</v>
      </c>
      <c r="E1" t="s">
        <v>21</v>
      </c>
      <c r="F1" t="s">
        <v>24</v>
      </c>
      <c r="G1" t="s">
        <v>25</v>
      </c>
      <c r="H1" t="s">
        <v>26</v>
      </c>
      <c r="I1" t="s">
        <v>28</v>
      </c>
      <c r="J1" t="s">
        <v>27</v>
      </c>
      <c r="K1" t="s">
        <v>29</v>
      </c>
      <c r="L1" t="s">
        <v>30</v>
      </c>
      <c r="M1" t="s">
        <v>31</v>
      </c>
      <c r="N1" t="s">
        <v>3</v>
      </c>
      <c r="O1" t="s">
        <v>2</v>
      </c>
    </row>
    <row r="2" spans="1:15" x14ac:dyDescent="0.25">
      <c r="A2" s="1"/>
      <c r="B2" s="2" t="s">
        <v>4</v>
      </c>
      <c r="C2" s="2" t="s">
        <v>36</v>
      </c>
      <c r="D2" s="4">
        <v>42195</v>
      </c>
      <c r="E2" s="2" t="s">
        <v>64</v>
      </c>
      <c r="F2" s="1" t="s">
        <v>65</v>
      </c>
      <c r="G2" s="2" t="s">
        <v>66</v>
      </c>
      <c r="H2" s="7" t="s">
        <v>67</v>
      </c>
      <c r="I2" s="2" t="s">
        <v>116</v>
      </c>
      <c r="J2" s="2" t="s">
        <v>68</v>
      </c>
      <c r="K2" s="7"/>
      <c r="L2" s="1"/>
      <c r="M2" s="4"/>
      <c r="N2" s="1" t="s">
        <v>6</v>
      </c>
      <c r="O2" s="1" t="s">
        <v>69</v>
      </c>
    </row>
    <row r="3" spans="1:15" x14ac:dyDescent="0.25">
      <c r="A3" s="1"/>
      <c r="B3" s="2" t="s">
        <v>4</v>
      </c>
      <c r="C3" s="2" t="s">
        <v>41</v>
      </c>
      <c r="D3" s="4">
        <v>42195</v>
      </c>
      <c r="E3" s="2" t="s">
        <v>70</v>
      </c>
      <c r="F3" s="1" t="s">
        <v>20</v>
      </c>
      <c r="G3" s="2" t="s">
        <v>71</v>
      </c>
      <c r="H3" s="7" t="s">
        <v>72</v>
      </c>
      <c r="I3" s="2" t="s">
        <v>36</v>
      </c>
      <c r="J3" s="2" t="s">
        <v>68</v>
      </c>
      <c r="K3" s="7"/>
      <c r="L3" s="1"/>
      <c r="M3" s="4"/>
      <c r="N3" s="1" t="s">
        <v>6</v>
      </c>
      <c r="O3" s="1" t="s">
        <v>69</v>
      </c>
    </row>
    <row r="4" spans="1:15" x14ac:dyDescent="0.25">
      <c r="A4" s="1"/>
      <c r="B4" s="2" t="s">
        <v>7</v>
      </c>
      <c r="C4" s="2" t="s">
        <v>36</v>
      </c>
      <c r="D4" s="4">
        <v>42195</v>
      </c>
      <c r="E4" s="2" t="s">
        <v>64</v>
      </c>
      <c r="F4" s="1" t="s">
        <v>86</v>
      </c>
      <c r="G4" s="2" t="s">
        <v>66</v>
      </c>
      <c r="H4" s="7" t="s">
        <v>45</v>
      </c>
      <c r="I4" s="2" t="s">
        <v>116</v>
      </c>
      <c r="J4" s="2" t="s">
        <v>68</v>
      </c>
      <c r="K4" s="7"/>
      <c r="L4" s="1"/>
      <c r="M4" s="4"/>
      <c r="N4" s="1" t="s">
        <v>6</v>
      </c>
      <c r="O4" s="1" t="s">
        <v>69</v>
      </c>
    </row>
    <row r="5" spans="1:15" x14ac:dyDescent="0.25">
      <c r="A5" s="1"/>
      <c r="B5" s="2" t="s">
        <v>7</v>
      </c>
      <c r="C5" s="2" t="s">
        <v>116</v>
      </c>
      <c r="D5" s="4">
        <v>42195</v>
      </c>
      <c r="E5" s="2" t="s">
        <v>87</v>
      </c>
      <c r="F5" s="1" t="s">
        <v>88</v>
      </c>
      <c r="G5" s="2" t="s">
        <v>66</v>
      </c>
      <c r="H5" s="7" t="s">
        <v>37</v>
      </c>
      <c r="I5" s="2" t="s">
        <v>36</v>
      </c>
      <c r="J5" s="2" t="s">
        <v>213</v>
      </c>
      <c r="K5" s="7"/>
      <c r="L5" s="1" t="s">
        <v>215</v>
      </c>
      <c r="M5" s="4">
        <v>42273</v>
      </c>
      <c r="N5" s="1" t="s">
        <v>6</v>
      </c>
      <c r="O5" s="1" t="s">
        <v>69</v>
      </c>
    </row>
    <row r="6" spans="1:15" ht="45" x14ac:dyDescent="0.25">
      <c r="A6" s="1"/>
      <c r="B6" s="2" t="s">
        <v>108</v>
      </c>
      <c r="C6" s="2" t="s">
        <v>116</v>
      </c>
      <c r="D6" s="4">
        <v>42229</v>
      </c>
      <c r="E6" s="2" t="s">
        <v>70</v>
      </c>
      <c r="F6" s="1" t="s">
        <v>212</v>
      </c>
      <c r="G6" s="2" t="s">
        <v>66</v>
      </c>
      <c r="H6" s="7" t="s">
        <v>226</v>
      </c>
      <c r="I6" s="2" t="s">
        <v>41</v>
      </c>
      <c r="J6" s="2" t="s">
        <v>213</v>
      </c>
      <c r="K6" s="7" t="s">
        <v>214</v>
      </c>
      <c r="L6" s="1" t="s">
        <v>215</v>
      </c>
      <c r="M6" s="4">
        <v>42230</v>
      </c>
      <c r="N6" s="1" t="s">
        <v>6</v>
      </c>
      <c r="O6" s="1" t="s">
        <v>69</v>
      </c>
    </row>
    <row r="7" spans="1:15" ht="30" x14ac:dyDescent="0.25">
      <c r="A7" s="1"/>
      <c r="B7" s="2" t="s">
        <v>108</v>
      </c>
      <c r="C7" s="2" t="s">
        <v>36</v>
      </c>
      <c r="D7" s="4">
        <v>42233</v>
      </c>
      <c r="E7" s="2" t="s">
        <v>70</v>
      </c>
      <c r="F7" s="1" t="s">
        <v>216</v>
      </c>
      <c r="G7" s="2" t="s">
        <v>71</v>
      </c>
      <c r="H7" s="7" t="s">
        <v>227</v>
      </c>
      <c r="I7" s="2" t="s">
        <v>116</v>
      </c>
      <c r="J7" s="2" t="s">
        <v>213</v>
      </c>
      <c r="K7" s="7" t="s">
        <v>217</v>
      </c>
      <c r="L7" s="1" t="s">
        <v>218</v>
      </c>
      <c r="M7" s="4">
        <v>42233</v>
      </c>
      <c r="N7" s="1" t="s">
        <v>6</v>
      </c>
      <c r="O7" s="1" t="s">
        <v>69</v>
      </c>
    </row>
    <row r="8" spans="1:15" ht="30" x14ac:dyDescent="0.25">
      <c r="A8" s="1"/>
      <c r="B8" s="2" t="s">
        <v>108</v>
      </c>
      <c r="C8" s="2" t="s">
        <v>36</v>
      </c>
      <c r="D8" s="4">
        <v>42233</v>
      </c>
      <c r="E8" s="2" t="s">
        <v>70</v>
      </c>
      <c r="F8" s="1" t="s">
        <v>219</v>
      </c>
      <c r="G8" s="2" t="s">
        <v>66</v>
      </c>
      <c r="H8" s="7" t="s">
        <v>228</v>
      </c>
      <c r="I8" s="2" t="s">
        <v>116</v>
      </c>
      <c r="J8" s="2" t="s">
        <v>213</v>
      </c>
      <c r="K8" s="7" t="s">
        <v>220</v>
      </c>
      <c r="L8" s="1"/>
      <c r="M8" s="4">
        <v>42233</v>
      </c>
      <c r="N8" s="1" t="s">
        <v>6</v>
      </c>
      <c r="O8" s="1" t="s">
        <v>69</v>
      </c>
    </row>
    <row r="9" spans="1:15" ht="30" x14ac:dyDescent="0.25">
      <c r="A9" s="1"/>
      <c r="B9" s="2" t="s">
        <v>110</v>
      </c>
      <c r="C9" s="2" t="s">
        <v>41</v>
      </c>
      <c r="D9" s="4">
        <v>42235</v>
      </c>
      <c r="E9" s="2" t="s">
        <v>70</v>
      </c>
      <c r="F9" s="1" t="s">
        <v>221</v>
      </c>
      <c r="G9" s="2" t="s">
        <v>66</v>
      </c>
      <c r="H9" s="7" t="s">
        <v>229</v>
      </c>
      <c r="I9" s="2" t="s">
        <v>116</v>
      </c>
      <c r="J9" s="2" t="s">
        <v>213</v>
      </c>
      <c r="K9" s="7" t="s">
        <v>230</v>
      </c>
      <c r="L9" s="1" t="s">
        <v>222</v>
      </c>
      <c r="M9" s="4">
        <v>42235</v>
      </c>
      <c r="N9" s="1" t="s">
        <v>6</v>
      </c>
      <c r="O9" s="1" t="s">
        <v>69</v>
      </c>
    </row>
    <row r="10" spans="1:15" ht="30" x14ac:dyDescent="0.25">
      <c r="A10" s="1"/>
      <c r="B10" s="2" t="s">
        <v>110</v>
      </c>
      <c r="C10" s="2" t="s">
        <v>41</v>
      </c>
      <c r="D10" s="4">
        <v>42235</v>
      </c>
      <c r="E10" s="2" t="s">
        <v>70</v>
      </c>
      <c r="F10" s="1" t="s">
        <v>221</v>
      </c>
      <c r="G10" s="2" t="s">
        <v>71</v>
      </c>
      <c r="H10" s="7" t="s">
        <v>231</v>
      </c>
      <c r="I10" s="2" t="s">
        <v>116</v>
      </c>
      <c r="J10" s="2" t="s">
        <v>213</v>
      </c>
      <c r="K10" s="7" t="s">
        <v>232</v>
      </c>
      <c r="L10" s="1" t="s">
        <v>222</v>
      </c>
      <c r="M10" s="4">
        <v>42235</v>
      </c>
      <c r="N10" s="1" t="s">
        <v>6</v>
      </c>
      <c r="O10" s="1" t="s">
        <v>69</v>
      </c>
    </row>
    <row r="11" spans="1:15" x14ac:dyDescent="0.25">
      <c r="A11" s="1"/>
      <c r="B11" s="2" t="s">
        <v>108</v>
      </c>
      <c r="C11" s="2" t="s">
        <v>116</v>
      </c>
      <c r="D11" s="4">
        <v>42235</v>
      </c>
      <c r="E11" s="2" t="s">
        <v>70</v>
      </c>
      <c r="F11" s="1" t="s">
        <v>212</v>
      </c>
      <c r="G11" s="2" t="s">
        <v>71</v>
      </c>
      <c r="H11" s="7" t="s">
        <v>233</v>
      </c>
      <c r="I11" s="2" t="s">
        <v>41</v>
      </c>
      <c r="J11" s="2" t="s">
        <v>213</v>
      </c>
      <c r="K11" s="7"/>
      <c r="L11" s="1" t="s">
        <v>223</v>
      </c>
      <c r="M11" s="4">
        <v>42235</v>
      </c>
      <c r="N11" s="1" t="s">
        <v>6</v>
      </c>
      <c r="O11" s="1" t="s">
        <v>69</v>
      </c>
    </row>
    <row r="12" spans="1:15" x14ac:dyDescent="0.25">
      <c r="A12" s="1"/>
      <c r="B12" s="2" t="s">
        <v>108</v>
      </c>
      <c r="C12" s="2" t="s">
        <v>41</v>
      </c>
      <c r="D12" s="4">
        <v>42242</v>
      </c>
      <c r="E12" s="2" t="s">
        <v>70</v>
      </c>
      <c r="F12" s="1" t="s">
        <v>224</v>
      </c>
      <c r="G12" s="2" t="s">
        <v>66</v>
      </c>
      <c r="H12" s="7" t="s">
        <v>225</v>
      </c>
      <c r="I12" s="2" t="s">
        <v>116</v>
      </c>
      <c r="J12" s="2" t="s">
        <v>213</v>
      </c>
      <c r="K12" s="7" t="s">
        <v>408</v>
      </c>
      <c r="L12" s="1"/>
      <c r="M12" s="4">
        <v>42242</v>
      </c>
      <c r="N12" s="1" t="s">
        <v>6</v>
      </c>
      <c r="O12" s="1" t="s">
        <v>69</v>
      </c>
    </row>
    <row r="13" spans="1:15" ht="30" x14ac:dyDescent="0.25">
      <c r="A13" s="1"/>
      <c r="B13" s="2" t="s">
        <v>114</v>
      </c>
      <c r="C13" s="2" t="s">
        <v>78</v>
      </c>
      <c r="D13" s="4">
        <v>42242</v>
      </c>
      <c r="E13" s="2" t="s">
        <v>70</v>
      </c>
      <c r="F13" s="1" t="s">
        <v>409</v>
      </c>
      <c r="G13" s="2" t="s">
        <v>71</v>
      </c>
      <c r="H13" s="7" t="s">
        <v>411</v>
      </c>
      <c r="I13" s="2" t="s">
        <v>171</v>
      </c>
      <c r="J13" s="2" t="s">
        <v>213</v>
      </c>
      <c r="K13" s="7" t="s">
        <v>412</v>
      </c>
      <c r="L13" s="1" t="s">
        <v>410</v>
      </c>
      <c r="M13" s="4">
        <v>42243</v>
      </c>
      <c r="N13" s="1" t="s">
        <v>6</v>
      </c>
      <c r="O13" s="1" t="s">
        <v>69</v>
      </c>
    </row>
    <row r="14" spans="1:15" x14ac:dyDescent="0.25">
      <c r="A14" s="1"/>
      <c r="B14" s="2" t="s">
        <v>110</v>
      </c>
      <c r="C14" s="2" t="s">
        <v>116</v>
      </c>
      <c r="D14" s="4">
        <v>42251</v>
      </c>
      <c r="E14" s="2" t="s">
        <v>70</v>
      </c>
      <c r="F14" s="1" t="s">
        <v>525</v>
      </c>
      <c r="G14" s="2" t="s">
        <v>71</v>
      </c>
      <c r="H14" s="7" t="s">
        <v>526</v>
      </c>
      <c r="I14" s="2" t="s">
        <v>41</v>
      </c>
      <c r="J14" s="2" t="s">
        <v>213</v>
      </c>
      <c r="K14" s="7" t="s">
        <v>527</v>
      </c>
      <c r="L14" s="1" t="s">
        <v>528</v>
      </c>
      <c r="M14" s="4">
        <v>42251</v>
      </c>
      <c r="N14" s="1" t="s">
        <v>6</v>
      </c>
      <c r="O14" s="1" t="s">
        <v>69</v>
      </c>
    </row>
    <row r="15" spans="1:15" x14ac:dyDescent="0.25">
      <c r="A15" s="1"/>
      <c r="B15" s="2" t="s">
        <v>110</v>
      </c>
      <c r="C15" s="2" t="s">
        <v>116</v>
      </c>
      <c r="D15" s="4">
        <v>42251</v>
      </c>
      <c r="E15" s="2" t="s">
        <v>70</v>
      </c>
      <c r="F15" s="1" t="s">
        <v>525</v>
      </c>
      <c r="G15" s="2" t="s">
        <v>66</v>
      </c>
      <c r="H15" s="7" t="s">
        <v>540</v>
      </c>
      <c r="I15" s="2" t="s">
        <v>41</v>
      </c>
      <c r="J15" s="2" t="s">
        <v>213</v>
      </c>
      <c r="K15" s="7" t="s">
        <v>529</v>
      </c>
      <c r="L15" s="1" t="s">
        <v>528</v>
      </c>
      <c r="M15" s="4">
        <v>42251</v>
      </c>
      <c r="N15" s="1" t="s">
        <v>6</v>
      </c>
      <c r="O15" s="1" t="s">
        <v>69</v>
      </c>
    </row>
    <row r="16" spans="1:15" ht="30" x14ac:dyDescent="0.25">
      <c r="A16" s="1"/>
      <c r="B16" s="2" t="s">
        <v>110</v>
      </c>
      <c r="C16" s="2" t="s">
        <v>116</v>
      </c>
      <c r="D16" s="4">
        <v>42251</v>
      </c>
      <c r="E16" s="2" t="s">
        <v>70</v>
      </c>
      <c r="F16" s="1" t="s">
        <v>525</v>
      </c>
      <c r="G16" s="2" t="s">
        <v>66</v>
      </c>
      <c r="H16" s="7" t="s">
        <v>530</v>
      </c>
      <c r="I16" s="2" t="s">
        <v>41</v>
      </c>
      <c r="J16" s="2" t="s">
        <v>213</v>
      </c>
      <c r="K16" s="7" t="s">
        <v>541</v>
      </c>
      <c r="L16" s="1" t="s">
        <v>410</v>
      </c>
      <c r="M16" s="4">
        <v>42251</v>
      </c>
      <c r="N16" s="1" t="s">
        <v>6</v>
      </c>
      <c r="O16" s="1" t="s">
        <v>69</v>
      </c>
    </row>
    <row r="17" spans="1:15" x14ac:dyDescent="0.25">
      <c r="A17" s="1"/>
      <c r="B17" s="2" t="s">
        <v>110</v>
      </c>
      <c r="C17" s="2" t="s">
        <v>116</v>
      </c>
      <c r="D17" s="4">
        <v>42251</v>
      </c>
      <c r="E17" s="2" t="s">
        <v>70</v>
      </c>
      <c r="F17" s="1" t="s">
        <v>525</v>
      </c>
      <c r="G17" s="2" t="s">
        <v>71</v>
      </c>
      <c r="H17" s="7" t="s">
        <v>531</v>
      </c>
      <c r="I17" s="2" t="s">
        <v>41</v>
      </c>
      <c r="J17" s="2" t="s">
        <v>213</v>
      </c>
      <c r="K17" s="7" t="s">
        <v>532</v>
      </c>
      <c r="L17" s="1" t="s">
        <v>410</v>
      </c>
      <c r="M17" s="4">
        <v>42251</v>
      </c>
      <c r="N17" s="1" t="s">
        <v>6</v>
      </c>
      <c r="O17" s="1" t="s">
        <v>69</v>
      </c>
    </row>
    <row r="18" spans="1:15" x14ac:dyDescent="0.25">
      <c r="A18" s="1"/>
      <c r="B18" s="2" t="s">
        <v>110</v>
      </c>
      <c r="C18" s="2" t="s">
        <v>116</v>
      </c>
      <c r="D18" s="4">
        <v>42251</v>
      </c>
      <c r="E18" s="2" t="s">
        <v>70</v>
      </c>
      <c r="F18" s="1" t="s">
        <v>525</v>
      </c>
      <c r="G18" s="2" t="s">
        <v>66</v>
      </c>
      <c r="H18" s="7" t="s">
        <v>533</v>
      </c>
      <c r="I18" s="2" t="s">
        <v>41</v>
      </c>
      <c r="J18" s="2" t="s">
        <v>213</v>
      </c>
      <c r="K18" s="7" t="s">
        <v>534</v>
      </c>
      <c r="L18" s="1" t="s">
        <v>528</v>
      </c>
      <c r="M18" s="4">
        <v>42251</v>
      </c>
      <c r="N18" s="1" t="s">
        <v>6</v>
      </c>
      <c r="O18" s="1" t="s">
        <v>69</v>
      </c>
    </row>
    <row r="19" spans="1:15" x14ac:dyDescent="0.25">
      <c r="A19" s="1"/>
      <c r="B19" s="2" t="s">
        <v>114</v>
      </c>
      <c r="C19" s="2" t="s">
        <v>41</v>
      </c>
      <c r="D19" s="4">
        <v>42255</v>
      </c>
      <c r="E19" s="2" t="s">
        <v>70</v>
      </c>
      <c r="F19" s="1" t="s">
        <v>535</v>
      </c>
      <c r="G19" s="2" t="s">
        <v>71</v>
      </c>
      <c r="H19" s="7" t="s">
        <v>542</v>
      </c>
      <c r="I19" s="2" t="s">
        <v>116</v>
      </c>
      <c r="J19" s="2" t="s">
        <v>213</v>
      </c>
      <c r="K19" s="7" t="s">
        <v>610</v>
      </c>
      <c r="L19" s="1" t="s">
        <v>222</v>
      </c>
      <c r="M19" s="4">
        <v>42262</v>
      </c>
      <c r="N19" s="1" t="s">
        <v>6</v>
      </c>
      <c r="O19" s="1" t="s">
        <v>69</v>
      </c>
    </row>
    <row r="20" spans="1:15" x14ac:dyDescent="0.25">
      <c r="A20" s="1"/>
      <c r="B20" s="2" t="s">
        <v>114</v>
      </c>
      <c r="C20" s="2" t="s">
        <v>41</v>
      </c>
      <c r="D20" s="4">
        <v>42255</v>
      </c>
      <c r="E20" s="2" t="s">
        <v>70</v>
      </c>
      <c r="F20" s="1" t="s">
        <v>535</v>
      </c>
      <c r="G20" s="2" t="s">
        <v>66</v>
      </c>
      <c r="H20" s="7" t="s">
        <v>536</v>
      </c>
      <c r="I20" s="2" t="s">
        <v>116</v>
      </c>
      <c r="J20" s="2" t="s">
        <v>213</v>
      </c>
      <c r="K20" s="7" t="s">
        <v>611</v>
      </c>
      <c r="L20" s="1" t="s">
        <v>222</v>
      </c>
      <c r="M20" s="4">
        <v>42262</v>
      </c>
      <c r="N20" s="1" t="s">
        <v>6</v>
      </c>
      <c r="O20" s="1" t="s">
        <v>69</v>
      </c>
    </row>
    <row r="21" spans="1:15" ht="45" x14ac:dyDescent="0.25">
      <c r="A21" s="1"/>
      <c r="B21" s="2" t="s">
        <v>108</v>
      </c>
      <c r="C21" s="2" t="s">
        <v>116</v>
      </c>
      <c r="D21" s="4">
        <v>42257</v>
      </c>
      <c r="E21" s="2" t="s">
        <v>70</v>
      </c>
      <c r="F21" s="1" t="s">
        <v>537</v>
      </c>
      <c r="G21" s="2" t="s">
        <v>71</v>
      </c>
      <c r="H21" s="7" t="s">
        <v>543</v>
      </c>
      <c r="I21" s="2" t="s">
        <v>116</v>
      </c>
      <c r="J21" s="2" t="s">
        <v>213</v>
      </c>
      <c r="K21" s="7" t="s">
        <v>619</v>
      </c>
      <c r="L21" s="1" t="s">
        <v>612</v>
      </c>
      <c r="M21" s="4">
        <v>42259</v>
      </c>
      <c r="N21" s="1" t="s">
        <v>6</v>
      </c>
      <c r="O21" s="1" t="s">
        <v>69</v>
      </c>
    </row>
    <row r="22" spans="1:15" x14ac:dyDescent="0.25">
      <c r="A22" s="1"/>
      <c r="B22" s="2" t="s">
        <v>108</v>
      </c>
      <c r="C22" s="2" t="s">
        <v>116</v>
      </c>
      <c r="D22" s="4">
        <v>42257</v>
      </c>
      <c r="E22" s="2" t="s">
        <v>70</v>
      </c>
      <c r="F22" s="1" t="s">
        <v>537</v>
      </c>
      <c r="G22" s="2" t="s">
        <v>66</v>
      </c>
      <c r="H22" s="7" t="s">
        <v>544</v>
      </c>
      <c r="I22" s="2" t="s">
        <v>116</v>
      </c>
      <c r="J22" s="2" t="s">
        <v>213</v>
      </c>
      <c r="K22" s="7" t="s">
        <v>613</v>
      </c>
      <c r="L22" s="1" t="s">
        <v>614</v>
      </c>
      <c r="M22" s="4">
        <v>42259</v>
      </c>
      <c r="N22" s="1" t="s">
        <v>6</v>
      </c>
      <c r="O22" s="1" t="s">
        <v>69</v>
      </c>
    </row>
    <row r="23" spans="1:15" x14ac:dyDescent="0.25">
      <c r="A23" s="1"/>
      <c r="B23" s="2" t="s">
        <v>108</v>
      </c>
      <c r="C23" s="2" t="s">
        <v>116</v>
      </c>
      <c r="D23" s="4">
        <v>42257</v>
      </c>
      <c r="E23" s="2" t="s">
        <v>70</v>
      </c>
      <c r="F23" s="1" t="s">
        <v>537</v>
      </c>
      <c r="G23" s="2" t="s">
        <v>66</v>
      </c>
      <c r="H23" s="7" t="s">
        <v>545</v>
      </c>
      <c r="I23" s="2" t="s">
        <v>116</v>
      </c>
      <c r="J23" s="2" t="s">
        <v>213</v>
      </c>
      <c r="K23" s="7" t="s">
        <v>615</v>
      </c>
      <c r="L23" s="1" t="s">
        <v>614</v>
      </c>
      <c r="M23" s="4">
        <v>42259</v>
      </c>
      <c r="N23" s="1" t="s">
        <v>6</v>
      </c>
      <c r="O23" s="1" t="s">
        <v>69</v>
      </c>
    </row>
    <row r="24" spans="1:15" ht="30" x14ac:dyDescent="0.25">
      <c r="A24" s="1"/>
      <c r="B24" s="2" t="s">
        <v>108</v>
      </c>
      <c r="C24" s="2" t="s">
        <v>116</v>
      </c>
      <c r="D24" s="4">
        <v>42257</v>
      </c>
      <c r="E24" s="2" t="s">
        <v>70</v>
      </c>
      <c r="F24" s="1" t="s">
        <v>537</v>
      </c>
      <c r="G24" s="2" t="s">
        <v>66</v>
      </c>
      <c r="H24" s="7" t="s">
        <v>546</v>
      </c>
      <c r="I24" s="2" t="s">
        <v>116</v>
      </c>
      <c r="J24" s="2" t="s">
        <v>213</v>
      </c>
      <c r="K24" s="7" t="s">
        <v>616</v>
      </c>
      <c r="L24" s="1" t="s">
        <v>612</v>
      </c>
      <c r="M24" s="4">
        <v>42259</v>
      </c>
      <c r="N24" s="1" t="s">
        <v>6</v>
      </c>
      <c r="O24" s="1" t="s">
        <v>69</v>
      </c>
    </row>
    <row r="25" spans="1:15" ht="30" x14ac:dyDescent="0.25">
      <c r="A25" s="1"/>
      <c r="B25" s="2" t="s">
        <v>108</v>
      </c>
      <c r="C25" s="2" t="s">
        <v>116</v>
      </c>
      <c r="D25" s="4">
        <v>42257</v>
      </c>
      <c r="E25" s="2" t="s">
        <v>70</v>
      </c>
      <c r="F25" s="1" t="s">
        <v>537</v>
      </c>
      <c r="G25" s="2" t="s">
        <v>66</v>
      </c>
      <c r="H25" s="7" t="s">
        <v>538</v>
      </c>
      <c r="I25" s="2" t="s">
        <v>116</v>
      </c>
      <c r="J25" s="2" t="s">
        <v>213</v>
      </c>
      <c r="K25" s="7" t="s">
        <v>617</v>
      </c>
      <c r="L25" s="1" t="s">
        <v>612</v>
      </c>
      <c r="M25" s="4">
        <v>42259</v>
      </c>
      <c r="N25" s="1" t="s">
        <v>6</v>
      </c>
      <c r="O25" s="1" t="s">
        <v>69</v>
      </c>
    </row>
    <row r="26" spans="1:15" ht="30" x14ac:dyDescent="0.25">
      <c r="A26" s="1"/>
      <c r="B26" s="2" t="s">
        <v>108</v>
      </c>
      <c r="C26" s="2" t="s">
        <v>116</v>
      </c>
      <c r="D26" s="4">
        <v>42257</v>
      </c>
      <c r="E26" s="2" t="s">
        <v>70</v>
      </c>
      <c r="F26" s="1" t="s">
        <v>537</v>
      </c>
      <c r="G26" s="2" t="s">
        <v>66</v>
      </c>
      <c r="H26" s="7" t="s">
        <v>539</v>
      </c>
      <c r="I26" s="2" t="s">
        <v>116</v>
      </c>
      <c r="J26" s="2" t="s">
        <v>213</v>
      </c>
      <c r="K26" s="7" t="s">
        <v>618</v>
      </c>
      <c r="L26" s="1" t="s">
        <v>614</v>
      </c>
      <c r="M26" s="4">
        <v>42259</v>
      </c>
      <c r="N26" s="1" t="s">
        <v>6</v>
      </c>
      <c r="O26" s="1" t="s">
        <v>69</v>
      </c>
    </row>
    <row r="27" spans="1:15" x14ac:dyDescent="0.25">
      <c r="A27" s="1"/>
      <c r="B27" s="2" t="s">
        <v>114</v>
      </c>
      <c r="C27" s="2" t="s">
        <v>41</v>
      </c>
      <c r="D27" s="4">
        <v>42265</v>
      </c>
      <c r="E27" s="2" t="s">
        <v>70</v>
      </c>
      <c r="F27" s="1" t="s">
        <v>830</v>
      </c>
      <c r="G27" s="2" t="s">
        <v>71</v>
      </c>
      <c r="H27" s="7" t="s">
        <v>831</v>
      </c>
      <c r="I27" s="2" t="s">
        <v>171</v>
      </c>
      <c r="J27" s="2" t="s">
        <v>213</v>
      </c>
      <c r="K27" s="7"/>
      <c r="L27" s="1"/>
      <c r="M27" s="4">
        <v>42265</v>
      </c>
      <c r="N27" s="1" t="s">
        <v>6</v>
      </c>
      <c r="O27" s="1" t="s">
        <v>69</v>
      </c>
    </row>
    <row r="28" spans="1:15" ht="30" x14ac:dyDescent="0.25">
      <c r="A28" s="1"/>
      <c r="B28" s="2" t="s">
        <v>108</v>
      </c>
      <c r="C28" s="2" t="s">
        <v>454</v>
      </c>
      <c r="D28" s="4">
        <v>42272</v>
      </c>
      <c r="E28" s="2" t="s">
        <v>64</v>
      </c>
      <c r="F28" s="1" t="s">
        <v>832</v>
      </c>
      <c r="G28" s="2" t="s">
        <v>66</v>
      </c>
      <c r="H28" s="7" t="s">
        <v>856</v>
      </c>
      <c r="I28" s="2" t="s">
        <v>116</v>
      </c>
      <c r="J28" s="2" t="s">
        <v>213</v>
      </c>
      <c r="K28" s="7" t="s">
        <v>857</v>
      </c>
      <c r="L28" s="1" t="s">
        <v>833</v>
      </c>
      <c r="M28" s="4">
        <v>42273</v>
      </c>
      <c r="N28" s="1" t="s">
        <v>6</v>
      </c>
      <c r="O28" s="1" t="s">
        <v>69</v>
      </c>
    </row>
    <row r="29" spans="1:15" x14ac:dyDescent="0.25">
      <c r="A29" s="1"/>
      <c r="B29" s="2" t="s">
        <v>108</v>
      </c>
      <c r="C29" s="2" t="s">
        <v>454</v>
      </c>
      <c r="D29" s="4">
        <v>42272</v>
      </c>
      <c r="E29" s="2" t="s">
        <v>64</v>
      </c>
      <c r="F29" s="1" t="s">
        <v>832</v>
      </c>
      <c r="G29" s="2" t="s">
        <v>71</v>
      </c>
      <c r="H29" s="7" t="s">
        <v>834</v>
      </c>
      <c r="I29" s="2" t="s">
        <v>116</v>
      </c>
      <c r="J29" s="2" t="s">
        <v>213</v>
      </c>
      <c r="K29" s="7" t="s">
        <v>835</v>
      </c>
      <c r="L29" s="1" t="s">
        <v>833</v>
      </c>
      <c r="M29" s="4">
        <v>42273</v>
      </c>
      <c r="N29" s="1" t="s">
        <v>6</v>
      </c>
      <c r="O29" s="1" t="s">
        <v>69</v>
      </c>
    </row>
    <row r="30" spans="1:15" x14ac:dyDescent="0.25">
      <c r="A30" s="1"/>
      <c r="B30" s="2" t="s">
        <v>108</v>
      </c>
      <c r="C30" s="2" t="s">
        <v>454</v>
      </c>
      <c r="D30" s="4">
        <v>42272</v>
      </c>
      <c r="E30" s="2" t="s">
        <v>64</v>
      </c>
      <c r="F30" s="1" t="s">
        <v>832</v>
      </c>
      <c r="G30" s="2" t="s">
        <v>66</v>
      </c>
      <c r="H30" s="7" t="s">
        <v>836</v>
      </c>
      <c r="I30" s="2" t="s">
        <v>116</v>
      </c>
      <c r="J30" s="2" t="s">
        <v>213</v>
      </c>
      <c r="K30" s="7" t="s">
        <v>837</v>
      </c>
      <c r="L30" s="1" t="s">
        <v>833</v>
      </c>
      <c r="M30" s="4">
        <v>42273</v>
      </c>
      <c r="N30" s="1" t="s">
        <v>6</v>
      </c>
      <c r="O30" s="1" t="s">
        <v>69</v>
      </c>
    </row>
    <row r="31" spans="1:15" x14ac:dyDescent="0.25">
      <c r="A31" s="1"/>
      <c r="B31" s="2" t="s">
        <v>114</v>
      </c>
      <c r="C31" s="2" t="s">
        <v>116</v>
      </c>
      <c r="D31" s="4">
        <v>42276</v>
      </c>
      <c r="E31" s="2" t="s">
        <v>70</v>
      </c>
      <c r="F31" s="1" t="s">
        <v>838</v>
      </c>
      <c r="G31" s="2" t="s">
        <v>71</v>
      </c>
      <c r="H31" s="7" t="s">
        <v>839</v>
      </c>
      <c r="I31" s="2" t="s">
        <v>116</v>
      </c>
      <c r="J31" s="2" t="s">
        <v>213</v>
      </c>
      <c r="K31" s="7" t="s">
        <v>840</v>
      </c>
      <c r="L31" s="1" t="s">
        <v>841</v>
      </c>
      <c r="M31" s="4">
        <v>42276</v>
      </c>
      <c r="N31" s="1" t="s">
        <v>6</v>
      </c>
      <c r="O31" s="1" t="s">
        <v>69</v>
      </c>
    </row>
    <row r="32" spans="1:15" x14ac:dyDescent="0.25">
      <c r="A32" s="1"/>
      <c r="B32" s="2" t="s">
        <v>114</v>
      </c>
      <c r="C32" s="2" t="s">
        <v>116</v>
      </c>
      <c r="D32" s="4">
        <v>42276</v>
      </c>
      <c r="E32" s="2" t="s">
        <v>70</v>
      </c>
      <c r="F32" s="1" t="s">
        <v>838</v>
      </c>
      <c r="G32" s="2" t="s">
        <v>66</v>
      </c>
      <c r="H32" s="7" t="s">
        <v>842</v>
      </c>
      <c r="I32" s="2" t="s">
        <v>116</v>
      </c>
      <c r="J32" s="2" t="s">
        <v>213</v>
      </c>
      <c r="K32" s="7" t="s">
        <v>843</v>
      </c>
      <c r="L32" s="1" t="s">
        <v>841</v>
      </c>
      <c r="M32" s="4">
        <v>42276</v>
      </c>
      <c r="N32" s="1" t="s">
        <v>6</v>
      </c>
      <c r="O32" s="1" t="s">
        <v>69</v>
      </c>
    </row>
    <row r="33" spans="1:15" x14ac:dyDescent="0.25">
      <c r="A33" s="1"/>
      <c r="B33" s="2" t="s">
        <v>114</v>
      </c>
      <c r="C33" s="2" t="s">
        <v>116</v>
      </c>
      <c r="D33" s="4">
        <v>42276</v>
      </c>
      <c r="E33" s="2" t="s">
        <v>70</v>
      </c>
      <c r="F33" s="1" t="s">
        <v>838</v>
      </c>
      <c r="G33" s="2" t="s">
        <v>66</v>
      </c>
      <c r="H33" s="7" t="s">
        <v>844</v>
      </c>
      <c r="I33" s="2" t="s">
        <v>116</v>
      </c>
      <c r="J33" s="2" t="s">
        <v>213</v>
      </c>
      <c r="K33" s="7" t="s">
        <v>845</v>
      </c>
      <c r="L33" s="1" t="s">
        <v>841</v>
      </c>
      <c r="M33" s="4">
        <v>42276</v>
      </c>
      <c r="N33" s="1" t="s">
        <v>6</v>
      </c>
      <c r="O33" s="1" t="s">
        <v>69</v>
      </c>
    </row>
    <row r="34" spans="1:15" ht="30" x14ac:dyDescent="0.25">
      <c r="A34" s="1"/>
      <c r="B34" s="2" t="s">
        <v>114</v>
      </c>
      <c r="C34" s="2" t="s">
        <v>78</v>
      </c>
      <c r="D34" s="4">
        <v>42280</v>
      </c>
      <c r="E34" s="2" t="s">
        <v>70</v>
      </c>
      <c r="F34" s="1" t="s">
        <v>846</v>
      </c>
      <c r="G34" s="2" t="s">
        <v>66</v>
      </c>
      <c r="H34" s="7" t="s">
        <v>858</v>
      </c>
      <c r="I34" s="2" t="s">
        <v>171</v>
      </c>
      <c r="J34" s="2" t="s">
        <v>315</v>
      </c>
      <c r="K34" s="7" t="s">
        <v>859</v>
      </c>
      <c r="L34" s="1"/>
      <c r="M34" s="4"/>
      <c r="N34" s="1" t="s">
        <v>6</v>
      </c>
      <c r="O34" s="1" t="s">
        <v>69</v>
      </c>
    </row>
    <row r="35" spans="1:15" x14ac:dyDescent="0.25">
      <c r="A35" s="1"/>
      <c r="B35" s="2" t="s">
        <v>108</v>
      </c>
      <c r="C35" s="2" t="s">
        <v>144</v>
      </c>
      <c r="D35" s="4">
        <v>42282</v>
      </c>
      <c r="E35" s="2" t="s">
        <v>34</v>
      </c>
      <c r="F35" s="1" t="s">
        <v>847</v>
      </c>
      <c r="G35" s="2" t="s">
        <v>66</v>
      </c>
      <c r="H35" s="7" t="s">
        <v>860</v>
      </c>
      <c r="I35" s="2" t="s">
        <v>116</v>
      </c>
      <c r="J35" s="2" t="s">
        <v>213</v>
      </c>
      <c r="K35" s="7" t="s">
        <v>848</v>
      </c>
      <c r="L35" s="1"/>
      <c r="M35" s="4">
        <v>42283</v>
      </c>
      <c r="N35" s="1" t="s">
        <v>6</v>
      </c>
      <c r="O35" s="1" t="s">
        <v>69</v>
      </c>
    </row>
    <row r="36" spans="1:15" x14ac:dyDescent="0.25">
      <c r="A36" s="1"/>
      <c r="B36" s="2" t="s">
        <v>108</v>
      </c>
      <c r="C36" s="2" t="s">
        <v>144</v>
      </c>
      <c r="D36" s="4">
        <v>42282</v>
      </c>
      <c r="E36" s="2" t="s">
        <v>34</v>
      </c>
      <c r="F36" s="1" t="s">
        <v>847</v>
      </c>
      <c r="G36" s="2" t="s">
        <v>66</v>
      </c>
      <c r="H36" s="7" t="s">
        <v>849</v>
      </c>
      <c r="I36" s="2" t="s">
        <v>116</v>
      </c>
      <c r="J36" s="2" t="s">
        <v>213</v>
      </c>
      <c r="K36" s="7" t="s">
        <v>850</v>
      </c>
      <c r="L36" s="1"/>
      <c r="M36" s="4">
        <v>42283</v>
      </c>
      <c r="N36" s="1" t="s">
        <v>6</v>
      </c>
      <c r="O36" s="1" t="s">
        <v>69</v>
      </c>
    </row>
    <row r="37" spans="1:15" x14ac:dyDescent="0.25">
      <c r="A37" s="1"/>
      <c r="B37" s="2" t="s">
        <v>108</v>
      </c>
      <c r="C37" s="2" t="s">
        <v>143</v>
      </c>
      <c r="D37" s="4">
        <v>42282</v>
      </c>
      <c r="E37" s="2" t="s">
        <v>34</v>
      </c>
      <c r="F37" s="1" t="s">
        <v>847</v>
      </c>
      <c r="G37" s="2" t="s">
        <v>66</v>
      </c>
      <c r="H37" s="7" t="s">
        <v>851</v>
      </c>
      <c r="I37" s="2" t="s">
        <v>116</v>
      </c>
      <c r="J37" s="2" t="s">
        <v>213</v>
      </c>
      <c r="K37" s="7" t="s">
        <v>852</v>
      </c>
      <c r="L37" s="1"/>
      <c r="M37" s="4">
        <v>42283</v>
      </c>
      <c r="N37" s="1" t="s">
        <v>6</v>
      </c>
      <c r="O37" s="1" t="s">
        <v>69</v>
      </c>
    </row>
    <row r="38" spans="1:15" x14ac:dyDescent="0.25">
      <c r="A38" s="1"/>
      <c r="B38" s="2" t="s">
        <v>108</v>
      </c>
      <c r="C38" s="2" t="s">
        <v>143</v>
      </c>
      <c r="D38" s="4">
        <v>42282</v>
      </c>
      <c r="E38" s="2" t="s">
        <v>34</v>
      </c>
      <c r="F38" s="1" t="s">
        <v>847</v>
      </c>
      <c r="G38" s="2" t="s">
        <v>66</v>
      </c>
      <c r="H38" s="7" t="s">
        <v>853</v>
      </c>
      <c r="I38" s="2" t="s">
        <v>116</v>
      </c>
      <c r="J38" s="2" t="s">
        <v>213</v>
      </c>
      <c r="K38" s="7" t="s">
        <v>854</v>
      </c>
      <c r="L38" s="1"/>
      <c r="M38" s="4">
        <v>42283</v>
      </c>
      <c r="N38" s="1" t="s">
        <v>6</v>
      </c>
      <c r="O38" s="1" t="s">
        <v>69</v>
      </c>
    </row>
    <row r="39" spans="1:15" x14ac:dyDescent="0.25">
      <c r="A39" s="1"/>
      <c r="B39" s="2" t="s">
        <v>108</v>
      </c>
      <c r="C39" s="2" t="s">
        <v>144</v>
      </c>
      <c r="D39" s="4">
        <v>42277</v>
      </c>
      <c r="E39" s="2" t="s">
        <v>34</v>
      </c>
      <c r="F39" s="1" t="s">
        <v>855</v>
      </c>
      <c r="G39" s="2" t="s">
        <v>71</v>
      </c>
      <c r="H39" s="7" t="s">
        <v>233</v>
      </c>
      <c r="I39" s="2" t="s">
        <v>143</v>
      </c>
      <c r="J39" s="2" t="s">
        <v>213</v>
      </c>
      <c r="K39" s="7"/>
      <c r="L39" s="1"/>
      <c r="M39" s="4">
        <v>42277</v>
      </c>
      <c r="N39" s="1" t="s">
        <v>6</v>
      </c>
      <c r="O39" s="1" t="s">
        <v>69</v>
      </c>
    </row>
    <row r="40" spans="1:15" ht="75" x14ac:dyDescent="0.25">
      <c r="A40" s="1"/>
      <c r="B40" s="2" t="s">
        <v>697</v>
      </c>
      <c r="C40" s="2" t="s">
        <v>78</v>
      </c>
      <c r="D40" s="4">
        <v>42312</v>
      </c>
      <c r="E40" s="2" t="s">
        <v>70</v>
      </c>
      <c r="F40" s="1" t="s">
        <v>1945</v>
      </c>
      <c r="G40" s="2" t="s">
        <v>71</v>
      </c>
      <c r="H40" s="7" t="s">
        <v>2345</v>
      </c>
      <c r="I40" s="2" t="s">
        <v>124</v>
      </c>
      <c r="J40" s="2" t="s">
        <v>213</v>
      </c>
      <c r="K40" s="7" t="s">
        <v>2346</v>
      </c>
      <c r="L40" s="1" t="s">
        <v>1946</v>
      </c>
      <c r="M40" s="4">
        <v>42312</v>
      </c>
      <c r="N40" s="1" t="s">
        <v>6</v>
      </c>
      <c r="O40" s="1" t="s">
        <v>69</v>
      </c>
    </row>
    <row r="41" spans="1:15" ht="180" x14ac:dyDescent="0.25">
      <c r="A41" s="1"/>
      <c r="B41" s="2" t="s">
        <v>699</v>
      </c>
      <c r="C41" s="2" t="s">
        <v>78</v>
      </c>
      <c r="D41" s="4">
        <v>42317</v>
      </c>
      <c r="E41" s="2" t="s">
        <v>70</v>
      </c>
      <c r="F41" s="1" t="s">
        <v>1947</v>
      </c>
      <c r="G41" s="2" t="s">
        <v>66</v>
      </c>
      <c r="H41" s="7" t="s">
        <v>2347</v>
      </c>
      <c r="I41" s="2" t="s">
        <v>41</v>
      </c>
      <c r="J41" s="2" t="s">
        <v>213</v>
      </c>
      <c r="K41" s="7"/>
      <c r="L41" s="1" t="s">
        <v>410</v>
      </c>
      <c r="M41" s="4">
        <v>42318</v>
      </c>
      <c r="N41" s="1" t="s">
        <v>6</v>
      </c>
      <c r="O41" s="1" t="s">
        <v>69</v>
      </c>
    </row>
    <row r="42" spans="1:15" ht="60" x14ac:dyDescent="0.25">
      <c r="A42" s="1"/>
      <c r="B42" s="2" t="s">
        <v>699</v>
      </c>
      <c r="C42" s="2" t="s">
        <v>78</v>
      </c>
      <c r="D42" s="4">
        <v>42317</v>
      </c>
      <c r="E42" s="2" t="s">
        <v>70</v>
      </c>
      <c r="F42" s="1" t="s">
        <v>1947</v>
      </c>
      <c r="G42" s="2" t="s">
        <v>71</v>
      </c>
      <c r="H42" s="7" t="s">
        <v>2348</v>
      </c>
      <c r="I42" s="2" t="s">
        <v>41</v>
      </c>
      <c r="J42" s="2" t="s">
        <v>213</v>
      </c>
      <c r="K42" s="7"/>
      <c r="L42" s="1" t="s">
        <v>410</v>
      </c>
      <c r="M42" s="4">
        <v>42318</v>
      </c>
      <c r="N42" s="1" t="s">
        <v>6</v>
      </c>
      <c r="O42" s="1" t="s">
        <v>69</v>
      </c>
    </row>
    <row r="43" spans="1:15" ht="45" x14ac:dyDescent="0.25">
      <c r="A43" s="1"/>
      <c r="B43" s="2" t="s">
        <v>699</v>
      </c>
      <c r="C43" s="2" t="s">
        <v>78</v>
      </c>
      <c r="D43" s="4">
        <v>42324</v>
      </c>
      <c r="E43" s="2" t="s">
        <v>70</v>
      </c>
      <c r="F43" s="1" t="s">
        <v>1948</v>
      </c>
      <c r="G43" s="2" t="s">
        <v>66</v>
      </c>
      <c r="H43" s="7" t="s">
        <v>1949</v>
      </c>
      <c r="I43" s="2" t="s">
        <v>41</v>
      </c>
      <c r="J43" s="2" t="s">
        <v>213</v>
      </c>
      <c r="K43" s="7" t="s">
        <v>2349</v>
      </c>
      <c r="L43" s="1" t="s">
        <v>528</v>
      </c>
      <c r="M43" s="4">
        <v>42324</v>
      </c>
      <c r="N43" s="1" t="s">
        <v>6</v>
      </c>
      <c r="O43" s="1" t="s">
        <v>69</v>
      </c>
    </row>
    <row r="44" spans="1:15" ht="30" x14ac:dyDescent="0.25">
      <c r="A44" s="1"/>
      <c r="B44" s="2" t="s">
        <v>699</v>
      </c>
      <c r="C44" s="2" t="s">
        <v>78</v>
      </c>
      <c r="D44" s="4">
        <v>42324</v>
      </c>
      <c r="E44" s="2" t="s">
        <v>70</v>
      </c>
      <c r="F44" s="1" t="s">
        <v>1948</v>
      </c>
      <c r="G44" s="2" t="s">
        <v>71</v>
      </c>
      <c r="H44" s="7" t="s">
        <v>2350</v>
      </c>
      <c r="I44" s="2" t="s">
        <v>41</v>
      </c>
      <c r="J44" s="2" t="s">
        <v>213</v>
      </c>
      <c r="K44" s="7" t="s">
        <v>1950</v>
      </c>
      <c r="L44" s="1" t="s">
        <v>528</v>
      </c>
      <c r="M44" s="4">
        <v>42324</v>
      </c>
      <c r="N44" s="1" t="s">
        <v>6</v>
      </c>
      <c r="O44" s="1" t="s">
        <v>69</v>
      </c>
    </row>
    <row r="45" spans="1:15" ht="120" x14ac:dyDescent="0.25">
      <c r="A45" s="1"/>
      <c r="B45" s="2" t="s">
        <v>697</v>
      </c>
      <c r="C45" s="2" t="s">
        <v>78</v>
      </c>
      <c r="D45" s="38">
        <v>42326</v>
      </c>
      <c r="E45" s="2" t="s">
        <v>70</v>
      </c>
      <c r="F45" s="1" t="s">
        <v>1951</v>
      </c>
      <c r="G45" s="2" t="s">
        <v>71</v>
      </c>
      <c r="H45" s="7" t="s">
        <v>2351</v>
      </c>
      <c r="I45" s="2" t="s">
        <v>124</v>
      </c>
      <c r="J45" s="2" t="s">
        <v>213</v>
      </c>
      <c r="K45" s="7" t="s">
        <v>1952</v>
      </c>
      <c r="L45" s="1" t="s">
        <v>1951</v>
      </c>
      <c r="M45" s="38">
        <v>42326</v>
      </c>
      <c r="N45" s="1" t="s">
        <v>6</v>
      </c>
      <c r="O45" s="1" t="s">
        <v>69</v>
      </c>
    </row>
    <row r="46" spans="1:15" ht="30" x14ac:dyDescent="0.25">
      <c r="A46" s="1"/>
      <c r="B46" s="2" t="s">
        <v>697</v>
      </c>
      <c r="C46" s="2" t="s">
        <v>41</v>
      </c>
      <c r="D46" s="38">
        <v>42334</v>
      </c>
      <c r="E46" s="2" t="s">
        <v>70</v>
      </c>
      <c r="F46" s="1" t="s">
        <v>1953</v>
      </c>
      <c r="G46" s="2" t="s">
        <v>71</v>
      </c>
      <c r="H46" s="7" t="s">
        <v>1954</v>
      </c>
      <c r="I46" s="2" t="s">
        <v>124</v>
      </c>
      <c r="J46" s="2" t="s">
        <v>213</v>
      </c>
      <c r="K46" s="7" t="s">
        <v>1955</v>
      </c>
      <c r="L46" s="1" t="s">
        <v>222</v>
      </c>
      <c r="M46" s="38">
        <v>42334</v>
      </c>
      <c r="N46" s="1" t="s">
        <v>6</v>
      </c>
      <c r="O46" s="1" t="s">
        <v>69</v>
      </c>
    </row>
    <row r="47" spans="1:15" x14ac:dyDescent="0.25">
      <c r="A47" s="1"/>
      <c r="B47" s="2" t="s">
        <v>697</v>
      </c>
      <c r="C47" s="2" t="s">
        <v>41</v>
      </c>
      <c r="D47" s="38">
        <v>42334</v>
      </c>
      <c r="E47" s="2" t="s">
        <v>70</v>
      </c>
      <c r="F47" s="1" t="s">
        <v>1953</v>
      </c>
      <c r="G47" s="2" t="s">
        <v>66</v>
      </c>
      <c r="H47" s="7" t="s">
        <v>1956</v>
      </c>
      <c r="I47" s="2" t="s">
        <v>124</v>
      </c>
      <c r="J47" s="2" t="s">
        <v>213</v>
      </c>
      <c r="K47" s="7" t="s">
        <v>1957</v>
      </c>
      <c r="L47" s="1" t="s">
        <v>222</v>
      </c>
      <c r="M47" s="38">
        <v>42334</v>
      </c>
      <c r="N47" s="1" t="s">
        <v>6</v>
      </c>
      <c r="O47" s="1" t="s">
        <v>69</v>
      </c>
    </row>
    <row r="48" spans="1:15" x14ac:dyDescent="0.25">
      <c r="A48" s="1"/>
      <c r="B48" s="2" t="s">
        <v>697</v>
      </c>
      <c r="C48" s="2" t="s">
        <v>41</v>
      </c>
      <c r="D48" s="38">
        <v>42334</v>
      </c>
      <c r="E48" s="2" t="s">
        <v>70</v>
      </c>
      <c r="F48" s="1" t="s">
        <v>1953</v>
      </c>
      <c r="G48" s="2" t="s">
        <v>66</v>
      </c>
      <c r="H48" s="7" t="s">
        <v>1958</v>
      </c>
      <c r="I48" s="2" t="s">
        <v>124</v>
      </c>
      <c r="J48" s="2" t="s">
        <v>213</v>
      </c>
      <c r="K48" s="7" t="s">
        <v>1959</v>
      </c>
      <c r="L48" s="1" t="s">
        <v>222</v>
      </c>
      <c r="M48" s="38">
        <v>42334</v>
      </c>
      <c r="N48" s="1" t="s">
        <v>6</v>
      </c>
      <c r="O48" s="1" t="s">
        <v>69</v>
      </c>
    </row>
    <row r="49" spans="1:15" x14ac:dyDescent="0.25">
      <c r="A49" s="1"/>
      <c r="B49" s="2" t="s">
        <v>699</v>
      </c>
      <c r="C49" s="2" t="s">
        <v>116</v>
      </c>
      <c r="D49" s="38">
        <v>42341</v>
      </c>
      <c r="E49" s="2" t="s">
        <v>70</v>
      </c>
      <c r="F49" s="1" t="s">
        <v>1960</v>
      </c>
      <c r="G49" s="2" t="s">
        <v>66</v>
      </c>
      <c r="H49" s="7" t="s">
        <v>2352</v>
      </c>
      <c r="I49" s="2" t="s">
        <v>41</v>
      </c>
      <c r="J49" s="2" t="s">
        <v>213</v>
      </c>
      <c r="K49" s="7" t="s">
        <v>1961</v>
      </c>
      <c r="L49" s="1"/>
      <c r="M49" s="38">
        <v>42343</v>
      </c>
      <c r="N49" s="1" t="s">
        <v>6</v>
      </c>
      <c r="O49" s="1" t="s">
        <v>69</v>
      </c>
    </row>
    <row r="50" spans="1:15" x14ac:dyDescent="0.25">
      <c r="A50" s="1"/>
      <c r="B50" s="2" t="s">
        <v>699</v>
      </c>
      <c r="C50" s="2" t="s">
        <v>116</v>
      </c>
      <c r="D50" s="38">
        <v>42341</v>
      </c>
      <c r="E50" s="2" t="s">
        <v>70</v>
      </c>
      <c r="F50" s="1" t="s">
        <v>1960</v>
      </c>
      <c r="G50" s="2" t="s">
        <v>71</v>
      </c>
      <c r="H50" s="7" t="s">
        <v>1962</v>
      </c>
      <c r="I50" s="2" t="s">
        <v>41</v>
      </c>
      <c r="J50" s="2" t="s">
        <v>213</v>
      </c>
      <c r="K50" s="7" t="s">
        <v>1963</v>
      </c>
      <c r="L50" s="1"/>
      <c r="M50" s="38">
        <v>42342</v>
      </c>
      <c r="N50" s="1" t="s">
        <v>6</v>
      </c>
      <c r="O50" s="1" t="s">
        <v>69</v>
      </c>
    </row>
    <row r="51" spans="1:15" x14ac:dyDescent="0.25">
      <c r="A51" s="1"/>
      <c r="B51" s="2" t="s">
        <v>699</v>
      </c>
      <c r="C51" s="2" t="s">
        <v>116</v>
      </c>
      <c r="D51" s="38">
        <v>42341</v>
      </c>
      <c r="E51" s="2" t="s">
        <v>70</v>
      </c>
      <c r="F51" s="1" t="s">
        <v>1960</v>
      </c>
      <c r="G51" s="2" t="s">
        <v>66</v>
      </c>
      <c r="H51" s="7" t="s">
        <v>2353</v>
      </c>
      <c r="I51" s="2" t="s">
        <v>41</v>
      </c>
      <c r="J51" s="2" t="s">
        <v>213</v>
      </c>
      <c r="K51" s="7" t="s">
        <v>1964</v>
      </c>
      <c r="L51" s="1"/>
      <c r="M51" s="38">
        <v>42342</v>
      </c>
      <c r="N51" s="1" t="s">
        <v>6</v>
      </c>
      <c r="O51" s="1" t="s">
        <v>69</v>
      </c>
    </row>
    <row r="52" spans="1:15" x14ac:dyDescent="0.25">
      <c r="A52" s="1"/>
      <c r="B52" s="2" t="s">
        <v>699</v>
      </c>
      <c r="C52" s="2" t="s">
        <v>116</v>
      </c>
      <c r="D52" s="38">
        <v>42341</v>
      </c>
      <c r="E52" s="2" t="s">
        <v>70</v>
      </c>
      <c r="F52" s="1" t="s">
        <v>1960</v>
      </c>
      <c r="G52" s="2" t="s">
        <v>66</v>
      </c>
      <c r="H52" s="7" t="s">
        <v>1965</v>
      </c>
      <c r="I52" s="2" t="s">
        <v>41</v>
      </c>
      <c r="J52" s="2" t="s">
        <v>213</v>
      </c>
      <c r="K52" s="7" t="s">
        <v>1966</v>
      </c>
      <c r="L52" s="1"/>
      <c r="M52" s="38">
        <v>42342</v>
      </c>
      <c r="N52" s="1" t="s">
        <v>6</v>
      </c>
      <c r="O52" s="1" t="s">
        <v>69</v>
      </c>
    </row>
    <row r="53" spans="1:15" ht="30" x14ac:dyDescent="0.25">
      <c r="A53" s="1"/>
      <c r="B53" s="2" t="s">
        <v>699</v>
      </c>
      <c r="C53" s="2" t="s">
        <v>116</v>
      </c>
      <c r="D53" s="38">
        <v>42341</v>
      </c>
      <c r="E53" s="2" t="s">
        <v>70</v>
      </c>
      <c r="F53" s="1" t="s">
        <v>1960</v>
      </c>
      <c r="G53" s="2" t="s">
        <v>66</v>
      </c>
      <c r="H53" s="7" t="s">
        <v>1967</v>
      </c>
      <c r="I53" s="2" t="s">
        <v>41</v>
      </c>
      <c r="J53" s="2" t="s">
        <v>213</v>
      </c>
      <c r="K53" s="7" t="s">
        <v>1968</v>
      </c>
      <c r="L53" s="1"/>
      <c r="M53" s="38">
        <v>42342</v>
      </c>
      <c r="N53" s="1" t="s">
        <v>6</v>
      </c>
      <c r="O53" s="1" t="s">
        <v>69</v>
      </c>
    </row>
    <row r="54" spans="1:15" x14ac:dyDescent="0.25">
      <c r="A54" s="1"/>
      <c r="B54" s="2" t="s">
        <v>699</v>
      </c>
      <c r="C54" s="2" t="s">
        <v>116</v>
      </c>
      <c r="D54" s="38">
        <v>42341</v>
      </c>
      <c r="E54" s="2" t="s">
        <v>70</v>
      </c>
      <c r="F54" s="1" t="s">
        <v>1960</v>
      </c>
      <c r="G54" s="2" t="s">
        <v>66</v>
      </c>
      <c r="H54" s="7" t="s">
        <v>2354</v>
      </c>
      <c r="I54" s="2" t="s">
        <v>41</v>
      </c>
      <c r="J54" s="2" t="s">
        <v>213</v>
      </c>
      <c r="K54" s="7" t="s">
        <v>1969</v>
      </c>
      <c r="L54" s="1"/>
      <c r="M54" s="38">
        <v>42342</v>
      </c>
      <c r="N54" s="1" t="s">
        <v>6</v>
      </c>
      <c r="O54" s="1" t="s">
        <v>69</v>
      </c>
    </row>
    <row r="55" spans="1:15" ht="30" x14ac:dyDescent="0.25">
      <c r="A55" s="1"/>
      <c r="B55" s="2" t="s">
        <v>699</v>
      </c>
      <c r="C55" s="2" t="s">
        <v>116</v>
      </c>
      <c r="D55" s="38">
        <v>42341</v>
      </c>
      <c r="E55" s="2" t="s">
        <v>70</v>
      </c>
      <c r="F55" s="1" t="s">
        <v>1960</v>
      </c>
      <c r="G55" s="2" t="s">
        <v>66</v>
      </c>
      <c r="H55" s="7" t="s">
        <v>2355</v>
      </c>
      <c r="I55" s="2" t="s">
        <v>41</v>
      </c>
      <c r="J55" s="2" t="s">
        <v>213</v>
      </c>
      <c r="K55" s="7" t="s">
        <v>1970</v>
      </c>
      <c r="L55" s="1"/>
      <c r="M55" s="38">
        <v>42343</v>
      </c>
      <c r="N55" s="1" t="s">
        <v>6</v>
      </c>
      <c r="O55" s="1" t="s">
        <v>69</v>
      </c>
    </row>
    <row r="56" spans="1:15" x14ac:dyDescent="0.25">
      <c r="A56" s="1"/>
      <c r="B56" s="2" t="s">
        <v>699</v>
      </c>
      <c r="C56" s="2" t="s">
        <v>116</v>
      </c>
      <c r="D56" s="38">
        <v>42341</v>
      </c>
      <c r="E56" s="2" t="s">
        <v>70</v>
      </c>
      <c r="F56" s="1" t="s">
        <v>1960</v>
      </c>
      <c r="G56" s="2" t="s">
        <v>66</v>
      </c>
      <c r="H56" s="7" t="s">
        <v>1971</v>
      </c>
      <c r="I56" s="2" t="s">
        <v>41</v>
      </c>
      <c r="J56" s="2" t="s">
        <v>213</v>
      </c>
      <c r="K56" s="7" t="s">
        <v>1972</v>
      </c>
      <c r="L56" s="1"/>
      <c r="M56" s="38">
        <v>42342</v>
      </c>
      <c r="N56" s="1" t="s">
        <v>6</v>
      </c>
      <c r="O56" s="1" t="s">
        <v>69</v>
      </c>
    </row>
    <row r="57" spans="1:15" ht="30" x14ac:dyDescent="0.25">
      <c r="A57" s="1"/>
      <c r="B57" s="2" t="s">
        <v>699</v>
      </c>
      <c r="C57" s="2" t="s">
        <v>961</v>
      </c>
      <c r="D57" s="38">
        <v>42350</v>
      </c>
      <c r="E57" s="2" t="s">
        <v>70</v>
      </c>
      <c r="F57" s="1" t="s">
        <v>1973</v>
      </c>
      <c r="G57" s="2" t="s">
        <v>66</v>
      </c>
      <c r="H57" s="7" t="s">
        <v>2356</v>
      </c>
      <c r="I57" s="2" t="s">
        <v>171</v>
      </c>
      <c r="J57" s="2" t="s">
        <v>213</v>
      </c>
      <c r="K57" s="7" t="s">
        <v>1974</v>
      </c>
      <c r="L57" s="1"/>
      <c r="M57" s="38">
        <v>42350</v>
      </c>
      <c r="N57" s="1" t="s">
        <v>6</v>
      </c>
      <c r="O57" s="1" t="s">
        <v>69</v>
      </c>
    </row>
    <row r="58" spans="1:15" x14ac:dyDescent="0.25">
      <c r="A58" s="1"/>
      <c r="B58" s="2" t="s">
        <v>699</v>
      </c>
      <c r="C58" s="2" t="s">
        <v>961</v>
      </c>
      <c r="D58" s="38">
        <v>42350</v>
      </c>
      <c r="E58" s="2" t="s">
        <v>70</v>
      </c>
      <c r="F58" s="1" t="s">
        <v>1975</v>
      </c>
      <c r="G58" s="2" t="s">
        <v>71</v>
      </c>
      <c r="H58" s="7" t="s">
        <v>2357</v>
      </c>
      <c r="I58" s="2" t="s">
        <v>171</v>
      </c>
      <c r="J58" s="2" t="s">
        <v>213</v>
      </c>
      <c r="K58" s="7" t="s">
        <v>1976</v>
      </c>
      <c r="L58" s="1"/>
      <c r="M58" s="38">
        <v>42350</v>
      </c>
      <c r="N58" s="1" t="s">
        <v>6</v>
      </c>
      <c r="O58" s="1" t="s">
        <v>69</v>
      </c>
    </row>
    <row r="59" spans="1:15" x14ac:dyDescent="0.25">
      <c r="A59" s="1"/>
      <c r="B59" s="2" t="s">
        <v>699</v>
      </c>
      <c r="C59" s="2" t="s">
        <v>171</v>
      </c>
      <c r="D59" s="38">
        <v>42349</v>
      </c>
      <c r="E59" s="2" t="s">
        <v>70</v>
      </c>
      <c r="F59" s="1" t="s">
        <v>1977</v>
      </c>
      <c r="G59" s="2" t="s">
        <v>71</v>
      </c>
      <c r="H59" s="7" t="s">
        <v>1978</v>
      </c>
      <c r="I59" s="2" t="s">
        <v>41</v>
      </c>
      <c r="J59" s="2" t="s">
        <v>213</v>
      </c>
      <c r="K59" s="7"/>
      <c r="L59" s="1"/>
      <c r="M59" s="38">
        <v>42349</v>
      </c>
      <c r="N59" s="1" t="s">
        <v>6</v>
      </c>
      <c r="O59" s="1" t="s">
        <v>69</v>
      </c>
    </row>
    <row r="60" spans="1:15" x14ac:dyDescent="0.25">
      <c r="A60" s="1"/>
      <c r="B60" s="2" t="s">
        <v>699</v>
      </c>
      <c r="C60" s="2" t="s">
        <v>78</v>
      </c>
      <c r="D60" s="38">
        <v>42350</v>
      </c>
      <c r="E60" s="2" t="s">
        <v>70</v>
      </c>
      <c r="F60" s="1" t="s">
        <v>1979</v>
      </c>
      <c r="G60" s="2" t="s">
        <v>66</v>
      </c>
      <c r="H60" s="7" t="s">
        <v>1980</v>
      </c>
      <c r="I60" s="2" t="s">
        <v>171</v>
      </c>
      <c r="J60" s="2" t="s">
        <v>213</v>
      </c>
      <c r="K60" s="7" t="s">
        <v>1981</v>
      </c>
      <c r="L60" s="1"/>
      <c r="M60" s="38">
        <v>42350</v>
      </c>
      <c r="N60" s="1" t="s">
        <v>6</v>
      </c>
      <c r="O60" s="1" t="s">
        <v>69</v>
      </c>
    </row>
    <row r="61" spans="1:15" x14ac:dyDescent="0.25">
      <c r="A61" s="1"/>
      <c r="B61" s="2" t="s">
        <v>699</v>
      </c>
      <c r="C61" s="2" t="s">
        <v>116</v>
      </c>
      <c r="D61" s="38">
        <v>42350</v>
      </c>
      <c r="E61" s="2" t="s">
        <v>70</v>
      </c>
      <c r="F61" s="1" t="s">
        <v>1982</v>
      </c>
      <c r="G61" s="2" t="s">
        <v>71</v>
      </c>
      <c r="H61" s="7" t="s">
        <v>1983</v>
      </c>
      <c r="I61" s="2" t="s">
        <v>116</v>
      </c>
      <c r="J61" s="2" t="s">
        <v>213</v>
      </c>
      <c r="K61" s="7"/>
      <c r="L61" s="1"/>
      <c r="M61" s="38"/>
      <c r="N61" s="1" t="s">
        <v>6</v>
      </c>
      <c r="O61" s="1" t="s">
        <v>69</v>
      </c>
    </row>
    <row r="62" spans="1:15" x14ac:dyDescent="0.25">
      <c r="A62" s="1"/>
      <c r="B62" s="2" t="s">
        <v>699</v>
      </c>
      <c r="C62" s="2" t="s">
        <v>116</v>
      </c>
      <c r="D62" s="38">
        <v>42356</v>
      </c>
      <c r="E62" s="2" t="s">
        <v>70</v>
      </c>
      <c r="F62" s="1" t="s">
        <v>1984</v>
      </c>
      <c r="G62" s="2" t="s">
        <v>71</v>
      </c>
      <c r="H62" s="7" t="s">
        <v>1983</v>
      </c>
      <c r="I62" s="2" t="s">
        <v>116</v>
      </c>
      <c r="J62" s="2" t="s">
        <v>213</v>
      </c>
      <c r="K62" s="7"/>
      <c r="L62" s="1"/>
      <c r="M62" s="38"/>
      <c r="N62" s="1" t="s">
        <v>6</v>
      </c>
      <c r="O62" s="1" t="s">
        <v>69</v>
      </c>
    </row>
    <row r="63" spans="1:15" ht="30" x14ac:dyDescent="0.25">
      <c r="A63" s="1"/>
      <c r="B63" s="2" t="s">
        <v>699</v>
      </c>
      <c r="C63" s="2" t="s">
        <v>36</v>
      </c>
      <c r="D63" s="38">
        <v>42356</v>
      </c>
      <c r="E63" s="2" t="s">
        <v>70</v>
      </c>
      <c r="F63" s="1" t="s">
        <v>1985</v>
      </c>
      <c r="G63" s="2" t="s">
        <v>66</v>
      </c>
      <c r="H63" s="7" t="s">
        <v>1986</v>
      </c>
      <c r="I63" s="2" t="s">
        <v>144</v>
      </c>
      <c r="J63" s="2" t="s">
        <v>213</v>
      </c>
      <c r="K63" s="7" t="s">
        <v>2358</v>
      </c>
      <c r="L63" s="1" t="s">
        <v>215</v>
      </c>
      <c r="M63" s="38">
        <v>42356</v>
      </c>
      <c r="N63" s="1" t="s">
        <v>6</v>
      </c>
      <c r="O63" s="1" t="s">
        <v>69</v>
      </c>
    </row>
    <row r="64" spans="1:15" x14ac:dyDescent="0.25">
      <c r="A64" s="1"/>
      <c r="B64" s="2" t="s">
        <v>699</v>
      </c>
      <c r="C64" s="2" t="s">
        <v>36</v>
      </c>
      <c r="D64" s="38">
        <v>42356</v>
      </c>
      <c r="E64" s="2" t="s">
        <v>70</v>
      </c>
      <c r="F64" s="1" t="s">
        <v>1985</v>
      </c>
      <c r="G64" s="2" t="s">
        <v>71</v>
      </c>
      <c r="H64" s="7" t="s">
        <v>1987</v>
      </c>
      <c r="I64" s="2" t="s">
        <v>144</v>
      </c>
      <c r="J64" s="2" t="s">
        <v>213</v>
      </c>
      <c r="K64" s="7" t="s">
        <v>1988</v>
      </c>
      <c r="L64" s="1" t="s">
        <v>215</v>
      </c>
      <c r="M64" s="38">
        <v>42356</v>
      </c>
      <c r="N64" s="1" t="s">
        <v>6</v>
      </c>
      <c r="O64" s="1" t="s">
        <v>69</v>
      </c>
    </row>
    <row r="65" spans="1:15" ht="45" x14ac:dyDescent="0.25">
      <c r="A65" s="1"/>
      <c r="B65" s="2" t="s">
        <v>699</v>
      </c>
      <c r="C65" s="2" t="s">
        <v>36</v>
      </c>
      <c r="D65" s="38">
        <v>42356</v>
      </c>
      <c r="E65" s="2" t="s">
        <v>70</v>
      </c>
      <c r="F65" s="1" t="s">
        <v>1985</v>
      </c>
      <c r="G65" s="2" t="s">
        <v>71</v>
      </c>
      <c r="H65" s="7" t="s">
        <v>1989</v>
      </c>
      <c r="I65" s="2" t="s">
        <v>144</v>
      </c>
      <c r="J65" s="2" t="s">
        <v>213</v>
      </c>
      <c r="K65" s="7" t="s">
        <v>1990</v>
      </c>
      <c r="L65" s="1" t="s">
        <v>215</v>
      </c>
      <c r="M65" s="38">
        <v>42356</v>
      </c>
      <c r="N65" s="1" t="s">
        <v>6</v>
      </c>
      <c r="O65" s="1" t="s">
        <v>69</v>
      </c>
    </row>
    <row r="66" spans="1:15" ht="45" x14ac:dyDescent="0.25">
      <c r="A66" s="1"/>
      <c r="B66" s="2" t="s">
        <v>699</v>
      </c>
      <c r="C66" s="2" t="s">
        <v>36</v>
      </c>
      <c r="D66" s="38">
        <v>42356</v>
      </c>
      <c r="E66" s="2" t="s">
        <v>70</v>
      </c>
      <c r="F66" s="1" t="s">
        <v>1985</v>
      </c>
      <c r="G66" s="2" t="s">
        <v>66</v>
      </c>
      <c r="H66" s="7" t="s">
        <v>1991</v>
      </c>
      <c r="I66" s="2" t="s">
        <v>144</v>
      </c>
      <c r="J66" s="2" t="s">
        <v>213</v>
      </c>
      <c r="K66" s="7" t="s">
        <v>2359</v>
      </c>
      <c r="L66" s="1" t="s">
        <v>215</v>
      </c>
      <c r="M66" s="38">
        <v>42356</v>
      </c>
      <c r="N66" s="1" t="s">
        <v>6</v>
      </c>
      <c r="O66" s="1" t="s">
        <v>69</v>
      </c>
    </row>
    <row r="67" spans="1:15" ht="30" x14ac:dyDescent="0.25">
      <c r="A67" s="1"/>
      <c r="B67" s="2" t="s">
        <v>699</v>
      </c>
      <c r="C67" s="2" t="s">
        <v>36</v>
      </c>
      <c r="D67" s="38">
        <v>42356</v>
      </c>
      <c r="E67" s="2" t="s">
        <v>70</v>
      </c>
      <c r="F67" s="1" t="s">
        <v>1985</v>
      </c>
      <c r="G67" s="2" t="s">
        <v>66</v>
      </c>
      <c r="H67" s="7" t="s">
        <v>1992</v>
      </c>
      <c r="I67" s="2" t="s">
        <v>144</v>
      </c>
      <c r="J67" s="2" t="s">
        <v>213</v>
      </c>
      <c r="K67" s="7" t="s">
        <v>1993</v>
      </c>
      <c r="L67" s="1" t="s">
        <v>215</v>
      </c>
      <c r="M67" s="38">
        <v>42356</v>
      </c>
      <c r="N67" s="1" t="s">
        <v>6</v>
      </c>
      <c r="O67" s="1" t="s">
        <v>69</v>
      </c>
    </row>
    <row r="68" spans="1:15" ht="30" x14ac:dyDescent="0.25">
      <c r="A68" s="1"/>
      <c r="B68" s="2" t="s">
        <v>699</v>
      </c>
      <c r="C68" s="2" t="s">
        <v>36</v>
      </c>
      <c r="D68" s="38">
        <v>42356</v>
      </c>
      <c r="E68" s="2" t="s">
        <v>70</v>
      </c>
      <c r="F68" s="1" t="s">
        <v>1985</v>
      </c>
      <c r="G68" s="2" t="s">
        <v>66</v>
      </c>
      <c r="H68" s="7" t="s">
        <v>1994</v>
      </c>
      <c r="I68" s="2" t="s">
        <v>144</v>
      </c>
      <c r="J68" s="2" t="s">
        <v>213</v>
      </c>
      <c r="K68" s="7" t="s">
        <v>1995</v>
      </c>
      <c r="L68" s="1" t="s">
        <v>215</v>
      </c>
      <c r="M68" s="38">
        <v>42356</v>
      </c>
      <c r="N68" s="1" t="s">
        <v>6</v>
      </c>
      <c r="O68" s="1" t="s">
        <v>69</v>
      </c>
    </row>
    <row r="69" spans="1:15" x14ac:dyDescent="0.25">
      <c r="A69" s="1"/>
      <c r="B69" s="2" t="s">
        <v>699</v>
      </c>
      <c r="C69" s="2" t="s">
        <v>78</v>
      </c>
      <c r="D69" s="38">
        <v>42350</v>
      </c>
      <c r="E69" s="2" t="s">
        <v>70</v>
      </c>
      <c r="F69" s="1" t="s">
        <v>1996</v>
      </c>
      <c r="G69" s="2" t="s">
        <v>66</v>
      </c>
      <c r="H69" s="7" t="s">
        <v>1997</v>
      </c>
      <c r="I69" s="2" t="s">
        <v>41</v>
      </c>
      <c r="J69" s="2" t="s">
        <v>213</v>
      </c>
      <c r="K69" s="7" t="s">
        <v>1998</v>
      </c>
      <c r="L69" s="1"/>
      <c r="M69" s="38">
        <v>42350</v>
      </c>
      <c r="N69" s="1" t="s">
        <v>6</v>
      </c>
      <c r="O69" s="1" t="s">
        <v>69</v>
      </c>
    </row>
    <row r="70" spans="1:15" x14ac:dyDescent="0.25">
      <c r="A70" s="1"/>
      <c r="B70" s="2" t="s">
        <v>699</v>
      </c>
      <c r="C70" s="2" t="s">
        <v>1061</v>
      </c>
      <c r="D70" s="38">
        <v>42357</v>
      </c>
      <c r="E70" s="2" t="s">
        <v>34</v>
      </c>
      <c r="F70" s="1" t="s">
        <v>1999</v>
      </c>
      <c r="G70" s="2" t="s">
        <v>66</v>
      </c>
      <c r="H70" s="7" t="s">
        <v>2360</v>
      </c>
      <c r="I70" s="2" t="s">
        <v>176</v>
      </c>
      <c r="J70" s="2" t="s">
        <v>213</v>
      </c>
      <c r="K70" s="7" t="s">
        <v>2000</v>
      </c>
      <c r="L70" s="1" t="s">
        <v>2001</v>
      </c>
      <c r="M70" s="38">
        <v>42357</v>
      </c>
      <c r="N70" s="1" t="s">
        <v>6</v>
      </c>
      <c r="O70" s="1" t="s">
        <v>69</v>
      </c>
    </row>
    <row r="71" spans="1:15" x14ac:dyDescent="0.25">
      <c r="A71" s="1"/>
      <c r="B71" s="2" t="s">
        <v>699</v>
      </c>
      <c r="C71" s="2" t="s">
        <v>1061</v>
      </c>
      <c r="D71" s="38">
        <v>42357</v>
      </c>
      <c r="E71" s="2" t="s">
        <v>34</v>
      </c>
      <c r="F71" s="1" t="s">
        <v>1999</v>
      </c>
      <c r="G71" s="2" t="s">
        <v>71</v>
      </c>
      <c r="H71" s="7" t="s">
        <v>2002</v>
      </c>
      <c r="I71" s="2" t="s">
        <v>176</v>
      </c>
      <c r="J71" s="2" t="s">
        <v>213</v>
      </c>
      <c r="K71" s="7" t="s">
        <v>2003</v>
      </c>
      <c r="L71" s="1" t="s">
        <v>2001</v>
      </c>
      <c r="M71" s="38">
        <v>42357</v>
      </c>
      <c r="N71" s="1" t="s">
        <v>6</v>
      </c>
      <c r="O71" s="1" t="s">
        <v>69</v>
      </c>
    </row>
    <row r="72" spans="1:15" ht="45" x14ac:dyDescent="0.25">
      <c r="A72" s="1"/>
      <c r="B72" s="2" t="s">
        <v>699</v>
      </c>
      <c r="C72" s="2" t="s">
        <v>144</v>
      </c>
      <c r="D72" s="38">
        <v>42357</v>
      </c>
      <c r="E72" s="2" t="s">
        <v>34</v>
      </c>
      <c r="F72" s="1" t="s">
        <v>2004</v>
      </c>
      <c r="G72" s="2" t="s">
        <v>66</v>
      </c>
      <c r="H72" s="7" t="s">
        <v>2361</v>
      </c>
      <c r="I72" s="2" t="s">
        <v>116</v>
      </c>
      <c r="J72" s="2" t="s">
        <v>213</v>
      </c>
      <c r="K72" s="7" t="s">
        <v>2362</v>
      </c>
      <c r="L72" s="1" t="s">
        <v>2005</v>
      </c>
      <c r="M72" s="38">
        <v>42357</v>
      </c>
      <c r="N72" s="1" t="s">
        <v>6</v>
      </c>
      <c r="O72" s="1" t="s">
        <v>69</v>
      </c>
    </row>
    <row r="73" spans="1:15" x14ac:dyDescent="0.25">
      <c r="A73" s="1"/>
      <c r="B73" s="2" t="s">
        <v>699</v>
      </c>
      <c r="C73" s="2" t="s">
        <v>454</v>
      </c>
      <c r="D73" s="38">
        <v>42356</v>
      </c>
      <c r="E73" s="2" t="s">
        <v>34</v>
      </c>
      <c r="F73" s="1" t="s">
        <v>2006</v>
      </c>
      <c r="G73" s="2" t="s">
        <v>71</v>
      </c>
      <c r="H73" s="7" t="s">
        <v>2007</v>
      </c>
      <c r="I73" s="2" t="s">
        <v>41</v>
      </c>
      <c r="J73" s="2" t="s">
        <v>213</v>
      </c>
      <c r="K73" s="7"/>
      <c r="L73" s="1"/>
      <c r="M73" s="38"/>
      <c r="N73" s="1" t="s">
        <v>6</v>
      </c>
      <c r="O73" s="1" t="s">
        <v>69</v>
      </c>
    </row>
    <row r="74" spans="1:15" x14ac:dyDescent="0.25">
      <c r="A74" s="1"/>
      <c r="B74" s="2" t="s">
        <v>699</v>
      </c>
      <c r="C74" s="2" t="s">
        <v>43</v>
      </c>
      <c r="D74" s="38">
        <v>42347</v>
      </c>
      <c r="E74" s="2" t="s">
        <v>70</v>
      </c>
      <c r="F74" s="1" t="s">
        <v>2008</v>
      </c>
      <c r="G74" s="2" t="s">
        <v>71</v>
      </c>
      <c r="H74" s="7" t="s">
        <v>2009</v>
      </c>
      <c r="I74" s="2" t="s">
        <v>118</v>
      </c>
      <c r="J74" s="2" t="s">
        <v>213</v>
      </c>
      <c r="K74" s="7"/>
      <c r="L74" s="1"/>
      <c r="M74" s="38">
        <v>42347</v>
      </c>
      <c r="N74" s="1" t="s">
        <v>6</v>
      </c>
      <c r="O74" s="1" t="s">
        <v>69</v>
      </c>
    </row>
    <row r="75" spans="1:15" x14ac:dyDescent="0.25">
      <c r="A75" s="1"/>
      <c r="B75" s="2" t="s">
        <v>699</v>
      </c>
      <c r="C75" s="2" t="s">
        <v>43</v>
      </c>
      <c r="D75" s="38">
        <v>42348</v>
      </c>
      <c r="E75" s="2" t="s">
        <v>70</v>
      </c>
      <c r="F75" s="1" t="s">
        <v>2010</v>
      </c>
      <c r="G75" s="2" t="s">
        <v>71</v>
      </c>
      <c r="H75" s="7" t="s">
        <v>2011</v>
      </c>
      <c r="I75" s="2" t="s">
        <v>118</v>
      </c>
      <c r="J75" s="2" t="s">
        <v>213</v>
      </c>
      <c r="K75" s="7"/>
      <c r="L75" s="1"/>
      <c r="M75" s="38">
        <v>42348</v>
      </c>
      <c r="N75" s="1" t="s">
        <v>6</v>
      </c>
      <c r="O75" s="1" t="s">
        <v>69</v>
      </c>
    </row>
    <row r="76" spans="1:15" x14ac:dyDescent="0.25">
      <c r="A76" s="1"/>
      <c r="B76" s="2" t="s">
        <v>699</v>
      </c>
      <c r="C76" s="2" t="s">
        <v>41</v>
      </c>
      <c r="D76" s="38">
        <v>42358</v>
      </c>
      <c r="E76" s="2" t="s">
        <v>87</v>
      </c>
      <c r="F76" s="1" t="s">
        <v>33</v>
      </c>
      <c r="G76" s="2" t="s">
        <v>71</v>
      </c>
      <c r="H76" s="7" t="s">
        <v>2012</v>
      </c>
      <c r="I76" s="2" t="s">
        <v>171</v>
      </c>
      <c r="J76" s="2" t="s">
        <v>213</v>
      </c>
      <c r="K76" s="7"/>
      <c r="L76" s="1"/>
      <c r="M76" s="38">
        <v>42353</v>
      </c>
      <c r="N76" s="1" t="s">
        <v>6</v>
      </c>
      <c r="O76" s="1" t="s">
        <v>69</v>
      </c>
    </row>
    <row r="77" spans="1:15" x14ac:dyDescent="0.25">
      <c r="A77" s="1"/>
      <c r="B77" s="2" t="s">
        <v>699</v>
      </c>
      <c r="C77" s="2" t="s">
        <v>116</v>
      </c>
      <c r="D77" s="38">
        <v>42359</v>
      </c>
      <c r="E77" s="2" t="s">
        <v>70</v>
      </c>
      <c r="F77" s="1" t="s">
        <v>2013</v>
      </c>
      <c r="G77" s="2" t="s">
        <v>71</v>
      </c>
      <c r="H77" s="7" t="s">
        <v>1983</v>
      </c>
      <c r="I77" s="2" t="s">
        <v>41</v>
      </c>
      <c r="J77" s="2" t="s">
        <v>213</v>
      </c>
      <c r="K77" s="7"/>
      <c r="L77" s="1"/>
      <c r="M77" s="38"/>
      <c r="N77" s="1" t="s">
        <v>6</v>
      </c>
      <c r="O77" s="1" t="s">
        <v>69</v>
      </c>
    </row>
    <row r="78" spans="1:15" x14ac:dyDescent="0.25">
      <c r="A78" s="1"/>
      <c r="B78" s="2" t="s">
        <v>909</v>
      </c>
      <c r="C78" s="2" t="s">
        <v>41</v>
      </c>
      <c r="D78" s="38">
        <v>42375</v>
      </c>
      <c r="E78" s="2" t="s">
        <v>70</v>
      </c>
      <c r="F78" s="1" t="s">
        <v>2014</v>
      </c>
      <c r="G78" s="2" t="s">
        <v>66</v>
      </c>
      <c r="H78" s="7" t="s">
        <v>2015</v>
      </c>
      <c r="I78" s="2" t="s">
        <v>116</v>
      </c>
      <c r="J78" s="2" t="s">
        <v>213</v>
      </c>
      <c r="K78" s="7" t="s">
        <v>2016</v>
      </c>
      <c r="L78" s="1"/>
      <c r="M78" s="38">
        <v>42010</v>
      </c>
      <c r="N78" s="1" t="s">
        <v>6</v>
      </c>
      <c r="O78" s="1" t="s">
        <v>69</v>
      </c>
    </row>
    <row r="79" spans="1:15" x14ac:dyDescent="0.25">
      <c r="A79" s="1"/>
      <c r="B79" s="2" t="s">
        <v>909</v>
      </c>
      <c r="C79" s="2" t="s">
        <v>41</v>
      </c>
      <c r="D79" s="38">
        <v>42375</v>
      </c>
      <c r="E79" s="2" t="s">
        <v>70</v>
      </c>
      <c r="F79" s="1" t="s">
        <v>2017</v>
      </c>
      <c r="G79" s="2" t="s">
        <v>71</v>
      </c>
      <c r="H79" s="7" t="s">
        <v>2018</v>
      </c>
      <c r="I79" s="2" t="s">
        <v>116</v>
      </c>
      <c r="J79" s="2" t="s">
        <v>213</v>
      </c>
      <c r="K79" s="7"/>
      <c r="L79" s="1"/>
      <c r="M79" s="38">
        <v>42375</v>
      </c>
      <c r="N79" s="1" t="s">
        <v>6</v>
      </c>
      <c r="O79" s="1" t="s">
        <v>69</v>
      </c>
    </row>
    <row r="80" spans="1:15" ht="60" x14ac:dyDescent="0.25">
      <c r="A80" s="1"/>
      <c r="B80" s="2" t="s">
        <v>909</v>
      </c>
      <c r="C80" s="2" t="s">
        <v>78</v>
      </c>
      <c r="D80" s="38">
        <v>42388</v>
      </c>
      <c r="E80" s="2" t="s">
        <v>70</v>
      </c>
      <c r="F80" s="1" t="s">
        <v>2019</v>
      </c>
      <c r="G80" s="2" t="s">
        <v>66</v>
      </c>
      <c r="H80" s="7" t="s">
        <v>2363</v>
      </c>
      <c r="I80" s="2" t="s">
        <v>961</v>
      </c>
      <c r="J80" s="2" t="s">
        <v>213</v>
      </c>
      <c r="K80" s="7" t="s">
        <v>2364</v>
      </c>
      <c r="L80" s="1"/>
      <c r="M80" s="38">
        <v>42023</v>
      </c>
      <c r="N80" s="1" t="s">
        <v>6</v>
      </c>
      <c r="O80" s="1" t="s">
        <v>69</v>
      </c>
    </row>
    <row r="81" spans="1:15" ht="90" x14ac:dyDescent="0.25">
      <c r="A81" s="1"/>
      <c r="B81" s="2" t="s">
        <v>697</v>
      </c>
      <c r="C81" s="2" t="s">
        <v>78</v>
      </c>
      <c r="D81" s="38">
        <v>42392</v>
      </c>
      <c r="E81" s="2" t="s">
        <v>70</v>
      </c>
      <c r="F81" s="1" t="s">
        <v>223</v>
      </c>
      <c r="G81" s="2" t="s">
        <v>71</v>
      </c>
      <c r="H81" s="7" t="s">
        <v>2365</v>
      </c>
      <c r="I81" s="2" t="s">
        <v>124</v>
      </c>
      <c r="J81" s="2" t="s">
        <v>213</v>
      </c>
      <c r="K81" s="7" t="s">
        <v>2366</v>
      </c>
      <c r="L81" s="1"/>
      <c r="M81" s="38">
        <v>42392</v>
      </c>
      <c r="N81" s="1" t="s">
        <v>6</v>
      </c>
      <c r="O81" s="1" t="s">
        <v>69</v>
      </c>
    </row>
    <row r="82" spans="1:15" ht="30" x14ac:dyDescent="0.25">
      <c r="A82" s="1"/>
      <c r="B82" s="2" t="s">
        <v>697</v>
      </c>
      <c r="C82" s="2" t="s">
        <v>78</v>
      </c>
      <c r="D82" s="38">
        <v>42392</v>
      </c>
      <c r="E82" s="2" t="s">
        <v>70</v>
      </c>
      <c r="F82" s="1" t="s">
        <v>223</v>
      </c>
      <c r="G82" s="2" t="s">
        <v>66</v>
      </c>
      <c r="H82" s="7" t="s">
        <v>2367</v>
      </c>
      <c r="I82" s="2" t="s">
        <v>124</v>
      </c>
      <c r="J82" s="2" t="s">
        <v>213</v>
      </c>
      <c r="K82" s="7" t="s">
        <v>2368</v>
      </c>
      <c r="L82" s="1"/>
      <c r="M82" s="38">
        <v>42392</v>
      </c>
      <c r="N82" s="1" t="s">
        <v>6</v>
      </c>
      <c r="O82" s="1" t="s">
        <v>69</v>
      </c>
    </row>
    <row r="83" spans="1:15" x14ac:dyDescent="0.25">
      <c r="A83" s="1"/>
      <c r="B83" s="2" t="s">
        <v>909</v>
      </c>
      <c r="C83" s="2" t="s">
        <v>116</v>
      </c>
      <c r="D83" s="38">
        <v>42404</v>
      </c>
      <c r="E83" s="2" t="s">
        <v>70</v>
      </c>
      <c r="F83" s="1" t="s">
        <v>2020</v>
      </c>
      <c r="G83" s="2" t="s">
        <v>71</v>
      </c>
      <c r="H83" s="7" t="s">
        <v>2021</v>
      </c>
      <c r="I83" s="2" t="s">
        <v>41</v>
      </c>
      <c r="J83" s="2" t="s">
        <v>213</v>
      </c>
      <c r="K83" s="7" t="s">
        <v>2022</v>
      </c>
      <c r="L83" s="1"/>
      <c r="M83" s="38"/>
      <c r="N83" s="1" t="s">
        <v>6</v>
      </c>
      <c r="O83" s="1" t="s">
        <v>69</v>
      </c>
    </row>
    <row r="84" spans="1:15" ht="30" x14ac:dyDescent="0.25">
      <c r="A84" s="1"/>
      <c r="B84" s="2" t="s">
        <v>909</v>
      </c>
      <c r="C84" s="2" t="s">
        <v>116</v>
      </c>
      <c r="D84" s="38">
        <v>42404</v>
      </c>
      <c r="E84" s="2" t="s">
        <v>70</v>
      </c>
      <c r="F84" s="1" t="s">
        <v>2020</v>
      </c>
      <c r="G84" s="2" t="s">
        <v>66</v>
      </c>
      <c r="H84" s="7" t="s">
        <v>2369</v>
      </c>
      <c r="I84" s="2" t="s">
        <v>41</v>
      </c>
      <c r="J84" s="2" t="s">
        <v>213</v>
      </c>
      <c r="K84" s="7" t="s">
        <v>2023</v>
      </c>
      <c r="L84" s="1"/>
      <c r="M84" s="38"/>
      <c r="N84" s="1" t="s">
        <v>6</v>
      </c>
      <c r="O84" s="1" t="s">
        <v>69</v>
      </c>
    </row>
    <row r="85" spans="1:15" ht="30" x14ac:dyDescent="0.25">
      <c r="A85" s="1"/>
      <c r="B85" s="2" t="s">
        <v>909</v>
      </c>
      <c r="C85" s="2" t="s">
        <v>116</v>
      </c>
      <c r="D85" s="38">
        <v>42404</v>
      </c>
      <c r="E85" s="2" t="s">
        <v>70</v>
      </c>
      <c r="F85" s="1" t="s">
        <v>2020</v>
      </c>
      <c r="G85" s="2" t="s">
        <v>66</v>
      </c>
      <c r="H85" s="7" t="s">
        <v>2370</v>
      </c>
      <c r="I85" s="2" t="s">
        <v>41</v>
      </c>
      <c r="J85" s="2" t="s">
        <v>213</v>
      </c>
      <c r="K85" s="7" t="s">
        <v>2371</v>
      </c>
      <c r="L85" s="1"/>
      <c r="M85" s="38"/>
      <c r="N85" s="1" t="s">
        <v>6</v>
      </c>
      <c r="O85" s="1" t="s">
        <v>69</v>
      </c>
    </row>
    <row r="86" spans="1:15" x14ac:dyDescent="0.25">
      <c r="A86" s="1"/>
      <c r="B86" s="2" t="s">
        <v>909</v>
      </c>
      <c r="C86" s="2" t="s">
        <v>116</v>
      </c>
      <c r="D86" s="38">
        <v>42404</v>
      </c>
      <c r="E86" s="2" t="s">
        <v>70</v>
      </c>
      <c r="F86" s="1" t="s">
        <v>2020</v>
      </c>
      <c r="G86" s="2" t="s">
        <v>71</v>
      </c>
      <c r="H86" s="7" t="s">
        <v>2372</v>
      </c>
      <c r="I86" s="2" t="s">
        <v>41</v>
      </c>
      <c r="J86" s="2" t="s">
        <v>213</v>
      </c>
      <c r="K86" s="7" t="s">
        <v>2024</v>
      </c>
      <c r="L86" s="1"/>
      <c r="M86" s="38"/>
      <c r="N86" s="1" t="s">
        <v>6</v>
      </c>
      <c r="O86" s="1" t="s">
        <v>69</v>
      </c>
    </row>
    <row r="87" spans="1:15" ht="30" x14ac:dyDescent="0.25">
      <c r="A87" s="1"/>
      <c r="B87" s="2" t="s">
        <v>909</v>
      </c>
      <c r="C87" s="2" t="s">
        <v>116</v>
      </c>
      <c r="D87" s="38">
        <v>42404</v>
      </c>
      <c r="E87" s="2" t="s">
        <v>70</v>
      </c>
      <c r="F87" s="1" t="s">
        <v>2020</v>
      </c>
      <c r="G87" s="2" t="s">
        <v>66</v>
      </c>
      <c r="H87" s="7" t="s">
        <v>2025</v>
      </c>
      <c r="I87" s="2" t="s">
        <v>41</v>
      </c>
      <c r="J87" s="2" t="s">
        <v>213</v>
      </c>
      <c r="K87" s="7" t="s">
        <v>2373</v>
      </c>
      <c r="L87" s="1"/>
      <c r="M87" s="38"/>
      <c r="N87" s="1" t="s">
        <v>6</v>
      </c>
      <c r="O87" s="1" t="s">
        <v>69</v>
      </c>
    </row>
    <row r="88" spans="1:15" ht="60" x14ac:dyDescent="0.25">
      <c r="A88" s="1"/>
      <c r="B88" s="2" t="s">
        <v>909</v>
      </c>
      <c r="C88" s="2" t="s">
        <v>116</v>
      </c>
      <c r="D88" s="38">
        <v>42404</v>
      </c>
      <c r="E88" s="2" t="s">
        <v>70</v>
      </c>
      <c r="F88" s="1" t="s">
        <v>2020</v>
      </c>
      <c r="G88" s="2" t="s">
        <v>66</v>
      </c>
      <c r="H88" s="7" t="s">
        <v>2374</v>
      </c>
      <c r="I88" s="2" t="s">
        <v>41</v>
      </c>
      <c r="J88" s="2" t="s">
        <v>213</v>
      </c>
      <c r="K88" s="7" t="s">
        <v>2375</v>
      </c>
      <c r="L88" s="1"/>
      <c r="M88" s="38"/>
      <c r="N88" s="1" t="s">
        <v>6</v>
      </c>
      <c r="O88" s="1" t="s">
        <v>69</v>
      </c>
    </row>
    <row r="89" spans="1:15" x14ac:dyDescent="0.25">
      <c r="A89" s="1"/>
      <c r="B89" s="2" t="s">
        <v>909</v>
      </c>
      <c r="C89" s="2" t="s">
        <v>116</v>
      </c>
      <c r="D89" s="38">
        <v>42404</v>
      </c>
      <c r="E89" s="2" t="s">
        <v>70</v>
      </c>
      <c r="F89" s="1" t="s">
        <v>2020</v>
      </c>
      <c r="G89" s="2" t="s">
        <v>66</v>
      </c>
      <c r="H89" s="7" t="s">
        <v>2026</v>
      </c>
      <c r="I89" s="2" t="s">
        <v>41</v>
      </c>
      <c r="J89" s="2" t="s">
        <v>213</v>
      </c>
      <c r="K89" s="7" t="s">
        <v>2027</v>
      </c>
      <c r="L89" s="1"/>
      <c r="M89" s="38"/>
      <c r="N89" s="1" t="s">
        <v>6</v>
      </c>
      <c r="O89" s="1" t="s">
        <v>69</v>
      </c>
    </row>
    <row r="90" spans="1:15" ht="30" x14ac:dyDescent="0.25">
      <c r="A90" s="1"/>
      <c r="B90" s="2" t="s">
        <v>909</v>
      </c>
      <c r="C90" s="2" t="s">
        <v>116</v>
      </c>
      <c r="D90" s="38">
        <v>42404</v>
      </c>
      <c r="E90" s="2" t="s">
        <v>70</v>
      </c>
      <c r="F90" s="1" t="s">
        <v>909</v>
      </c>
      <c r="G90" s="2" t="s">
        <v>66</v>
      </c>
      <c r="H90" s="7" t="s">
        <v>2028</v>
      </c>
      <c r="I90" s="2" t="s">
        <v>41</v>
      </c>
      <c r="J90" s="2" t="s">
        <v>213</v>
      </c>
      <c r="K90" s="7" t="s">
        <v>2376</v>
      </c>
      <c r="L90" s="1"/>
      <c r="M90" s="38"/>
      <c r="N90" s="1" t="s">
        <v>6</v>
      </c>
      <c r="O90" s="1" t="s">
        <v>69</v>
      </c>
    </row>
    <row r="91" spans="1:15" ht="30" x14ac:dyDescent="0.25">
      <c r="A91" s="1"/>
      <c r="B91" s="2" t="s">
        <v>697</v>
      </c>
      <c r="C91" s="2" t="s">
        <v>78</v>
      </c>
      <c r="D91" s="38">
        <v>42406</v>
      </c>
      <c r="E91" s="2" t="s">
        <v>70</v>
      </c>
      <c r="F91" s="1" t="s">
        <v>2029</v>
      </c>
      <c r="G91" s="2" t="s">
        <v>66</v>
      </c>
      <c r="H91" s="7" t="s">
        <v>2377</v>
      </c>
      <c r="I91" s="2" t="s">
        <v>124</v>
      </c>
      <c r="J91" s="2" t="s">
        <v>213</v>
      </c>
      <c r="K91" s="7" t="s">
        <v>2378</v>
      </c>
      <c r="L91" s="1" t="s">
        <v>2030</v>
      </c>
      <c r="M91" s="38">
        <v>42406</v>
      </c>
      <c r="N91" s="1" t="s">
        <v>6</v>
      </c>
      <c r="O91" s="1" t="s">
        <v>69</v>
      </c>
    </row>
    <row r="92" spans="1:15" ht="30" x14ac:dyDescent="0.25">
      <c r="A92" s="1"/>
      <c r="B92" s="2" t="s">
        <v>909</v>
      </c>
      <c r="C92" s="2" t="s">
        <v>116</v>
      </c>
      <c r="D92" s="38">
        <v>42406</v>
      </c>
      <c r="E92" s="2" t="s">
        <v>70</v>
      </c>
      <c r="F92" s="1" t="s">
        <v>2031</v>
      </c>
      <c r="G92" s="2" t="s">
        <v>66</v>
      </c>
      <c r="H92" s="7" t="s">
        <v>2032</v>
      </c>
      <c r="I92" s="2" t="s">
        <v>116</v>
      </c>
      <c r="J92" s="2" t="s">
        <v>213</v>
      </c>
      <c r="K92" s="7" t="s">
        <v>2379</v>
      </c>
      <c r="L92" s="1" t="s">
        <v>215</v>
      </c>
      <c r="M92" s="38">
        <v>42409</v>
      </c>
      <c r="N92" s="1" t="s">
        <v>6</v>
      </c>
      <c r="O92" s="1" t="s">
        <v>69</v>
      </c>
    </row>
    <row r="93" spans="1:15" ht="30" x14ac:dyDescent="0.25">
      <c r="A93" s="1"/>
      <c r="B93" s="2" t="s">
        <v>909</v>
      </c>
      <c r="C93" s="2" t="s">
        <v>116</v>
      </c>
      <c r="D93" s="38">
        <v>42406</v>
      </c>
      <c r="E93" s="2" t="s">
        <v>70</v>
      </c>
      <c r="F93" s="1" t="s">
        <v>2031</v>
      </c>
      <c r="G93" s="2" t="s">
        <v>66</v>
      </c>
      <c r="H93" s="7" t="s">
        <v>2033</v>
      </c>
      <c r="I93" s="2" t="s">
        <v>116</v>
      </c>
      <c r="J93" s="2" t="s">
        <v>213</v>
      </c>
      <c r="K93" s="7" t="s">
        <v>2034</v>
      </c>
      <c r="L93" s="1" t="s">
        <v>215</v>
      </c>
      <c r="M93" s="38">
        <v>42409</v>
      </c>
      <c r="N93" s="1" t="s">
        <v>6</v>
      </c>
      <c r="O93" s="1" t="s">
        <v>69</v>
      </c>
    </row>
    <row r="94" spans="1:15" ht="30" x14ac:dyDescent="0.25">
      <c r="A94" s="1"/>
      <c r="B94" s="2" t="s">
        <v>909</v>
      </c>
      <c r="C94" s="2" t="s">
        <v>116</v>
      </c>
      <c r="D94" s="38">
        <v>42406</v>
      </c>
      <c r="E94" s="2" t="s">
        <v>70</v>
      </c>
      <c r="F94" s="1" t="s">
        <v>2031</v>
      </c>
      <c r="G94" s="2" t="s">
        <v>71</v>
      </c>
      <c r="H94" s="7" t="s">
        <v>2035</v>
      </c>
      <c r="I94" s="2" t="s">
        <v>116</v>
      </c>
      <c r="J94" s="2" t="s">
        <v>213</v>
      </c>
      <c r="K94" s="7" t="s">
        <v>2036</v>
      </c>
      <c r="L94" s="1" t="s">
        <v>215</v>
      </c>
      <c r="M94" s="38">
        <v>42409</v>
      </c>
      <c r="N94" s="1" t="s">
        <v>6</v>
      </c>
      <c r="O94" s="1" t="s">
        <v>69</v>
      </c>
    </row>
    <row r="95" spans="1:15" ht="30" x14ac:dyDescent="0.25">
      <c r="A95" s="1"/>
      <c r="B95" s="2" t="s">
        <v>909</v>
      </c>
      <c r="C95" s="2" t="s">
        <v>116</v>
      </c>
      <c r="D95" s="38">
        <v>42406</v>
      </c>
      <c r="E95" s="2" t="s">
        <v>70</v>
      </c>
      <c r="F95" s="1" t="s">
        <v>2031</v>
      </c>
      <c r="G95" s="2" t="s">
        <v>71</v>
      </c>
      <c r="H95" s="7" t="s">
        <v>2380</v>
      </c>
      <c r="I95" s="2" t="s">
        <v>116</v>
      </c>
      <c r="J95" s="2" t="s">
        <v>213</v>
      </c>
      <c r="K95" s="7" t="s">
        <v>2037</v>
      </c>
      <c r="L95" s="1" t="s">
        <v>215</v>
      </c>
      <c r="M95" s="38">
        <v>42409</v>
      </c>
      <c r="N95" s="1" t="s">
        <v>6</v>
      </c>
      <c r="O95" s="1" t="s">
        <v>69</v>
      </c>
    </row>
    <row r="96" spans="1:15" x14ac:dyDescent="0.25">
      <c r="A96" s="1"/>
      <c r="B96" s="2" t="s">
        <v>697</v>
      </c>
      <c r="C96" s="2" t="s">
        <v>116</v>
      </c>
      <c r="D96" s="38">
        <v>42406</v>
      </c>
      <c r="E96" s="2" t="s">
        <v>70</v>
      </c>
      <c r="F96" s="1" t="s">
        <v>2038</v>
      </c>
      <c r="G96" s="2" t="s">
        <v>66</v>
      </c>
      <c r="H96" s="7" t="s">
        <v>2039</v>
      </c>
      <c r="I96" s="2" t="s">
        <v>116</v>
      </c>
      <c r="J96" s="2" t="s">
        <v>213</v>
      </c>
      <c r="K96" s="7" t="s">
        <v>2381</v>
      </c>
      <c r="L96" s="1" t="s">
        <v>2040</v>
      </c>
      <c r="M96" s="38">
        <v>42410</v>
      </c>
      <c r="N96" s="1" t="s">
        <v>6</v>
      </c>
      <c r="O96" s="1" t="s">
        <v>69</v>
      </c>
    </row>
    <row r="97" spans="1:15" ht="30" x14ac:dyDescent="0.25">
      <c r="A97" s="1"/>
      <c r="B97" s="2" t="s">
        <v>697</v>
      </c>
      <c r="C97" s="2" t="s">
        <v>116</v>
      </c>
      <c r="D97" s="38">
        <v>42406</v>
      </c>
      <c r="E97" s="2" t="s">
        <v>70</v>
      </c>
      <c r="F97" s="1" t="s">
        <v>2038</v>
      </c>
      <c r="G97" s="2" t="s">
        <v>66</v>
      </c>
      <c r="H97" s="7" t="s">
        <v>2041</v>
      </c>
      <c r="I97" s="2" t="s">
        <v>116</v>
      </c>
      <c r="J97" s="2" t="s">
        <v>213</v>
      </c>
      <c r="K97" s="7" t="s">
        <v>2042</v>
      </c>
      <c r="L97" s="1" t="s">
        <v>2040</v>
      </c>
      <c r="M97" s="38">
        <v>42410</v>
      </c>
      <c r="N97" s="1" t="s">
        <v>6</v>
      </c>
      <c r="O97" s="1" t="s">
        <v>69</v>
      </c>
    </row>
    <row r="98" spans="1:15" ht="30" x14ac:dyDescent="0.25">
      <c r="A98" s="1"/>
      <c r="B98" s="2" t="s">
        <v>697</v>
      </c>
      <c r="C98" s="2" t="s">
        <v>116</v>
      </c>
      <c r="D98" s="38">
        <v>42406</v>
      </c>
      <c r="E98" s="2" t="s">
        <v>70</v>
      </c>
      <c r="F98" s="1" t="s">
        <v>2038</v>
      </c>
      <c r="G98" s="2" t="s">
        <v>66</v>
      </c>
      <c r="H98" s="7" t="s">
        <v>2043</v>
      </c>
      <c r="I98" s="2" t="s">
        <v>116</v>
      </c>
      <c r="J98" s="2" t="s">
        <v>213</v>
      </c>
      <c r="K98" s="7" t="s">
        <v>2044</v>
      </c>
      <c r="L98" s="1" t="s">
        <v>2040</v>
      </c>
      <c r="M98" s="38">
        <v>42410</v>
      </c>
      <c r="N98" s="1" t="s">
        <v>6</v>
      </c>
      <c r="O98" s="1" t="s">
        <v>69</v>
      </c>
    </row>
    <row r="99" spans="1:15" ht="45" x14ac:dyDescent="0.25">
      <c r="A99" s="1"/>
      <c r="B99" s="2" t="s">
        <v>697</v>
      </c>
      <c r="C99" s="2" t="s">
        <v>116</v>
      </c>
      <c r="D99" s="38">
        <v>42406</v>
      </c>
      <c r="E99" s="2" t="s">
        <v>70</v>
      </c>
      <c r="F99" s="1" t="s">
        <v>2038</v>
      </c>
      <c r="G99" s="2" t="s">
        <v>71</v>
      </c>
      <c r="H99" s="7" t="s">
        <v>2382</v>
      </c>
      <c r="I99" s="2" t="s">
        <v>116</v>
      </c>
      <c r="J99" s="2" t="s">
        <v>213</v>
      </c>
      <c r="K99" s="7" t="s">
        <v>2045</v>
      </c>
      <c r="L99" s="1" t="s">
        <v>2040</v>
      </c>
      <c r="M99" s="38">
        <v>42410</v>
      </c>
      <c r="N99" s="1" t="s">
        <v>6</v>
      </c>
      <c r="O99" s="1" t="s">
        <v>69</v>
      </c>
    </row>
    <row r="100" spans="1:15" ht="30" x14ac:dyDescent="0.25">
      <c r="A100" s="1"/>
      <c r="B100" s="2" t="s">
        <v>909</v>
      </c>
      <c r="C100" s="2" t="s">
        <v>116</v>
      </c>
      <c r="D100" s="38">
        <v>42410</v>
      </c>
      <c r="E100" s="2" t="s">
        <v>70</v>
      </c>
      <c r="F100" s="1" t="s">
        <v>2046</v>
      </c>
      <c r="G100" s="2" t="s">
        <v>71</v>
      </c>
      <c r="H100" s="7" t="s">
        <v>2383</v>
      </c>
      <c r="I100" s="2" t="s">
        <v>116</v>
      </c>
      <c r="J100" s="2" t="s">
        <v>213</v>
      </c>
      <c r="K100" s="7" t="s">
        <v>2047</v>
      </c>
      <c r="L100" s="1" t="s">
        <v>2048</v>
      </c>
      <c r="M100" s="38">
        <v>42432</v>
      </c>
      <c r="N100" s="1" t="s">
        <v>6</v>
      </c>
      <c r="O100" s="1" t="s">
        <v>69</v>
      </c>
    </row>
    <row r="101" spans="1:15" x14ac:dyDescent="0.25">
      <c r="A101" s="1"/>
      <c r="B101" s="2" t="s">
        <v>909</v>
      </c>
      <c r="C101" s="2" t="s">
        <v>171</v>
      </c>
      <c r="D101" s="38">
        <v>42413</v>
      </c>
      <c r="E101" s="2" t="s">
        <v>70</v>
      </c>
      <c r="F101" s="1" t="s">
        <v>2049</v>
      </c>
      <c r="G101" s="2" t="s">
        <v>66</v>
      </c>
      <c r="H101" s="7" t="s">
        <v>2050</v>
      </c>
      <c r="I101" s="2" t="s">
        <v>961</v>
      </c>
      <c r="J101" s="2" t="s">
        <v>213</v>
      </c>
      <c r="K101" s="7" t="s">
        <v>2051</v>
      </c>
      <c r="L101" s="1"/>
      <c r="M101" s="38">
        <v>42413</v>
      </c>
      <c r="N101" s="1" t="s">
        <v>6</v>
      </c>
      <c r="O101" s="1" t="s">
        <v>69</v>
      </c>
    </row>
    <row r="102" spans="1:15" ht="30" x14ac:dyDescent="0.25">
      <c r="A102" s="1"/>
      <c r="B102" s="2" t="s">
        <v>909</v>
      </c>
      <c r="C102" s="2" t="s">
        <v>171</v>
      </c>
      <c r="D102" s="38">
        <v>42413</v>
      </c>
      <c r="E102" s="2" t="s">
        <v>70</v>
      </c>
      <c r="F102" s="1" t="s">
        <v>2049</v>
      </c>
      <c r="G102" s="2" t="s">
        <v>66</v>
      </c>
      <c r="H102" s="7" t="s">
        <v>2052</v>
      </c>
      <c r="I102" s="2" t="s">
        <v>961</v>
      </c>
      <c r="J102" s="2" t="s">
        <v>213</v>
      </c>
      <c r="K102" s="7" t="s">
        <v>2384</v>
      </c>
      <c r="L102" s="1"/>
      <c r="M102" s="38">
        <v>42413</v>
      </c>
      <c r="N102" s="1" t="s">
        <v>6</v>
      </c>
      <c r="O102" s="1" t="s">
        <v>69</v>
      </c>
    </row>
    <row r="103" spans="1:15" x14ac:dyDescent="0.25">
      <c r="A103" s="1"/>
      <c r="B103" s="2" t="s">
        <v>909</v>
      </c>
      <c r="C103" s="2" t="s">
        <v>171</v>
      </c>
      <c r="D103" s="38">
        <v>42413</v>
      </c>
      <c r="E103" s="2" t="s">
        <v>70</v>
      </c>
      <c r="F103" s="1" t="s">
        <v>2049</v>
      </c>
      <c r="G103" s="2" t="s">
        <v>66</v>
      </c>
      <c r="H103" s="7" t="s">
        <v>2385</v>
      </c>
      <c r="I103" s="2" t="s">
        <v>961</v>
      </c>
      <c r="J103" s="2" t="s">
        <v>213</v>
      </c>
      <c r="K103" s="7" t="s">
        <v>2053</v>
      </c>
      <c r="L103" s="1"/>
      <c r="M103" s="38"/>
      <c r="N103" s="1" t="s">
        <v>6</v>
      </c>
      <c r="O103" s="1" t="s">
        <v>69</v>
      </c>
    </row>
    <row r="104" spans="1:15" x14ac:dyDescent="0.25">
      <c r="A104" s="1"/>
      <c r="B104" s="2" t="s">
        <v>909</v>
      </c>
      <c r="C104" s="2" t="s">
        <v>171</v>
      </c>
      <c r="D104" s="38">
        <v>42413</v>
      </c>
      <c r="E104" s="2" t="s">
        <v>70</v>
      </c>
      <c r="F104" s="1" t="s">
        <v>2049</v>
      </c>
      <c r="G104" s="2" t="s">
        <v>66</v>
      </c>
      <c r="H104" s="7" t="s">
        <v>2054</v>
      </c>
      <c r="I104" s="2" t="s">
        <v>961</v>
      </c>
      <c r="J104" s="2" t="s">
        <v>213</v>
      </c>
      <c r="K104" s="7" t="s">
        <v>2386</v>
      </c>
      <c r="L104" s="1"/>
      <c r="M104" s="38"/>
      <c r="N104" s="1" t="s">
        <v>6</v>
      </c>
      <c r="O104" s="1" t="s">
        <v>69</v>
      </c>
    </row>
    <row r="105" spans="1:15" x14ac:dyDescent="0.25">
      <c r="A105" s="1"/>
      <c r="B105" s="2" t="s">
        <v>909</v>
      </c>
      <c r="C105" s="2" t="s">
        <v>171</v>
      </c>
      <c r="D105" s="38">
        <v>42413</v>
      </c>
      <c r="E105" s="2" t="s">
        <v>70</v>
      </c>
      <c r="F105" s="1" t="s">
        <v>2049</v>
      </c>
      <c r="G105" s="2" t="s">
        <v>71</v>
      </c>
      <c r="H105" s="7" t="s">
        <v>2387</v>
      </c>
      <c r="I105" s="2" t="s">
        <v>961</v>
      </c>
      <c r="J105" s="2" t="s">
        <v>213</v>
      </c>
      <c r="K105" s="7" t="s">
        <v>2388</v>
      </c>
      <c r="L105" s="1"/>
      <c r="M105" s="38"/>
      <c r="N105" s="1" t="s">
        <v>6</v>
      </c>
      <c r="O105" s="1" t="s">
        <v>69</v>
      </c>
    </row>
    <row r="106" spans="1:15" x14ac:dyDescent="0.25">
      <c r="A106" s="1"/>
      <c r="B106" s="2" t="s">
        <v>909</v>
      </c>
      <c r="C106" s="2" t="s">
        <v>171</v>
      </c>
      <c r="D106" s="38">
        <v>42412</v>
      </c>
      <c r="E106" s="2" t="s">
        <v>70</v>
      </c>
      <c r="F106" s="1" t="s">
        <v>2055</v>
      </c>
      <c r="G106" s="2" t="s">
        <v>71</v>
      </c>
      <c r="H106" s="7" t="s">
        <v>2056</v>
      </c>
      <c r="I106" s="2" t="s">
        <v>116</v>
      </c>
      <c r="J106" s="2" t="s">
        <v>213</v>
      </c>
      <c r="K106" s="7"/>
      <c r="L106" s="1"/>
      <c r="M106" s="38">
        <v>42412</v>
      </c>
      <c r="N106" s="1" t="s">
        <v>6</v>
      </c>
      <c r="O106" s="1" t="s">
        <v>69</v>
      </c>
    </row>
    <row r="107" spans="1:15" x14ac:dyDescent="0.25">
      <c r="A107" s="1"/>
      <c r="B107" s="2" t="s">
        <v>697</v>
      </c>
      <c r="C107" s="2" t="s">
        <v>78</v>
      </c>
      <c r="D107" s="38">
        <v>42413</v>
      </c>
      <c r="E107" s="2" t="s">
        <v>70</v>
      </c>
      <c r="F107" s="1" t="s">
        <v>2057</v>
      </c>
      <c r="G107" s="2" t="s">
        <v>66</v>
      </c>
      <c r="H107" s="7" t="s">
        <v>2058</v>
      </c>
      <c r="I107" s="2" t="s">
        <v>124</v>
      </c>
      <c r="J107" s="2" t="s">
        <v>213</v>
      </c>
      <c r="K107" s="7" t="s">
        <v>2389</v>
      </c>
      <c r="L107" s="1"/>
      <c r="M107" s="38">
        <v>42413</v>
      </c>
      <c r="N107" s="1" t="s">
        <v>6</v>
      </c>
      <c r="O107" s="1" t="s">
        <v>69</v>
      </c>
    </row>
    <row r="108" spans="1:15" ht="30" x14ac:dyDescent="0.25">
      <c r="A108" s="1"/>
      <c r="B108" s="2" t="s">
        <v>697</v>
      </c>
      <c r="C108" s="2" t="s">
        <v>78</v>
      </c>
      <c r="D108" s="38">
        <v>42413</v>
      </c>
      <c r="E108" s="2" t="s">
        <v>70</v>
      </c>
      <c r="F108" s="1" t="s">
        <v>2057</v>
      </c>
      <c r="G108" s="2" t="s">
        <v>66</v>
      </c>
      <c r="H108" s="7" t="s">
        <v>2059</v>
      </c>
      <c r="I108" s="2" t="s">
        <v>124</v>
      </c>
      <c r="J108" s="2" t="s">
        <v>213</v>
      </c>
      <c r="K108" s="7" t="s">
        <v>2060</v>
      </c>
      <c r="L108" s="1"/>
      <c r="M108" s="38">
        <v>42413</v>
      </c>
      <c r="N108" s="1" t="s">
        <v>6</v>
      </c>
      <c r="O108" s="1" t="s">
        <v>69</v>
      </c>
    </row>
    <row r="109" spans="1:15" ht="45" x14ac:dyDescent="0.25">
      <c r="A109" s="1"/>
      <c r="B109" s="2" t="s">
        <v>697</v>
      </c>
      <c r="C109" s="2" t="s">
        <v>43</v>
      </c>
      <c r="D109" s="38">
        <v>42416</v>
      </c>
      <c r="E109" s="2" t="s">
        <v>70</v>
      </c>
      <c r="F109" s="1" t="s">
        <v>2061</v>
      </c>
      <c r="G109" s="2" t="s">
        <v>66</v>
      </c>
      <c r="H109" s="7" t="s">
        <v>2390</v>
      </c>
      <c r="I109" s="2" t="s">
        <v>118</v>
      </c>
      <c r="J109" s="2" t="s">
        <v>213</v>
      </c>
      <c r="K109" s="7" t="s">
        <v>2391</v>
      </c>
      <c r="L109" s="1" t="s">
        <v>2062</v>
      </c>
      <c r="M109" s="38">
        <v>42416</v>
      </c>
      <c r="N109" s="1" t="s">
        <v>6</v>
      </c>
      <c r="O109" s="1" t="s">
        <v>69</v>
      </c>
    </row>
    <row r="110" spans="1:15" ht="30" x14ac:dyDescent="0.25">
      <c r="A110" s="1"/>
      <c r="B110" s="2" t="s">
        <v>909</v>
      </c>
      <c r="C110" s="2" t="s">
        <v>78</v>
      </c>
      <c r="D110" s="38">
        <v>42418</v>
      </c>
      <c r="E110" s="2" t="s">
        <v>70</v>
      </c>
      <c r="F110" s="1" t="s">
        <v>2049</v>
      </c>
      <c r="G110" s="2" t="s">
        <v>66</v>
      </c>
      <c r="H110" s="7" t="s">
        <v>2063</v>
      </c>
      <c r="I110" s="2" t="s">
        <v>961</v>
      </c>
      <c r="J110" s="2" t="s">
        <v>213</v>
      </c>
      <c r="K110" s="7" t="s">
        <v>2064</v>
      </c>
      <c r="L110" s="1"/>
      <c r="M110" s="38">
        <v>42418</v>
      </c>
      <c r="N110" s="1" t="s">
        <v>6</v>
      </c>
      <c r="O110" s="1" t="s">
        <v>69</v>
      </c>
    </row>
    <row r="111" spans="1:15" x14ac:dyDescent="0.25">
      <c r="A111" s="1"/>
      <c r="B111" s="2" t="s">
        <v>909</v>
      </c>
      <c r="C111" s="2" t="s">
        <v>78</v>
      </c>
      <c r="D111" s="38">
        <v>42418</v>
      </c>
      <c r="E111" s="2" t="s">
        <v>70</v>
      </c>
      <c r="F111" s="1" t="s">
        <v>2049</v>
      </c>
      <c r="G111" s="2" t="s">
        <v>71</v>
      </c>
      <c r="H111" s="7" t="s">
        <v>2392</v>
      </c>
      <c r="I111" s="2" t="s">
        <v>961</v>
      </c>
      <c r="J111" s="2" t="s">
        <v>213</v>
      </c>
      <c r="K111" s="7" t="s">
        <v>2065</v>
      </c>
      <c r="L111" s="1"/>
      <c r="M111" s="38">
        <v>42418</v>
      </c>
      <c r="N111" s="1" t="s">
        <v>6</v>
      </c>
      <c r="O111" s="1" t="s">
        <v>69</v>
      </c>
    </row>
    <row r="112" spans="1:15" ht="30" x14ac:dyDescent="0.25">
      <c r="A112" s="1"/>
      <c r="B112" s="2" t="s">
        <v>911</v>
      </c>
      <c r="C112" s="2" t="s">
        <v>41</v>
      </c>
      <c r="D112" s="38">
        <v>42420</v>
      </c>
      <c r="E112" s="2" t="s">
        <v>70</v>
      </c>
      <c r="F112" s="1" t="s">
        <v>2066</v>
      </c>
      <c r="G112" s="2" t="s">
        <v>66</v>
      </c>
      <c r="H112" s="7" t="s">
        <v>2393</v>
      </c>
      <c r="I112" s="2" t="s">
        <v>116</v>
      </c>
      <c r="J112" s="2" t="s">
        <v>213</v>
      </c>
      <c r="K112" s="7" t="s">
        <v>2394</v>
      </c>
      <c r="L112" s="1"/>
      <c r="M112" s="38">
        <v>42420</v>
      </c>
      <c r="N112" s="1" t="s">
        <v>6</v>
      </c>
      <c r="O112" s="1" t="s">
        <v>69</v>
      </c>
    </row>
    <row r="113" spans="1:15" x14ac:dyDescent="0.25">
      <c r="A113" s="1"/>
      <c r="B113" s="2" t="s">
        <v>911</v>
      </c>
      <c r="C113" s="2" t="s">
        <v>41</v>
      </c>
      <c r="D113" s="38">
        <v>42420</v>
      </c>
      <c r="E113" s="2" t="s">
        <v>70</v>
      </c>
      <c r="F113" s="1" t="s">
        <v>2066</v>
      </c>
      <c r="G113" s="2" t="s">
        <v>66</v>
      </c>
      <c r="H113" s="7" t="s">
        <v>2067</v>
      </c>
      <c r="I113" s="2" t="s">
        <v>116</v>
      </c>
      <c r="J113" s="2" t="s">
        <v>213</v>
      </c>
      <c r="K113" s="7" t="s">
        <v>2068</v>
      </c>
      <c r="L113" s="1"/>
      <c r="M113" s="38">
        <v>42420</v>
      </c>
      <c r="N113" s="1" t="s">
        <v>6</v>
      </c>
      <c r="O113" s="1" t="s">
        <v>69</v>
      </c>
    </row>
    <row r="114" spans="1:15" x14ac:dyDescent="0.25">
      <c r="A114" s="1"/>
      <c r="B114" s="2" t="s">
        <v>909</v>
      </c>
      <c r="C114" s="2" t="s">
        <v>41</v>
      </c>
      <c r="D114" s="38">
        <v>42420</v>
      </c>
      <c r="E114" s="2" t="s">
        <v>70</v>
      </c>
      <c r="F114" s="1" t="s">
        <v>2069</v>
      </c>
      <c r="G114" s="2" t="s">
        <v>71</v>
      </c>
      <c r="H114" s="7" t="s">
        <v>2070</v>
      </c>
      <c r="I114" s="2" t="s">
        <v>176</v>
      </c>
      <c r="J114" s="2" t="s">
        <v>213</v>
      </c>
      <c r="K114" s="7"/>
      <c r="L114" s="1"/>
      <c r="M114" s="38">
        <v>42415</v>
      </c>
      <c r="N114" s="1" t="s">
        <v>6</v>
      </c>
      <c r="O114" s="1" t="s">
        <v>69</v>
      </c>
    </row>
    <row r="115" spans="1:15" ht="30" x14ac:dyDescent="0.25">
      <c r="A115" s="1"/>
      <c r="B115" s="2" t="s">
        <v>697</v>
      </c>
      <c r="C115" s="2" t="s">
        <v>171</v>
      </c>
      <c r="D115" s="38">
        <v>42426</v>
      </c>
      <c r="E115" s="2" t="s">
        <v>70</v>
      </c>
      <c r="F115" s="1" t="s">
        <v>2071</v>
      </c>
      <c r="G115" s="2" t="s">
        <v>66</v>
      </c>
      <c r="H115" s="7" t="s">
        <v>2072</v>
      </c>
      <c r="I115" s="2" t="s">
        <v>124</v>
      </c>
      <c r="J115" s="2" t="s">
        <v>213</v>
      </c>
      <c r="K115" s="7" t="s">
        <v>2073</v>
      </c>
      <c r="L115" s="1" t="s">
        <v>2074</v>
      </c>
      <c r="M115" s="38">
        <v>42427</v>
      </c>
      <c r="N115" s="1" t="s">
        <v>6</v>
      </c>
      <c r="O115" s="1" t="s">
        <v>69</v>
      </c>
    </row>
    <row r="116" spans="1:15" ht="30" x14ac:dyDescent="0.25">
      <c r="A116" s="1"/>
      <c r="B116" s="2" t="s">
        <v>697</v>
      </c>
      <c r="C116" s="2" t="s">
        <v>171</v>
      </c>
      <c r="D116" s="38">
        <v>42426</v>
      </c>
      <c r="E116" s="2" t="s">
        <v>70</v>
      </c>
      <c r="F116" s="1" t="s">
        <v>2071</v>
      </c>
      <c r="G116" s="2" t="s">
        <v>71</v>
      </c>
      <c r="H116" s="7" t="s">
        <v>2395</v>
      </c>
      <c r="I116" s="2" t="s">
        <v>124</v>
      </c>
      <c r="J116" s="2" t="s">
        <v>213</v>
      </c>
      <c r="K116" s="7" t="s">
        <v>2075</v>
      </c>
      <c r="L116" s="1" t="s">
        <v>2074</v>
      </c>
      <c r="M116" s="38">
        <v>42427</v>
      </c>
      <c r="N116" s="1" t="s">
        <v>6</v>
      </c>
      <c r="O116" s="1" t="s">
        <v>69</v>
      </c>
    </row>
    <row r="117" spans="1:15" x14ac:dyDescent="0.25">
      <c r="A117" s="1"/>
      <c r="B117" s="2" t="s">
        <v>697</v>
      </c>
      <c r="C117" s="2" t="s">
        <v>171</v>
      </c>
      <c r="D117" s="38">
        <v>42426</v>
      </c>
      <c r="E117" s="2" t="s">
        <v>70</v>
      </c>
      <c r="F117" s="1" t="s">
        <v>2076</v>
      </c>
      <c r="G117" s="2" t="s">
        <v>71</v>
      </c>
      <c r="H117" s="7" t="s">
        <v>2077</v>
      </c>
      <c r="I117" s="2" t="s">
        <v>124</v>
      </c>
      <c r="J117" s="2" t="s">
        <v>213</v>
      </c>
      <c r="K117" s="7" t="s">
        <v>2396</v>
      </c>
      <c r="L117" s="1" t="s">
        <v>2040</v>
      </c>
      <c r="M117" s="38"/>
      <c r="N117" s="1" t="s">
        <v>6</v>
      </c>
      <c r="O117" s="1" t="s">
        <v>69</v>
      </c>
    </row>
    <row r="118" spans="1:15" ht="30" x14ac:dyDescent="0.25">
      <c r="A118" s="1"/>
      <c r="B118" s="2" t="s">
        <v>697</v>
      </c>
      <c r="C118" s="2" t="s">
        <v>171</v>
      </c>
      <c r="D118" s="38">
        <v>42426</v>
      </c>
      <c r="E118" s="2" t="s">
        <v>70</v>
      </c>
      <c r="F118" s="1" t="s">
        <v>2076</v>
      </c>
      <c r="G118" s="2" t="s">
        <v>66</v>
      </c>
      <c r="H118" s="7" t="s">
        <v>2078</v>
      </c>
      <c r="I118" s="2" t="s">
        <v>124</v>
      </c>
      <c r="J118" s="2" t="s">
        <v>213</v>
      </c>
      <c r="K118" s="7" t="s">
        <v>2079</v>
      </c>
      <c r="L118" s="1" t="s">
        <v>2040</v>
      </c>
      <c r="M118" s="38">
        <v>42426</v>
      </c>
      <c r="N118" s="1" t="s">
        <v>6</v>
      </c>
      <c r="O118" s="1" t="s">
        <v>69</v>
      </c>
    </row>
    <row r="119" spans="1:15" x14ac:dyDescent="0.25">
      <c r="A119" s="1"/>
      <c r="B119" s="2" t="s">
        <v>697</v>
      </c>
      <c r="C119" s="2" t="s">
        <v>171</v>
      </c>
      <c r="D119" s="38">
        <v>42426</v>
      </c>
      <c r="E119" s="2" t="s">
        <v>70</v>
      </c>
      <c r="F119" s="1" t="s">
        <v>2076</v>
      </c>
      <c r="G119" s="2" t="s">
        <v>71</v>
      </c>
      <c r="H119" s="7" t="s">
        <v>2080</v>
      </c>
      <c r="I119" s="2" t="s">
        <v>124</v>
      </c>
      <c r="J119" s="2" t="s">
        <v>213</v>
      </c>
      <c r="K119" s="7" t="s">
        <v>2397</v>
      </c>
      <c r="L119" s="1" t="s">
        <v>2040</v>
      </c>
      <c r="M119" s="38">
        <v>42426</v>
      </c>
      <c r="N119" s="1" t="s">
        <v>6</v>
      </c>
      <c r="O119" s="1" t="s">
        <v>69</v>
      </c>
    </row>
    <row r="120" spans="1:15" ht="30" x14ac:dyDescent="0.25">
      <c r="A120" s="1"/>
      <c r="B120" s="2" t="s">
        <v>697</v>
      </c>
      <c r="C120" s="2" t="s">
        <v>171</v>
      </c>
      <c r="D120" s="38">
        <v>42426</v>
      </c>
      <c r="E120" s="2" t="s">
        <v>70</v>
      </c>
      <c r="F120" s="1" t="s">
        <v>2076</v>
      </c>
      <c r="G120" s="2" t="s">
        <v>71</v>
      </c>
      <c r="H120" s="7" t="s">
        <v>2398</v>
      </c>
      <c r="I120" s="2" t="s">
        <v>124</v>
      </c>
      <c r="J120" s="2" t="s">
        <v>213</v>
      </c>
      <c r="K120" s="7" t="s">
        <v>2399</v>
      </c>
      <c r="L120" s="1" t="s">
        <v>2040</v>
      </c>
      <c r="M120" s="38">
        <v>42426</v>
      </c>
      <c r="N120" s="1" t="s">
        <v>6</v>
      </c>
      <c r="O120" s="1" t="s">
        <v>69</v>
      </c>
    </row>
    <row r="121" spans="1:15" ht="30" x14ac:dyDescent="0.25">
      <c r="A121" s="1"/>
      <c r="B121" s="2" t="s">
        <v>697</v>
      </c>
      <c r="C121" s="2" t="s">
        <v>171</v>
      </c>
      <c r="D121" s="38">
        <v>42426</v>
      </c>
      <c r="E121" s="2" t="s">
        <v>70</v>
      </c>
      <c r="F121" s="1" t="s">
        <v>2076</v>
      </c>
      <c r="G121" s="2" t="s">
        <v>66</v>
      </c>
      <c r="H121" s="7" t="s">
        <v>2081</v>
      </c>
      <c r="I121" s="2" t="s">
        <v>124</v>
      </c>
      <c r="J121" s="2" t="s">
        <v>213</v>
      </c>
      <c r="K121" s="7" t="s">
        <v>2400</v>
      </c>
      <c r="L121" s="1" t="s">
        <v>2040</v>
      </c>
      <c r="M121" s="38">
        <v>42426</v>
      </c>
      <c r="N121" s="1" t="s">
        <v>6</v>
      </c>
      <c r="O121" s="1" t="s">
        <v>69</v>
      </c>
    </row>
    <row r="122" spans="1:15" ht="45" x14ac:dyDescent="0.25">
      <c r="A122" s="1"/>
      <c r="B122" s="2" t="s">
        <v>697</v>
      </c>
      <c r="C122" s="2" t="s">
        <v>143</v>
      </c>
      <c r="D122" s="38">
        <v>42426</v>
      </c>
      <c r="E122" s="2" t="s">
        <v>34</v>
      </c>
      <c r="F122" s="1" t="s">
        <v>2082</v>
      </c>
      <c r="G122" s="2" t="s">
        <v>66</v>
      </c>
      <c r="H122" s="7" t="s">
        <v>2083</v>
      </c>
      <c r="I122" s="2" t="s">
        <v>124</v>
      </c>
      <c r="J122" s="2" t="s">
        <v>213</v>
      </c>
      <c r="K122" s="7" t="s">
        <v>2401</v>
      </c>
      <c r="L122" s="1" t="s">
        <v>2084</v>
      </c>
      <c r="M122" s="38">
        <v>42439</v>
      </c>
      <c r="N122" s="1" t="s">
        <v>6</v>
      </c>
      <c r="O122" s="1" t="s">
        <v>69</v>
      </c>
    </row>
    <row r="123" spans="1:15" ht="30" x14ac:dyDescent="0.25">
      <c r="A123" s="1"/>
      <c r="B123" s="2" t="s">
        <v>913</v>
      </c>
      <c r="C123" s="2" t="s">
        <v>36</v>
      </c>
      <c r="D123" s="38">
        <v>42426</v>
      </c>
      <c r="E123" s="2" t="s">
        <v>70</v>
      </c>
      <c r="F123" s="1" t="s">
        <v>2085</v>
      </c>
      <c r="G123" s="2" t="s">
        <v>66</v>
      </c>
      <c r="H123" s="7" t="s">
        <v>2402</v>
      </c>
      <c r="I123" s="2" t="s">
        <v>43</v>
      </c>
      <c r="J123" s="2" t="s">
        <v>213</v>
      </c>
      <c r="K123" s="7" t="s">
        <v>2086</v>
      </c>
      <c r="L123" s="1" t="s">
        <v>215</v>
      </c>
      <c r="M123" s="38">
        <v>42426</v>
      </c>
      <c r="N123" s="1" t="s">
        <v>6</v>
      </c>
      <c r="O123" s="1" t="s">
        <v>69</v>
      </c>
    </row>
    <row r="124" spans="1:15" ht="30" x14ac:dyDescent="0.25">
      <c r="A124" s="1"/>
      <c r="B124" s="2" t="s">
        <v>913</v>
      </c>
      <c r="C124" s="2" t="s">
        <v>36</v>
      </c>
      <c r="D124" s="38">
        <v>42426</v>
      </c>
      <c r="E124" s="2" t="s">
        <v>70</v>
      </c>
      <c r="F124" s="1" t="s">
        <v>2087</v>
      </c>
      <c r="G124" s="2" t="s">
        <v>71</v>
      </c>
      <c r="H124" s="7" t="s">
        <v>2403</v>
      </c>
      <c r="I124" s="2" t="s">
        <v>43</v>
      </c>
      <c r="J124" s="2" t="s">
        <v>213</v>
      </c>
      <c r="K124" s="7" t="s">
        <v>2088</v>
      </c>
      <c r="L124" s="1" t="s">
        <v>215</v>
      </c>
      <c r="M124" s="38">
        <v>42426</v>
      </c>
      <c r="N124" s="1" t="s">
        <v>6</v>
      </c>
      <c r="O124" s="1" t="s">
        <v>69</v>
      </c>
    </row>
    <row r="125" spans="1:15" ht="30" x14ac:dyDescent="0.25">
      <c r="A125" s="1"/>
      <c r="B125" s="2" t="s">
        <v>913</v>
      </c>
      <c r="C125" s="2" t="s">
        <v>36</v>
      </c>
      <c r="D125" s="38">
        <v>42426</v>
      </c>
      <c r="E125" s="2" t="s">
        <v>70</v>
      </c>
      <c r="F125" s="1" t="s">
        <v>2087</v>
      </c>
      <c r="G125" s="2" t="s">
        <v>66</v>
      </c>
      <c r="H125" s="7" t="s">
        <v>2404</v>
      </c>
      <c r="I125" s="2" t="s">
        <v>43</v>
      </c>
      <c r="J125" s="2" t="s">
        <v>213</v>
      </c>
      <c r="K125" s="7" t="s">
        <v>2089</v>
      </c>
      <c r="L125" s="1" t="s">
        <v>215</v>
      </c>
      <c r="M125" s="38">
        <v>42426</v>
      </c>
      <c r="N125" s="1" t="s">
        <v>6</v>
      </c>
      <c r="O125" s="1" t="s">
        <v>69</v>
      </c>
    </row>
    <row r="126" spans="1:15" ht="45" x14ac:dyDescent="0.25">
      <c r="A126" s="1"/>
      <c r="B126" s="2" t="s">
        <v>913</v>
      </c>
      <c r="C126" s="2" t="s">
        <v>36</v>
      </c>
      <c r="D126" s="38">
        <v>42426</v>
      </c>
      <c r="E126" s="2" t="s">
        <v>70</v>
      </c>
      <c r="F126" s="1" t="s">
        <v>2087</v>
      </c>
      <c r="G126" s="2" t="s">
        <v>66</v>
      </c>
      <c r="H126" s="7" t="s">
        <v>2405</v>
      </c>
      <c r="I126" s="2" t="s">
        <v>43</v>
      </c>
      <c r="J126" s="2" t="s">
        <v>213</v>
      </c>
      <c r="K126" s="7" t="s">
        <v>2090</v>
      </c>
      <c r="L126" s="1" t="s">
        <v>215</v>
      </c>
      <c r="M126" s="38">
        <v>42426</v>
      </c>
      <c r="N126" s="1" t="s">
        <v>6</v>
      </c>
      <c r="O126" s="1" t="s">
        <v>69</v>
      </c>
    </row>
    <row r="127" spans="1:15" ht="60" x14ac:dyDescent="0.25">
      <c r="A127" s="1"/>
      <c r="B127" s="2" t="s">
        <v>913</v>
      </c>
      <c r="C127" s="2" t="s">
        <v>36</v>
      </c>
      <c r="D127" s="38">
        <v>42426</v>
      </c>
      <c r="E127" s="2" t="s">
        <v>70</v>
      </c>
      <c r="F127" s="1" t="s">
        <v>2087</v>
      </c>
      <c r="G127" s="2" t="s">
        <v>71</v>
      </c>
      <c r="H127" s="7" t="s">
        <v>2406</v>
      </c>
      <c r="I127" s="2" t="s">
        <v>43</v>
      </c>
      <c r="J127" s="2" t="s">
        <v>213</v>
      </c>
      <c r="K127" s="7" t="s">
        <v>2089</v>
      </c>
      <c r="L127" s="1" t="s">
        <v>215</v>
      </c>
      <c r="M127" s="38">
        <v>42426</v>
      </c>
      <c r="N127" s="1" t="s">
        <v>6</v>
      </c>
      <c r="O127" s="1" t="s">
        <v>69</v>
      </c>
    </row>
    <row r="128" spans="1:15" ht="30" x14ac:dyDescent="0.25">
      <c r="A128" s="1"/>
      <c r="B128" s="2" t="s">
        <v>913</v>
      </c>
      <c r="C128" s="2" t="s">
        <v>36</v>
      </c>
      <c r="D128" s="38">
        <v>42426</v>
      </c>
      <c r="E128" s="2" t="s">
        <v>70</v>
      </c>
      <c r="F128" s="1" t="s">
        <v>2087</v>
      </c>
      <c r="G128" s="2" t="s">
        <v>71</v>
      </c>
      <c r="H128" s="7" t="s">
        <v>2407</v>
      </c>
      <c r="I128" s="2" t="s">
        <v>43</v>
      </c>
      <c r="J128" s="2" t="s">
        <v>213</v>
      </c>
      <c r="K128" s="7" t="s">
        <v>2089</v>
      </c>
      <c r="L128" s="1" t="s">
        <v>215</v>
      </c>
      <c r="M128" s="38">
        <v>42426</v>
      </c>
      <c r="N128" s="1" t="s">
        <v>6</v>
      </c>
      <c r="O128" s="1" t="s">
        <v>69</v>
      </c>
    </row>
    <row r="129" spans="1:15" ht="30" x14ac:dyDescent="0.25">
      <c r="A129" s="1"/>
      <c r="B129" s="2" t="s">
        <v>913</v>
      </c>
      <c r="C129" s="2" t="s">
        <v>36</v>
      </c>
      <c r="D129" s="38">
        <v>42426</v>
      </c>
      <c r="E129" s="2" t="s">
        <v>70</v>
      </c>
      <c r="F129" s="1" t="s">
        <v>2087</v>
      </c>
      <c r="G129" s="2" t="s">
        <v>71</v>
      </c>
      <c r="H129" s="7" t="s">
        <v>2408</v>
      </c>
      <c r="I129" s="2" t="s">
        <v>43</v>
      </c>
      <c r="J129" s="2" t="s">
        <v>213</v>
      </c>
      <c r="K129" s="7" t="s">
        <v>2089</v>
      </c>
      <c r="L129" s="1" t="s">
        <v>215</v>
      </c>
      <c r="M129" s="38">
        <v>42426</v>
      </c>
      <c r="N129" s="1" t="s">
        <v>6</v>
      </c>
      <c r="O129" s="1" t="s">
        <v>69</v>
      </c>
    </row>
    <row r="130" spans="1:15" ht="30" x14ac:dyDescent="0.25">
      <c r="A130" s="1"/>
      <c r="B130" s="2" t="s">
        <v>913</v>
      </c>
      <c r="C130" s="2" t="s">
        <v>36</v>
      </c>
      <c r="D130" s="38">
        <v>42426</v>
      </c>
      <c r="E130" s="2" t="s">
        <v>70</v>
      </c>
      <c r="F130" s="1" t="s">
        <v>2087</v>
      </c>
      <c r="G130" s="2" t="s">
        <v>66</v>
      </c>
      <c r="H130" s="7" t="s">
        <v>2409</v>
      </c>
      <c r="I130" s="2" t="s">
        <v>43</v>
      </c>
      <c r="J130" s="2" t="s">
        <v>213</v>
      </c>
      <c r="K130" s="7" t="s">
        <v>2410</v>
      </c>
      <c r="L130" s="1" t="s">
        <v>215</v>
      </c>
      <c r="M130" s="38">
        <v>42426</v>
      </c>
      <c r="N130" s="1" t="s">
        <v>6</v>
      </c>
      <c r="O130" s="1" t="s">
        <v>69</v>
      </c>
    </row>
    <row r="131" spans="1:15" ht="30" x14ac:dyDescent="0.25">
      <c r="A131" s="1"/>
      <c r="B131" s="2" t="s">
        <v>913</v>
      </c>
      <c r="C131" s="2" t="s">
        <v>36</v>
      </c>
      <c r="D131" s="38">
        <v>42426</v>
      </c>
      <c r="E131" s="2" t="s">
        <v>70</v>
      </c>
      <c r="F131" s="1" t="s">
        <v>2087</v>
      </c>
      <c r="G131" s="2" t="s">
        <v>66</v>
      </c>
      <c r="H131" s="7" t="s">
        <v>2411</v>
      </c>
      <c r="I131" s="2" t="s">
        <v>43</v>
      </c>
      <c r="J131" s="2" t="s">
        <v>213</v>
      </c>
      <c r="K131" s="7" t="s">
        <v>2091</v>
      </c>
      <c r="L131" s="1" t="s">
        <v>215</v>
      </c>
      <c r="M131" s="38">
        <v>42426</v>
      </c>
      <c r="N131" s="1" t="s">
        <v>6</v>
      </c>
      <c r="O131" s="1" t="s">
        <v>69</v>
      </c>
    </row>
    <row r="132" spans="1:15" ht="45" x14ac:dyDescent="0.25">
      <c r="A132" s="1"/>
      <c r="B132" s="2" t="s">
        <v>909</v>
      </c>
      <c r="C132" s="2" t="s">
        <v>171</v>
      </c>
      <c r="D132" s="38">
        <v>42425</v>
      </c>
      <c r="E132" s="2" t="s">
        <v>70</v>
      </c>
      <c r="F132" s="1" t="s">
        <v>2092</v>
      </c>
      <c r="G132" s="2" t="s">
        <v>71</v>
      </c>
      <c r="H132" s="7" t="s">
        <v>2412</v>
      </c>
      <c r="I132" s="2" t="s">
        <v>41</v>
      </c>
      <c r="J132" s="2" t="s">
        <v>213</v>
      </c>
      <c r="K132" s="7"/>
      <c r="L132" s="1"/>
      <c r="M132" s="38">
        <v>42425</v>
      </c>
      <c r="N132" s="1" t="s">
        <v>6</v>
      </c>
      <c r="O132" s="1" t="s">
        <v>69</v>
      </c>
    </row>
    <row r="133" spans="1:15" x14ac:dyDescent="0.25">
      <c r="A133" s="1"/>
      <c r="B133" s="2" t="s">
        <v>909</v>
      </c>
      <c r="C133" s="2" t="s">
        <v>961</v>
      </c>
      <c r="D133" s="38">
        <v>42429</v>
      </c>
      <c r="E133" s="2" t="s">
        <v>87</v>
      </c>
      <c r="F133" s="1" t="s">
        <v>2093</v>
      </c>
      <c r="G133" s="2" t="s">
        <v>66</v>
      </c>
      <c r="H133" s="7" t="s">
        <v>2094</v>
      </c>
      <c r="I133" s="2" t="s">
        <v>116</v>
      </c>
      <c r="J133" s="2" t="s">
        <v>213</v>
      </c>
      <c r="K133" s="7" t="s">
        <v>2095</v>
      </c>
      <c r="L133" s="1"/>
      <c r="M133" s="38">
        <v>42430</v>
      </c>
      <c r="N133" s="1" t="s">
        <v>6</v>
      </c>
      <c r="O133" s="1" t="s">
        <v>69</v>
      </c>
    </row>
    <row r="134" spans="1:15" x14ac:dyDescent="0.25">
      <c r="A134" s="1"/>
      <c r="B134" s="2" t="s">
        <v>697</v>
      </c>
      <c r="C134" s="2" t="s">
        <v>78</v>
      </c>
      <c r="D134" s="38">
        <v>42429</v>
      </c>
      <c r="E134" s="2" t="s">
        <v>70</v>
      </c>
      <c r="F134" s="1" t="s">
        <v>2096</v>
      </c>
      <c r="G134" s="2" t="s">
        <v>71</v>
      </c>
      <c r="H134" s="7" t="s">
        <v>2413</v>
      </c>
      <c r="I134" s="2" t="s">
        <v>124</v>
      </c>
      <c r="J134" s="2" t="s">
        <v>213</v>
      </c>
      <c r="K134" s="7" t="s">
        <v>2097</v>
      </c>
      <c r="L134" s="1" t="s">
        <v>2098</v>
      </c>
      <c r="M134" s="38">
        <v>42429</v>
      </c>
      <c r="N134" s="1" t="s">
        <v>6</v>
      </c>
      <c r="O134" s="1" t="s">
        <v>69</v>
      </c>
    </row>
    <row r="135" spans="1:15" ht="30" x14ac:dyDescent="0.25">
      <c r="A135" s="1"/>
      <c r="B135" s="2" t="s">
        <v>909</v>
      </c>
      <c r="C135" s="2" t="s">
        <v>961</v>
      </c>
      <c r="D135" s="38">
        <v>42429</v>
      </c>
      <c r="E135" s="2" t="s">
        <v>87</v>
      </c>
      <c r="F135" s="1" t="s">
        <v>2093</v>
      </c>
      <c r="G135" s="2" t="s">
        <v>66</v>
      </c>
      <c r="H135" s="7" t="s">
        <v>2099</v>
      </c>
      <c r="I135" s="2" t="s">
        <v>116</v>
      </c>
      <c r="J135" s="2" t="s">
        <v>213</v>
      </c>
      <c r="K135" s="7" t="s">
        <v>2414</v>
      </c>
      <c r="L135" s="1"/>
      <c r="M135" s="38">
        <v>42431</v>
      </c>
      <c r="N135" s="1" t="s">
        <v>6</v>
      </c>
      <c r="O135" s="1" t="s">
        <v>69</v>
      </c>
    </row>
    <row r="136" spans="1:15" x14ac:dyDescent="0.25">
      <c r="A136" s="1"/>
      <c r="B136" s="2" t="s">
        <v>909</v>
      </c>
      <c r="C136" s="2" t="s">
        <v>961</v>
      </c>
      <c r="D136" s="38">
        <v>42429</v>
      </c>
      <c r="E136" s="2" t="s">
        <v>87</v>
      </c>
      <c r="F136" s="1" t="s">
        <v>2093</v>
      </c>
      <c r="G136" s="2" t="s">
        <v>66</v>
      </c>
      <c r="H136" s="7" t="s">
        <v>2100</v>
      </c>
      <c r="I136" s="2" t="s">
        <v>116</v>
      </c>
      <c r="J136" s="2" t="s">
        <v>213</v>
      </c>
      <c r="K136" s="7" t="s">
        <v>2101</v>
      </c>
      <c r="L136" s="1"/>
      <c r="M136" s="38">
        <v>42431</v>
      </c>
      <c r="N136" s="1" t="s">
        <v>6</v>
      </c>
      <c r="O136" s="1" t="s">
        <v>69</v>
      </c>
    </row>
    <row r="137" spans="1:15" x14ac:dyDescent="0.25">
      <c r="A137" s="1"/>
      <c r="B137" s="2" t="s">
        <v>909</v>
      </c>
      <c r="C137" s="2" t="s">
        <v>961</v>
      </c>
      <c r="D137" s="38">
        <v>42429</v>
      </c>
      <c r="E137" s="2" t="s">
        <v>87</v>
      </c>
      <c r="F137" s="1" t="s">
        <v>2093</v>
      </c>
      <c r="G137" s="2" t="s">
        <v>66</v>
      </c>
      <c r="H137" s="7" t="s">
        <v>2102</v>
      </c>
      <c r="I137" s="2" t="s">
        <v>116</v>
      </c>
      <c r="J137" s="2" t="s">
        <v>213</v>
      </c>
      <c r="K137" s="7" t="s">
        <v>2415</v>
      </c>
      <c r="L137" s="1"/>
      <c r="M137" s="38">
        <v>42431</v>
      </c>
      <c r="N137" s="1" t="s">
        <v>6</v>
      </c>
      <c r="O137" s="1" t="s">
        <v>69</v>
      </c>
    </row>
    <row r="138" spans="1:15" ht="30" x14ac:dyDescent="0.25">
      <c r="A138" s="1"/>
      <c r="B138" s="2" t="s">
        <v>909</v>
      </c>
      <c r="C138" s="2" t="s">
        <v>961</v>
      </c>
      <c r="D138" s="38">
        <v>42429</v>
      </c>
      <c r="E138" s="2" t="s">
        <v>87</v>
      </c>
      <c r="F138" s="1" t="s">
        <v>2093</v>
      </c>
      <c r="G138" s="2" t="s">
        <v>66</v>
      </c>
      <c r="H138" s="7" t="s">
        <v>2103</v>
      </c>
      <c r="I138" s="2" t="s">
        <v>116</v>
      </c>
      <c r="J138" s="2" t="s">
        <v>213</v>
      </c>
      <c r="K138" s="7" t="s">
        <v>2416</v>
      </c>
      <c r="L138" s="1"/>
      <c r="M138" s="38">
        <v>42431</v>
      </c>
      <c r="N138" s="1" t="s">
        <v>6</v>
      </c>
      <c r="O138" s="1" t="s">
        <v>69</v>
      </c>
    </row>
    <row r="139" spans="1:15" ht="30" x14ac:dyDescent="0.25">
      <c r="A139" s="1"/>
      <c r="B139" s="2" t="s">
        <v>915</v>
      </c>
      <c r="C139" s="2" t="s">
        <v>116</v>
      </c>
      <c r="D139" s="38">
        <v>42430</v>
      </c>
      <c r="E139" s="2" t="s">
        <v>70</v>
      </c>
      <c r="F139" s="1" t="s">
        <v>2104</v>
      </c>
      <c r="G139" s="2" t="s">
        <v>66</v>
      </c>
      <c r="H139" s="7" t="s">
        <v>2105</v>
      </c>
      <c r="I139" s="2" t="s">
        <v>116</v>
      </c>
      <c r="J139" s="2" t="s">
        <v>213</v>
      </c>
      <c r="K139" s="7" t="s">
        <v>2106</v>
      </c>
      <c r="L139" s="1"/>
      <c r="M139" s="38"/>
      <c r="N139" s="1" t="s">
        <v>6</v>
      </c>
      <c r="O139" s="1" t="s">
        <v>69</v>
      </c>
    </row>
    <row r="140" spans="1:15" ht="30" x14ac:dyDescent="0.25">
      <c r="A140" s="1"/>
      <c r="B140" s="2" t="s">
        <v>915</v>
      </c>
      <c r="C140" s="2" t="s">
        <v>116</v>
      </c>
      <c r="D140" s="38">
        <v>42430</v>
      </c>
      <c r="E140" s="2" t="s">
        <v>70</v>
      </c>
      <c r="F140" s="1" t="s">
        <v>2104</v>
      </c>
      <c r="G140" s="2" t="s">
        <v>66</v>
      </c>
      <c r="H140" s="7" t="s">
        <v>2417</v>
      </c>
      <c r="I140" s="2" t="s">
        <v>116</v>
      </c>
      <c r="J140" s="2" t="s">
        <v>213</v>
      </c>
      <c r="K140" s="7" t="s">
        <v>2107</v>
      </c>
      <c r="L140" s="1"/>
      <c r="M140" s="38"/>
      <c r="N140" s="1" t="s">
        <v>6</v>
      </c>
      <c r="O140" s="1" t="s">
        <v>69</v>
      </c>
    </row>
    <row r="141" spans="1:15" ht="45" x14ac:dyDescent="0.25">
      <c r="A141" s="1"/>
      <c r="B141" s="2" t="s">
        <v>915</v>
      </c>
      <c r="C141" s="2" t="s">
        <v>116</v>
      </c>
      <c r="D141" s="38">
        <v>42430</v>
      </c>
      <c r="E141" s="2" t="s">
        <v>70</v>
      </c>
      <c r="F141" s="1" t="s">
        <v>2104</v>
      </c>
      <c r="G141" s="2" t="s">
        <v>66</v>
      </c>
      <c r="H141" s="7" t="s">
        <v>2418</v>
      </c>
      <c r="I141" s="2" t="s">
        <v>116</v>
      </c>
      <c r="J141" s="2" t="s">
        <v>213</v>
      </c>
      <c r="K141" s="7" t="s">
        <v>2108</v>
      </c>
      <c r="L141" s="1"/>
      <c r="M141" s="38"/>
      <c r="N141" s="1" t="s">
        <v>6</v>
      </c>
      <c r="O141" s="1" t="s">
        <v>69</v>
      </c>
    </row>
    <row r="142" spans="1:15" ht="30" x14ac:dyDescent="0.25">
      <c r="A142" s="1"/>
      <c r="B142" s="2" t="s">
        <v>909</v>
      </c>
      <c r="C142" s="2" t="s">
        <v>961</v>
      </c>
      <c r="D142" s="38">
        <v>42430</v>
      </c>
      <c r="E142" s="2" t="s">
        <v>87</v>
      </c>
      <c r="F142" s="1" t="s">
        <v>2093</v>
      </c>
      <c r="G142" s="2" t="s">
        <v>66</v>
      </c>
      <c r="H142" s="7" t="s">
        <v>2419</v>
      </c>
      <c r="I142" s="2" t="s">
        <v>116</v>
      </c>
      <c r="J142" s="2" t="s">
        <v>213</v>
      </c>
      <c r="K142" s="7" t="s">
        <v>2109</v>
      </c>
      <c r="L142" s="1"/>
      <c r="M142" s="38">
        <v>42433</v>
      </c>
      <c r="N142" s="1" t="s">
        <v>6</v>
      </c>
      <c r="O142" s="1" t="s">
        <v>69</v>
      </c>
    </row>
    <row r="143" spans="1:15" x14ac:dyDescent="0.25">
      <c r="A143" s="1"/>
      <c r="B143" s="2" t="s">
        <v>915</v>
      </c>
      <c r="C143" s="2" t="s">
        <v>116</v>
      </c>
      <c r="D143" s="38">
        <v>42431</v>
      </c>
      <c r="E143" s="2" t="s">
        <v>70</v>
      </c>
      <c r="F143" s="1" t="s">
        <v>2110</v>
      </c>
      <c r="G143" s="2" t="s">
        <v>71</v>
      </c>
      <c r="H143" s="7" t="s">
        <v>2111</v>
      </c>
      <c r="I143" s="2" t="s">
        <v>43</v>
      </c>
      <c r="J143" s="2" t="s">
        <v>213</v>
      </c>
      <c r="K143" s="7" t="s">
        <v>2112</v>
      </c>
      <c r="L143" s="1"/>
      <c r="M143" s="38"/>
      <c r="N143" s="1" t="s">
        <v>6</v>
      </c>
      <c r="O143" s="1" t="s">
        <v>69</v>
      </c>
    </row>
    <row r="144" spans="1:15" ht="45" x14ac:dyDescent="0.25">
      <c r="A144" s="1"/>
      <c r="B144" s="2" t="s">
        <v>915</v>
      </c>
      <c r="C144" s="2" t="s">
        <v>116</v>
      </c>
      <c r="D144" s="38">
        <v>42431</v>
      </c>
      <c r="E144" s="2" t="s">
        <v>70</v>
      </c>
      <c r="F144" s="1" t="s">
        <v>2110</v>
      </c>
      <c r="G144" s="2" t="s">
        <v>66</v>
      </c>
      <c r="H144" s="7" t="s">
        <v>2113</v>
      </c>
      <c r="I144" s="2" t="s">
        <v>43</v>
      </c>
      <c r="J144" s="2" t="s">
        <v>213</v>
      </c>
      <c r="K144" s="7" t="s">
        <v>2420</v>
      </c>
      <c r="L144" s="1"/>
      <c r="M144" s="38"/>
      <c r="N144" s="1" t="s">
        <v>6</v>
      </c>
      <c r="O144" s="1" t="s">
        <v>69</v>
      </c>
    </row>
    <row r="145" spans="1:15" x14ac:dyDescent="0.25">
      <c r="A145" s="1"/>
      <c r="B145" s="2" t="s">
        <v>913</v>
      </c>
      <c r="C145" s="2" t="s">
        <v>36</v>
      </c>
      <c r="D145" s="38">
        <v>42431</v>
      </c>
      <c r="E145" s="2" t="s">
        <v>70</v>
      </c>
      <c r="F145" s="1" t="s">
        <v>2114</v>
      </c>
      <c r="G145" s="2" t="s">
        <v>71</v>
      </c>
      <c r="H145" s="7" t="s">
        <v>2115</v>
      </c>
      <c r="I145" s="2" t="s">
        <v>36</v>
      </c>
      <c r="J145" s="2" t="s">
        <v>213</v>
      </c>
      <c r="K145" s="7"/>
      <c r="L145" s="1" t="s">
        <v>2116</v>
      </c>
      <c r="M145" s="38">
        <v>42431</v>
      </c>
      <c r="N145" s="1" t="s">
        <v>6</v>
      </c>
      <c r="O145" s="1" t="s">
        <v>69</v>
      </c>
    </row>
    <row r="146" spans="1:15" x14ac:dyDescent="0.25">
      <c r="A146" s="1"/>
      <c r="B146" s="2" t="s">
        <v>913</v>
      </c>
      <c r="C146" s="2" t="s">
        <v>116</v>
      </c>
      <c r="D146" s="38">
        <v>42432</v>
      </c>
      <c r="E146" s="2" t="s">
        <v>70</v>
      </c>
      <c r="F146" s="1" t="s">
        <v>2117</v>
      </c>
      <c r="G146" s="2" t="s">
        <v>71</v>
      </c>
      <c r="H146" s="7" t="s">
        <v>2421</v>
      </c>
      <c r="I146" s="2" t="s">
        <v>36</v>
      </c>
      <c r="J146" s="2" t="s">
        <v>213</v>
      </c>
      <c r="K146" s="7" t="s">
        <v>2118</v>
      </c>
      <c r="L146" s="1"/>
      <c r="M146" s="38"/>
      <c r="N146" s="1" t="s">
        <v>6</v>
      </c>
      <c r="O146" s="1" t="s">
        <v>69</v>
      </c>
    </row>
    <row r="147" spans="1:15" x14ac:dyDescent="0.25">
      <c r="A147" s="1"/>
      <c r="B147" s="2" t="s">
        <v>913</v>
      </c>
      <c r="C147" s="2" t="s">
        <v>116</v>
      </c>
      <c r="D147" s="38">
        <v>42432</v>
      </c>
      <c r="E147" s="2" t="s">
        <v>70</v>
      </c>
      <c r="F147" s="1" t="s">
        <v>2117</v>
      </c>
      <c r="G147" s="2" t="s">
        <v>66</v>
      </c>
      <c r="H147" s="7" t="s">
        <v>2119</v>
      </c>
      <c r="I147" s="2" t="s">
        <v>36</v>
      </c>
      <c r="J147" s="2" t="s">
        <v>213</v>
      </c>
      <c r="K147" s="7" t="s">
        <v>2422</v>
      </c>
      <c r="L147" s="1"/>
      <c r="M147" s="38"/>
      <c r="N147" s="1" t="s">
        <v>6</v>
      </c>
      <c r="O147" s="1" t="s">
        <v>69</v>
      </c>
    </row>
    <row r="148" spans="1:15" x14ac:dyDescent="0.25">
      <c r="A148" s="1"/>
      <c r="B148" s="2" t="s">
        <v>913</v>
      </c>
      <c r="C148" s="2" t="s">
        <v>116</v>
      </c>
      <c r="D148" s="38">
        <v>42432</v>
      </c>
      <c r="E148" s="2" t="s">
        <v>70</v>
      </c>
      <c r="F148" s="1" t="s">
        <v>2117</v>
      </c>
      <c r="G148" s="2" t="s">
        <v>66</v>
      </c>
      <c r="H148" s="7" t="s">
        <v>2423</v>
      </c>
      <c r="I148" s="2" t="s">
        <v>36</v>
      </c>
      <c r="J148" s="2" t="s">
        <v>213</v>
      </c>
      <c r="K148" s="7" t="s">
        <v>2120</v>
      </c>
      <c r="L148" s="1"/>
      <c r="M148" s="38"/>
      <c r="N148" s="1" t="s">
        <v>6</v>
      </c>
      <c r="O148" s="1" t="s">
        <v>69</v>
      </c>
    </row>
    <row r="149" spans="1:15" ht="30" x14ac:dyDescent="0.25">
      <c r="A149" s="1"/>
      <c r="B149" s="2" t="s">
        <v>913</v>
      </c>
      <c r="C149" s="2" t="s">
        <v>116</v>
      </c>
      <c r="D149" s="38">
        <v>42432</v>
      </c>
      <c r="E149" s="2" t="s">
        <v>70</v>
      </c>
      <c r="F149" s="1" t="s">
        <v>2117</v>
      </c>
      <c r="G149" s="2" t="s">
        <v>66</v>
      </c>
      <c r="H149" s="7" t="s">
        <v>2424</v>
      </c>
      <c r="I149" s="2" t="s">
        <v>36</v>
      </c>
      <c r="J149" s="2" t="s">
        <v>213</v>
      </c>
      <c r="K149" s="7" t="s">
        <v>2425</v>
      </c>
      <c r="L149" s="1"/>
      <c r="M149" s="38"/>
      <c r="N149" s="1" t="s">
        <v>6</v>
      </c>
      <c r="O149" s="1" t="s">
        <v>69</v>
      </c>
    </row>
    <row r="150" spans="1:15" ht="30" x14ac:dyDescent="0.25">
      <c r="A150" s="1"/>
      <c r="B150" s="2" t="s">
        <v>913</v>
      </c>
      <c r="C150" s="2" t="s">
        <v>116</v>
      </c>
      <c r="D150" s="38">
        <v>42432</v>
      </c>
      <c r="E150" s="2" t="s">
        <v>70</v>
      </c>
      <c r="F150" s="1" t="s">
        <v>2117</v>
      </c>
      <c r="G150" s="2" t="s">
        <v>66</v>
      </c>
      <c r="H150" s="7" t="s">
        <v>2121</v>
      </c>
      <c r="I150" s="2" t="s">
        <v>36</v>
      </c>
      <c r="J150" s="2" t="s">
        <v>213</v>
      </c>
      <c r="K150" s="7" t="s">
        <v>2122</v>
      </c>
      <c r="L150" s="1"/>
      <c r="M150" s="38"/>
      <c r="N150" s="1" t="s">
        <v>6</v>
      </c>
      <c r="O150" s="1" t="s">
        <v>69</v>
      </c>
    </row>
    <row r="151" spans="1:15" x14ac:dyDescent="0.25">
      <c r="A151" s="1"/>
      <c r="B151" s="2" t="s">
        <v>913</v>
      </c>
      <c r="C151" s="2" t="s">
        <v>116</v>
      </c>
      <c r="D151" s="38">
        <v>42432</v>
      </c>
      <c r="E151" s="2" t="s">
        <v>70</v>
      </c>
      <c r="F151" s="1" t="s">
        <v>2117</v>
      </c>
      <c r="G151" s="2" t="s">
        <v>66</v>
      </c>
      <c r="H151" s="7" t="s">
        <v>2426</v>
      </c>
      <c r="I151" s="2" t="s">
        <v>36</v>
      </c>
      <c r="J151" s="2" t="s">
        <v>213</v>
      </c>
      <c r="K151" s="7" t="s">
        <v>2123</v>
      </c>
      <c r="L151" s="1"/>
      <c r="M151" s="38"/>
      <c r="N151" s="1" t="s">
        <v>6</v>
      </c>
      <c r="O151" s="1" t="s">
        <v>69</v>
      </c>
    </row>
    <row r="152" spans="1:15" ht="30" x14ac:dyDescent="0.25">
      <c r="A152" s="1"/>
      <c r="B152" s="2" t="s">
        <v>697</v>
      </c>
      <c r="C152" s="2" t="s">
        <v>116</v>
      </c>
      <c r="D152" s="38">
        <v>42432</v>
      </c>
      <c r="E152" s="2" t="s">
        <v>87</v>
      </c>
      <c r="F152" s="1" t="s">
        <v>2124</v>
      </c>
      <c r="G152" s="2" t="s">
        <v>66</v>
      </c>
      <c r="H152" s="7" t="s">
        <v>2427</v>
      </c>
      <c r="I152" s="2" t="s">
        <v>116</v>
      </c>
      <c r="J152" s="2" t="s">
        <v>213</v>
      </c>
      <c r="K152" s="7" t="s">
        <v>2428</v>
      </c>
      <c r="L152" s="1" t="s">
        <v>222</v>
      </c>
      <c r="M152" s="38">
        <v>42439</v>
      </c>
      <c r="N152" s="1" t="s">
        <v>6</v>
      </c>
      <c r="O152" s="1" t="s">
        <v>69</v>
      </c>
    </row>
    <row r="153" spans="1:15" x14ac:dyDescent="0.25">
      <c r="A153" s="1"/>
      <c r="B153" s="2" t="s">
        <v>697</v>
      </c>
      <c r="C153" s="2" t="s">
        <v>36</v>
      </c>
      <c r="D153" s="38">
        <v>42432</v>
      </c>
      <c r="E153" s="2" t="s">
        <v>70</v>
      </c>
      <c r="F153" s="1" t="s">
        <v>2125</v>
      </c>
      <c r="G153" s="2" t="s">
        <v>71</v>
      </c>
      <c r="H153" s="7" t="s">
        <v>2126</v>
      </c>
      <c r="I153" s="2" t="s">
        <v>143</v>
      </c>
      <c r="J153" s="2" t="s">
        <v>213</v>
      </c>
      <c r="K153" s="7" t="s">
        <v>2429</v>
      </c>
      <c r="L153" s="1" t="s">
        <v>2127</v>
      </c>
      <c r="M153" s="38">
        <v>42433</v>
      </c>
      <c r="N153" s="1" t="s">
        <v>6</v>
      </c>
      <c r="O153" s="1" t="s">
        <v>69</v>
      </c>
    </row>
    <row r="154" spans="1:15" ht="30" x14ac:dyDescent="0.25">
      <c r="A154" s="1"/>
      <c r="B154" s="2" t="s">
        <v>697</v>
      </c>
      <c r="C154" s="2" t="s">
        <v>36</v>
      </c>
      <c r="D154" s="38">
        <v>42432</v>
      </c>
      <c r="E154" s="2" t="s">
        <v>70</v>
      </c>
      <c r="F154" s="1" t="s">
        <v>2125</v>
      </c>
      <c r="G154" s="2" t="s">
        <v>66</v>
      </c>
      <c r="H154" s="7" t="s">
        <v>2128</v>
      </c>
      <c r="I154" s="2" t="s">
        <v>143</v>
      </c>
      <c r="J154" s="2" t="s">
        <v>213</v>
      </c>
      <c r="K154" s="7" t="s">
        <v>2430</v>
      </c>
      <c r="L154" s="1" t="s">
        <v>2127</v>
      </c>
      <c r="M154" s="38">
        <v>42433</v>
      </c>
      <c r="N154" s="1" t="s">
        <v>6</v>
      </c>
      <c r="O154" s="1" t="s">
        <v>69</v>
      </c>
    </row>
    <row r="155" spans="1:15" ht="30" x14ac:dyDescent="0.25">
      <c r="A155" s="1"/>
      <c r="B155" s="2" t="s">
        <v>697</v>
      </c>
      <c r="C155" s="2" t="s">
        <v>36</v>
      </c>
      <c r="D155" s="38">
        <v>42432</v>
      </c>
      <c r="E155" s="2" t="s">
        <v>70</v>
      </c>
      <c r="F155" s="1" t="s">
        <v>2125</v>
      </c>
      <c r="G155" s="2" t="s">
        <v>71</v>
      </c>
      <c r="H155" s="7" t="s">
        <v>2431</v>
      </c>
      <c r="I155" s="2" t="s">
        <v>143</v>
      </c>
      <c r="J155" s="2" t="s">
        <v>213</v>
      </c>
      <c r="K155" s="7" t="s">
        <v>2129</v>
      </c>
      <c r="L155" s="1" t="s">
        <v>2127</v>
      </c>
      <c r="M155" s="38">
        <v>42433</v>
      </c>
      <c r="N155" s="1" t="s">
        <v>6</v>
      </c>
      <c r="O155" s="1" t="s">
        <v>69</v>
      </c>
    </row>
    <row r="156" spans="1:15" ht="30" x14ac:dyDescent="0.25">
      <c r="A156" s="1"/>
      <c r="B156" s="2" t="s">
        <v>697</v>
      </c>
      <c r="C156" s="2" t="s">
        <v>36</v>
      </c>
      <c r="D156" s="38">
        <v>42432</v>
      </c>
      <c r="E156" s="2" t="s">
        <v>70</v>
      </c>
      <c r="F156" s="1" t="s">
        <v>2125</v>
      </c>
      <c r="G156" s="2" t="s">
        <v>66</v>
      </c>
      <c r="H156" s="7" t="s">
        <v>2130</v>
      </c>
      <c r="I156" s="2" t="s">
        <v>143</v>
      </c>
      <c r="J156" s="2" t="s">
        <v>213</v>
      </c>
      <c r="K156" s="7" t="s">
        <v>2432</v>
      </c>
      <c r="L156" s="1" t="s">
        <v>2127</v>
      </c>
      <c r="M156" s="38">
        <v>42433</v>
      </c>
      <c r="N156" s="1" t="s">
        <v>6</v>
      </c>
      <c r="O156" s="1" t="s">
        <v>69</v>
      </c>
    </row>
    <row r="157" spans="1:15" ht="30" x14ac:dyDescent="0.25">
      <c r="A157" s="1"/>
      <c r="B157" s="2" t="s">
        <v>697</v>
      </c>
      <c r="C157" s="2" t="s">
        <v>36</v>
      </c>
      <c r="D157" s="38">
        <v>42432</v>
      </c>
      <c r="E157" s="2" t="s">
        <v>70</v>
      </c>
      <c r="F157" s="1" t="s">
        <v>2125</v>
      </c>
      <c r="G157" s="2" t="s">
        <v>66</v>
      </c>
      <c r="H157" s="7" t="s">
        <v>2131</v>
      </c>
      <c r="I157" s="2" t="s">
        <v>143</v>
      </c>
      <c r="J157" s="2" t="s">
        <v>213</v>
      </c>
      <c r="K157" s="7" t="s">
        <v>2132</v>
      </c>
      <c r="L157" s="1" t="s">
        <v>2127</v>
      </c>
      <c r="M157" s="38">
        <v>42433</v>
      </c>
      <c r="N157" s="1" t="s">
        <v>6</v>
      </c>
      <c r="O157" s="1" t="s">
        <v>69</v>
      </c>
    </row>
    <row r="158" spans="1:15" ht="45" x14ac:dyDescent="0.25">
      <c r="A158" s="1"/>
      <c r="B158" s="2" t="s">
        <v>697</v>
      </c>
      <c r="C158" s="2" t="s">
        <v>36</v>
      </c>
      <c r="D158" s="38">
        <v>42432</v>
      </c>
      <c r="E158" s="2" t="s">
        <v>70</v>
      </c>
      <c r="F158" s="1" t="s">
        <v>2125</v>
      </c>
      <c r="G158" s="2" t="s">
        <v>66</v>
      </c>
      <c r="H158" s="7" t="s">
        <v>2133</v>
      </c>
      <c r="I158" s="2" t="s">
        <v>143</v>
      </c>
      <c r="J158" s="2" t="s">
        <v>213</v>
      </c>
      <c r="K158" s="7" t="s">
        <v>2433</v>
      </c>
      <c r="L158" s="1" t="s">
        <v>2127</v>
      </c>
      <c r="M158" s="38">
        <v>42433</v>
      </c>
      <c r="N158" s="1" t="s">
        <v>6</v>
      </c>
      <c r="O158" s="1" t="s">
        <v>69</v>
      </c>
    </row>
    <row r="159" spans="1:15" ht="45" x14ac:dyDescent="0.25">
      <c r="A159" s="1"/>
      <c r="B159" s="2" t="s">
        <v>697</v>
      </c>
      <c r="C159" s="2" t="s">
        <v>36</v>
      </c>
      <c r="D159" s="38">
        <v>42432</v>
      </c>
      <c r="E159" s="2" t="s">
        <v>70</v>
      </c>
      <c r="F159" s="1" t="s">
        <v>2125</v>
      </c>
      <c r="G159" s="2" t="s">
        <v>66</v>
      </c>
      <c r="H159" s="7" t="s">
        <v>2134</v>
      </c>
      <c r="I159" s="2" t="s">
        <v>143</v>
      </c>
      <c r="J159" s="2" t="s">
        <v>213</v>
      </c>
      <c r="K159" s="7" t="s">
        <v>2135</v>
      </c>
      <c r="L159" s="1" t="s">
        <v>2127</v>
      </c>
      <c r="M159" s="38">
        <v>42433</v>
      </c>
      <c r="N159" s="1" t="s">
        <v>6</v>
      </c>
      <c r="O159" s="1" t="s">
        <v>69</v>
      </c>
    </row>
    <row r="160" spans="1:15" ht="30" x14ac:dyDescent="0.25">
      <c r="A160" s="1"/>
      <c r="B160" s="2" t="s">
        <v>697</v>
      </c>
      <c r="C160" s="2" t="s">
        <v>36</v>
      </c>
      <c r="D160" s="38">
        <v>42432</v>
      </c>
      <c r="E160" s="2" t="s">
        <v>70</v>
      </c>
      <c r="F160" s="1" t="s">
        <v>2125</v>
      </c>
      <c r="G160" s="2" t="s">
        <v>66</v>
      </c>
      <c r="H160" s="7" t="s">
        <v>2136</v>
      </c>
      <c r="I160" s="2" t="s">
        <v>143</v>
      </c>
      <c r="J160" s="2" t="s">
        <v>213</v>
      </c>
      <c r="K160" s="7" t="s">
        <v>2434</v>
      </c>
      <c r="L160" s="1" t="s">
        <v>2127</v>
      </c>
      <c r="M160" s="38">
        <v>42433</v>
      </c>
      <c r="N160" s="1" t="s">
        <v>6</v>
      </c>
      <c r="O160" s="1" t="s">
        <v>69</v>
      </c>
    </row>
    <row r="161" spans="1:15" ht="30" x14ac:dyDescent="0.25">
      <c r="A161" s="1"/>
      <c r="B161" s="2" t="s">
        <v>697</v>
      </c>
      <c r="C161" s="2" t="s">
        <v>36</v>
      </c>
      <c r="D161" s="38">
        <v>42432</v>
      </c>
      <c r="E161" s="2" t="s">
        <v>70</v>
      </c>
      <c r="F161" s="1" t="s">
        <v>2125</v>
      </c>
      <c r="G161" s="2" t="s">
        <v>66</v>
      </c>
      <c r="H161" s="7" t="s">
        <v>2137</v>
      </c>
      <c r="I161" s="2" t="s">
        <v>143</v>
      </c>
      <c r="J161" s="2" t="s">
        <v>213</v>
      </c>
      <c r="K161" s="7" t="s">
        <v>2435</v>
      </c>
      <c r="L161" s="1" t="s">
        <v>2127</v>
      </c>
      <c r="M161" s="38">
        <v>42433</v>
      </c>
      <c r="N161" s="1" t="s">
        <v>6</v>
      </c>
      <c r="O161" s="1" t="s">
        <v>69</v>
      </c>
    </row>
    <row r="162" spans="1:15" ht="30" x14ac:dyDescent="0.25">
      <c r="A162" s="1"/>
      <c r="B162" s="2" t="s">
        <v>697</v>
      </c>
      <c r="C162" s="2" t="s">
        <v>36</v>
      </c>
      <c r="D162" s="38">
        <v>42432</v>
      </c>
      <c r="E162" s="2" t="s">
        <v>70</v>
      </c>
      <c r="F162" s="1" t="s">
        <v>2125</v>
      </c>
      <c r="G162" s="2" t="s">
        <v>66</v>
      </c>
      <c r="H162" s="7" t="s">
        <v>2436</v>
      </c>
      <c r="I162" s="2" t="s">
        <v>143</v>
      </c>
      <c r="J162" s="2" t="s">
        <v>213</v>
      </c>
      <c r="K162" s="7" t="s">
        <v>2138</v>
      </c>
      <c r="L162" s="1" t="s">
        <v>2127</v>
      </c>
      <c r="M162" s="38">
        <v>42433</v>
      </c>
      <c r="N162" s="1" t="s">
        <v>6</v>
      </c>
      <c r="O162" s="1" t="s">
        <v>69</v>
      </c>
    </row>
    <row r="163" spans="1:15" x14ac:dyDescent="0.25">
      <c r="A163" s="1"/>
      <c r="B163" s="2" t="s">
        <v>913</v>
      </c>
      <c r="C163" s="2" t="s">
        <v>41</v>
      </c>
      <c r="D163" s="38">
        <v>42433</v>
      </c>
      <c r="E163" s="2" t="s">
        <v>70</v>
      </c>
      <c r="F163" s="1" t="s">
        <v>2139</v>
      </c>
      <c r="G163" s="2" t="s">
        <v>71</v>
      </c>
      <c r="H163" s="7" t="s">
        <v>233</v>
      </c>
      <c r="I163" s="2" t="s">
        <v>171</v>
      </c>
      <c r="J163" s="2" t="s">
        <v>213</v>
      </c>
      <c r="K163" s="7"/>
      <c r="L163" s="1"/>
      <c r="M163" s="38">
        <v>42433</v>
      </c>
      <c r="N163" s="1" t="s">
        <v>6</v>
      </c>
      <c r="O163" s="1" t="s">
        <v>69</v>
      </c>
    </row>
    <row r="164" spans="1:15" ht="30" x14ac:dyDescent="0.25">
      <c r="A164" s="1"/>
      <c r="B164" s="2" t="s">
        <v>911</v>
      </c>
      <c r="C164" s="2" t="s">
        <v>171</v>
      </c>
      <c r="D164" s="38">
        <v>42434</v>
      </c>
      <c r="E164" s="2" t="s">
        <v>70</v>
      </c>
      <c r="F164" s="1" t="s">
        <v>2140</v>
      </c>
      <c r="G164" s="2" t="s">
        <v>66</v>
      </c>
      <c r="H164" s="7" t="s">
        <v>2437</v>
      </c>
      <c r="I164" s="2" t="s">
        <v>1117</v>
      </c>
      <c r="J164" s="2" t="s">
        <v>213</v>
      </c>
      <c r="K164" s="7" t="s">
        <v>2141</v>
      </c>
      <c r="L164" s="1" t="s">
        <v>2142</v>
      </c>
      <c r="M164" s="38">
        <v>42434</v>
      </c>
      <c r="N164" s="1" t="s">
        <v>6</v>
      </c>
      <c r="O164" s="1" t="s">
        <v>69</v>
      </c>
    </row>
    <row r="165" spans="1:15" x14ac:dyDescent="0.25">
      <c r="A165" s="1"/>
      <c r="B165" s="2" t="s">
        <v>911</v>
      </c>
      <c r="C165" s="2" t="s">
        <v>171</v>
      </c>
      <c r="D165" s="38">
        <v>42434</v>
      </c>
      <c r="E165" s="2" t="s">
        <v>70</v>
      </c>
      <c r="F165" s="1" t="s">
        <v>2140</v>
      </c>
      <c r="G165" s="2" t="s">
        <v>71</v>
      </c>
      <c r="H165" s="7" t="s">
        <v>2143</v>
      </c>
      <c r="I165" s="2" t="s">
        <v>1117</v>
      </c>
      <c r="J165" s="2" t="s">
        <v>213</v>
      </c>
      <c r="K165" s="7" t="s">
        <v>2141</v>
      </c>
      <c r="L165" s="1" t="s">
        <v>2142</v>
      </c>
      <c r="M165" s="38">
        <v>42434</v>
      </c>
      <c r="N165" s="1" t="s">
        <v>6</v>
      </c>
      <c r="O165" s="1" t="s">
        <v>69</v>
      </c>
    </row>
    <row r="166" spans="1:15" x14ac:dyDescent="0.25">
      <c r="A166" s="1"/>
      <c r="B166" s="2" t="s">
        <v>911</v>
      </c>
      <c r="C166" s="2" t="s">
        <v>171</v>
      </c>
      <c r="D166" s="38">
        <v>42434</v>
      </c>
      <c r="E166" s="2" t="s">
        <v>70</v>
      </c>
      <c r="F166" s="1" t="s">
        <v>2140</v>
      </c>
      <c r="G166" s="2" t="s">
        <v>66</v>
      </c>
      <c r="H166" s="7" t="s">
        <v>2144</v>
      </c>
      <c r="I166" s="2" t="s">
        <v>1117</v>
      </c>
      <c r="J166" s="2" t="s">
        <v>213</v>
      </c>
      <c r="K166" s="7" t="s">
        <v>2141</v>
      </c>
      <c r="L166" s="1" t="s">
        <v>2142</v>
      </c>
      <c r="M166" s="38">
        <v>42434</v>
      </c>
      <c r="N166" s="1" t="s">
        <v>6</v>
      </c>
      <c r="O166" s="1" t="s">
        <v>69</v>
      </c>
    </row>
    <row r="167" spans="1:15" x14ac:dyDescent="0.25">
      <c r="A167" s="1"/>
      <c r="B167" s="2" t="s">
        <v>913</v>
      </c>
      <c r="C167" s="2" t="s">
        <v>116</v>
      </c>
      <c r="D167" s="38">
        <v>42434</v>
      </c>
      <c r="E167" s="2" t="s">
        <v>70</v>
      </c>
      <c r="F167" s="1" t="s">
        <v>2145</v>
      </c>
      <c r="G167" s="2" t="s">
        <v>71</v>
      </c>
      <c r="H167" s="7" t="s">
        <v>2115</v>
      </c>
      <c r="I167" s="2" t="s">
        <v>116</v>
      </c>
      <c r="J167" s="2" t="s">
        <v>213</v>
      </c>
      <c r="K167" s="7"/>
      <c r="L167" s="1"/>
      <c r="M167" s="38"/>
      <c r="N167" s="1" t="s">
        <v>6</v>
      </c>
      <c r="O167" s="1" t="s">
        <v>69</v>
      </c>
    </row>
    <row r="168" spans="1:15" x14ac:dyDescent="0.25">
      <c r="A168" s="1"/>
      <c r="B168" s="2" t="s">
        <v>913</v>
      </c>
      <c r="C168" s="2" t="s">
        <v>43</v>
      </c>
      <c r="D168" s="38">
        <v>42434</v>
      </c>
      <c r="E168" s="2" t="s">
        <v>70</v>
      </c>
      <c r="F168" s="1" t="s">
        <v>2146</v>
      </c>
      <c r="G168" s="2" t="s">
        <v>66</v>
      </c>
      <c r="H168" s="7" t="s">
        <v>2438</v>
      </c>
      <c r="I168" s="2" t="s">
        <v>118</v>
      </c>
      <c r="J168" s="2" t="s">
        <v>213</v>
      </c>
      <c r="K168" s="7" t="s">
        <v>2439</v>
      </c>
      <c r="L168" s="1"/>
      <c r="M168" s="38"/>
      <c r="N168" s="1" t="s">
        <v>6</v>
      </c>
      <c r="O168" s="1" t="s">
        <v>69</v>
      </c>
    </row>
    <row r="169" spans="1:15" x14ac:dyDescent="0.25">
      <c r="A169" s="1"/>
      <c r="B169" s="2" t="s">
        <v>909</v>
      </c>
      <c r="C169" s="2" t="s">
        <v>36</v>
      </c>
      <c r="D169" s="38">
        <v>42434</v>
      </c>
      <c r="E169" s="2" t="s">
        <v>70</v>
      </c>
      <c r="F169" s="1" t="s">
        <v>2147</v>
      </c>
      <c r="G169" s="2" t="s">
        <v>66</v>
      </c>
      <c r="H169" s="7" t="s">
        <v>2148</v>
      </c>
      <c r="I169" s="2" t="s">
        <v>1061</v>
      </c>
      <c r="J169" s="2" t="s">
        <v>213</v>
      </c>
      <c r="K169" s="7" t="s">
        <v>2440</v>
      </c>
      <c r="L169" s="1" t="s">
        <v>2149</v>
      </c>
      <c r="M169" s="38">
        <v>42437</v>
      </c>
      <c r="N169" s="1" t="s">
        <v>6</v>
      </c>
      <c r="O169" s="1" t="s">
        <v>69</v>
      </c>
    </row>
    <row r="170" spans="1:15" x14ac:dyDescent="0.25">
      <c r="A170" s="1"/>
      <c r="B170" s="2" t="s">
        <v>909</v>
      </c>
      <c r="C170" s="2" t="s">
        <v>36</v>
      </c>
      <c r="D170" s="38">
        <v>42434</v>
      </c>
      <c r="E170" s="2" t="s">
        <v>70</v>
      </c>
      <c r="F170" s="1" t="s">
        <v>2147</v>
      </c>
      <c r="G170" s="2" t="s">
        <v>66</v>
      </c>
      <c r="H170" s="7" t="s">
        <v>2150</v>
      </c>
      <c r="I170" s="2" t="s">
        <v>1061</v>
      </c>
      <c r="J170" s="2" t="s">
        <v>213</v>
      </c>
      <c r="K170" s="7" t="s">
        <v>2151</v>
      </c>
      <c r="L170" s="1" t="s">
        <v>2149</v>
      </c>
      <c r="M170" s="38">
        <v>42437</v>
      </c>
      <c r="N170" s="1" t="s">
        <v>6</v>
      </c>
      <c r="O170" s="1" t="s">
        <v>69</v>
      </c>
    </row>
    <row r="171" spans="1:15" x14ac:dyDescent="0.25">
      <c r="A171" s="1"/>
      <c r="B171" s="2" t="s">
        <v>909</v>
      </c>
      <c r="C171" s="2" t="s">
        <v>36</v>
      </c>
      <c r="D171" s="38">
        <v>42434</v>
      </c>
      <c r="E171" s="2" t="s">
        <v>70</v>
      </c>
      <c r="F171" s="1" t="s">
        <v>2147</v>
      </c>
      <c r="G171" s="2" t="s">
        <v>66</v>
      </c>
      <c r="H171" s="7" t="s">
        <v>2152</v>
      </c>
      <c r="I171" s="2" t="s">
        <v>1061</v>
      </c>
      <c r="J171" s="2" t="s">
        <v>213</v>
      </c>
      <c r="K171" s="7" t="s">
        <v>2153</v>
      </c>
      <c r="L171" s="1" t="s">
        <v>2149</v>
      </c>
      <c r="M171" s="38">
        <v>42437</v>
      </c>
      <c r="N171" s="1" t="s">
        <v>6</v>
      </c>
      <c r="O171" s="1" t="s">
        <v>69</v>
      </c>
    </row>
    <row r="172" spans="1:15" ht="30" x14ac:dyDescent="0.25">
      <c r="A172" s="1"/>
      <c r="B172" s="2" t="s">
        <v>909</v>
      </c>
      <c r="C172" s="2" t="s">
        <v>36</v>
      </c>
      <c r="D172" s="38">
        <v>42434</v>
      </c>
      <c r="E172" s="2" t="s">
        <v>70</v>
      </c>
      <c r="F172" s="1" t="s">
        <v>2147</v>
      </c>
      <c r="G172" s="2" t="s">
        <v>66</v>
      </c>
      <c r="H172" s="7" t="s">
        <v>2441</v>
      </c>
      <c r="I172" s="2" t="s">
        <v>1061</v>
      </c>
      <c r="J172" s="2" t="s">
        <v>213</v>
      </c>
      <c r="K172" s="7" t="s">
        <v>2154</v>
      </c>
      <c r="L172" s="1" t="s">
        <v>2155</v>
      </c>
      <c r="M172" s="38">
        <v>42437</v>
      </c>
      <c r="N172" s="1" t="s">
        <v>6</v>
      </c>
      <c r="O172" s="1" t="s">
        <v>69</v>
      </c>
    </row>
    <row r="173" spans="1:15" x14ac:dyDescent="0.25">
      <c r="A173" s="1"/>
      <c r="B173" s="2" t="s">
        <v>909</v>
      </c>
      <c r="C173" s="2" t="s">
        <v>36</v>
      </c>
      <c r="D173" s="38">
        <v>42434</v>
      </c>
      <c r="E173" s="2" t="s">
        <v>70</v>
      </c>
      <c r="F173" s="1" t="s">
        <v>2147</v>
      </c>
      <c r="G173" s="2" t="s">
        <v>66</v>
      </c>
      <c r="H173" s="7" t="s">
        <v>2156</v>
      </c>
      <c r="I173" s="2" t="s">
        <v>1061</v>
      </c>
      <c r="J173" s="2" t="s">
        <v>213</v>
      </c>
      <c r="K173" s="7" t="s">
        <v>2157</v>
      </c>
      <c r="L173" s="1" t="s">
        <v>2149</v>
      </c>
      <c r="M173" s="38">
        <v>42437</v>
      </c>
      <c r="N173" s="1" t="s">
        <v>6</v>
      </c>
      <c r="O173" s="1" t="s">
        <v>69</v>
      </c>
    </row>
    <row r="174" spans="1:15" ht="30" x14ac:dyDescent="0.25">
      <c r="A174" s="1"/>
      <c r="B174" s="2" t="s">
        <v>909</v>
      </c>
      <c r="C174" s="2" t="s">
        <v>36</v>
      </c>
      <c r="D174" s="38">
        <v>42434</v>
      </c>
      <c r="E174" s="2" t="s">
        <v>70</v>
      </c>
      <c r="F174" s="1" t="s">
        <v>2147</v>
      </c>
      <c r="G174" s="2" t="s">
        <v>66</v>
      </c>
      <c r="H174" s="7" t="s">
        <v>2158</v>
      </c>
      <c r="I174" s="2" t="s">
        <v>1061</v>
      </c>
      <c r="J174" s="2" t="s">
        <v>213</v>
      </c>
      <c r="K174" s="7" t="s">
        <v>2159</v>
      </c>
      <c r="L174" s="1" t="s">
        <v>2149</v>
      </c>
      <c r="M174" s="38">
        <v>42437</v>
      </c>
      <c r="N174" s="1" t="s">
        <v>6</v>
      </c>
      <c r="O174" s="1" t="s">
        <v>69</v>
      </c>
    </row>
    <row r="175" spans="1:15" x14ac:dyDescent="0.25">
      <c r="A175" s="1"/>
      <c r="B175" s="2" t="s">
        <v>909</v>
      </c>
      <c r="C175" s="2" t="s">
        <v>36</v>
      </c>
      <c r="D175" s="38">
        <v>42434</v>
      </c>
      <c r="E175" s="2" t="s">
        <v>70</v>
      </c>
      <c r="F175" s="1" t="s">
        <v>2147</v>
      </c>
      <c r="G175" s="2" t="s">
        <v>66</v>
      </c>
      <c r="H175" s="7" t="s">
        <v>2442</v>
      </c>
      <c r="I175" s="2" t="s">
        <v>1061</v>
      </c>
      <c r="J175" s="2" t="s">
        <v>213</v>
      </c>
      <c r="K175" s="7" t="s">
        <v>2160</v>
      </c>
      <c r="L175" s="1" t="s">
        <v>2155</v>
      </c>
      <c r="M175" s="38">
        <v>42437</v>
      </c>
      <c r="N175" s="1" t="s">
        <v>6</v>
      </c>
      <c r="O175" s="1" t="s">
        <v>69</v>
      </c>
    </row>
    <row r="176" spans="1:15" x14ac:dyDescent="0.25">
      <c r="A176" s="1"/>
      <c r="B176" s="2" t="s">
        <v>909</v>
      </c>
      <c r="C176" s="2" t="s">
        <v>36</v>
      </c>
      <c r="D176" s="38">
        <v>42434</v>
      </c>
      <c r="E176" s="2" t="s">
        <v>70</v>
      </c>
      <c r="F176" s="1" t="s">
        <v>2147</v>
      </c>
      <c r="G176" s="2" t="s">
        <v>71</v>
      </c>
      <c r="H176" s="7" t="s">
        <v>2161</v>
      </c>
      <c r="I176" s="2" t="s">
        <v>1061</v>
      </c>
      <c r="J176" s="2" t="s">
        <v>213</v>
      </c>
      <c r="K176" s="7" t="s">
        <v>2443</v>
      </c>
      <c r="L176" s="1" t="s">
        <v>2149</v>
      </c>
      <c r="M176" s="38">
        <v>42437</v>
      </c>
      <c r="N176" s="1" t="s">
        <v>6</v>
      </c>
      <c r="O176" s="1" t="s">
        <v>69</v>
      </c>
    </row>
    <row r="177" spans="1:15" x14ac:dyDescent="0.25">
      <c r="A177" s="1"/>
      <c r="B177" s="2" t="s">
        <v>909</v>
      </c>
      <c r="C177" s="2" t="s">
        <v>36</v>
      </c>
      <c r="D177" s="38">
        <v>42434</v>
      </c>
      <c r="E177" s="2" t="s">
        <v>70</v>
      </c>
      <c r="F177" s="1" t="s">
        <v>2147</v>
      </c>
      <c r="G177" s="2" t="s">
        <v>71</v>
      </c>
      <c r="H177" s="7" t="s">
        <v>2162</v>
      </c>
      <c r="I177" s="2" t="s">
        <v>1061</v>
      </c>
      <c r="J177" s="2" t="s">
        <v>213</v>
      </c>
      <c r="K177" s="7" t="s">
        <v>2163</v>
      </c>
      <c r="L177" s="1" t="s">
        <v>2149</v>
      </c>
      <c r="M177" s="38">
        <v>42437</v>
      </c>
      <c r="N177" s="1" t="s">
        <v>6</v>
      </c>
      <c r="O177" s="1" t="s">
        <v>69</v>
      </c>
    </row>
    <row r="178" spans="1:15" ht="30" x14ac:dyDescent="0.25">
      <c r="A178" s="1"/>
      <c r="B178" s="2" t="s">
        <v>909</v>
      </c>
      <c r="C178" s="2" t="s">
        <v>36</v>
      </c>
      <c r="D178" s="38">
        <v>42434</v>
      </c>
      <c r="E178" s="2" t="s">
        <v>70</v>
      </c>
      <c r="F178" s="1" t="s">
        <v>2147</v>
      </c>
      <c r="G178" s="2" t="s">
        <v>66</v>
      </c>
      <c r="H178" s="7" t="s">
        <v>2164</v>
      </c>
      <c r="I178" s="2" t="s">
        <v>1061</v>
      </c>
      <c r="J178" s="2" t="s">
        <v>213</v>
      </c>
      <c r="K178" s="7" t="s">
        <v>2165</v>
      </c>
      <c r="L178" s="1" t="s">
        <v>2149</v>
      </c>
      <c r="M178" s="38">
        <v>42437</v>
      </c>
      <c r="N178" s="1" t="s">
        <v>6</v>
      </c>
      <c r="O178" s="1" t="s">
        <v>69</v>
      </c>
    </row>
    <row r="179" spans="1:15" ht="30" x14ac:dyDescent="0.25">
      <c r="A179" s="1"/>
      <c r="B179" s="2" t="s">
        <v>909</v>
      </c>
      <c r="C179" s="2" t="s">
        <v>36</v>
      </c>
      <c r="D179" s="38">
        <v>42434</v>
      </c>
      <c r="E179" s="2" t="s">
        <v>70</v>
      </c>
      <c r="F179" s="1" t="s">
        <v>2147</v>
      </c>
      <c r="G179" s="2" t="s">
        <v>66</v>
      </c>
      <c r="H179" s="7" t="s">
        <v>2444</v>
      </c>
      <c r="I179" s="2" t="s">
        <v>1061</v>
      </c>
      <c r="J179" s="2" t="s">
        <v>213</v>
      </c>
      <c r="K179" s="7" t="s">
        <v>2166</v>
      </c>
      <c r="L179" s="1" t="s">
        <v>2149</v>
      </c>
      <c r="M179" s="38">
        <v>42437</v>
      </c>
      <c r="N179" s="1" t="s">
        <v>6</v>
      </c>
      <c r="O179" s="1" t="s">
        <v>69</v>
      </c>
    </row>
    <row r="180" spans="1:15" x14ac:dyDescent="0.25">
      <c r="A180" s="1"/>
      <c r="B180" s="2" t="s">
        <v>909</v>
      </c>
      <c r="C180" s="2" t="s">
        <v>36</v>
      </c>
      <c r="D180" s="38">
        <v>42434</v>
      </c>
      <c r="E180" s="2" t="s">
        <v>70</v>
      </c>
      <c r="F180" s="1" t="s">
        <v>2147</v>
      </c>
      <c r="G180" s="2" t="s">
        <v>71</v>
      </c>
      <c r="H180" s="7" t="s">
        <v>2167</v>
      </c>
      <c r="I180" s="2" t="s">
        <v>1061</v>
      </c>
      <c r="J180" s="2" t="s">
        <v>213</v>
      </c>
      <c r="K180" s="7" t="s">
        <v>2168</v>
      </c>
      <c r="L180" s="1" t="s">
        <v>2149</v>
      </c>
      <c r="M180" s="38">
        <v>42437</v>
      </c>
      <c r="N180" s="1" t="s">
        <v>6</v>
      </c>
      <c r="O180" s="1" t="s">
        <v>69</v>
      </c>
    </row>
    <row r="181" spans="1:15" ht="30" x14ac:dyDescent="0.25">
      <c r="A181" s="1"/>
      <c r="B181" s="2" t="s">
        <v>909</v>
      </c>
      <c r="C181" s="2" t="s">
        <v>36</v>
      </c>
      <c r="D181" s="38">
        <v>42434</v>
      </c>
      <c r="E181" s="2" t="s">
        <v>70</v>
      </c>
      <c r="F181" s="1" t="s">
        <v>2147</v>
      </c>
      <c r="G181" s="2" t="s">
        <v>66</v>
      </c>
      <c r="H181" s="7" t="s">
        <v>2169</v>
      </c>
      <c r="I181" s="2" t="s">
        <v>1061</v>
      </c>
      <c r="J181" s="2" t="s">
        <v>213</v>
      </c>
      <c r="K181" s="7" t="s">
        <v>2170</v>
      </c>
      <c r="L181" s="1" t="s">
        <v>2149</v>
      </c>
      <c r="M181" s="38">
        <v>42437</v>
      </c>
      <c r="N181" s="1" t="s">
        <v>6</v>
      </c>
      <c r="O181" s="1" t="s">
        <v>69</v>
      </c>
    </row>
    <row r="182" spans="1:15" ht="30" x14ac:dyDescent="0.25">
      <c r="A182" s="1"/>
      <c r="B182" s="2" t="s">
        <v>909</v>
      </c>
      <c r="C182" s="2" t="s">
        <v>36</v>
      </c>
      <c r="D182" s="38">
        <v>42434</v>
      </c>
      <c r="E182" s="2" t="s">
        <v>70</v>
      </c>
      <c r="F182" s="1" t="s">
        <v>2147</v>
      </c>
      <c r="G182" s="2" t="s">
        <v>66</v>
      </c>
      <c r="H182" s="7" t="s">
        <v>2171</v>
      </c>
      <c r="I182" s="2" t="s">
        <v>1061</v>
      </c>
      <c r="J182" s="2" t="s">
        <v>213</v>
      </c>
      <c r="K182" s="7" t="s">
        <v>2170</v>
      </c>
      <c r="L182" s="1" t="s">
        <v>2149</v>
      </c>
      <c r="M182" s="38">
        <v>42437</v>
      </c>
      <c r="N182" s="1" t="s">
        <v>6</v>
      </c>
      <c r="O182" s="1" t="s">
        <v>69</v>
      </c>
    </row>
    <row r="183" spans="1:15" x14ac:dyDescent="0.25">
      <c r="A183" s="1"/>
      <c r="B183" s="2" t="s">
        <v>909</v>
      </c>
      <c r="C183" s="2" t="s">
        <v>36</v>
      </c>
      <c r="D183" s="38">
        <v>42434</v>
      </c>
      <c r="E183" s="2" t="s">
        <v>70</v>
      </c>
      <c r="F183" s="1" t="s">
        <v>2147</v>
      </c>
      <c r="G183" s="2" t="s">
        <v>66</v>
      </c>
      <c r="H183" s="7" t="s">
        <v>2172</v>
      </c>
      <c r="I183" s="2" t="s">
        <v>1061</v>
      </c>
      <c r="J183" s="2" t="s">
        <v>213</v>
      </c>
      <c r="K183" s="7" t="s">
        <v>2173</v>
      </c>
      <c r="L183" s="1" t="s">
        <v>2149</v>
      </c>
      <c r="M183" s="38">
        <v>42437</v>
      </c>
      <c r="N183" s="1" t="s">
        <v>6</v>
      </c>
      <c r="O183" s="1" t="s">
        <v>69</v>
      </c>
    </row>
    <row r="184" spans="1:15" x14ac:dyDescent="0.25">
      <c r="A184" s="1"/>
      <c r="B184" s="2" t="s">
        <v>909</v>
      </c>
      <c r="C184" s="2" t="s">
        <v>36</v>
      </c>
      <c r="D184" s="38">
        <v>42434</v>
      </c>
      <c r="E184" s="2" t="s">
        <v>70</v>
      </c>
      <c r="F184" s="1" t="s">
        <v>2147</v>
      </c>
      <c r="G184" s="2" t="s">
        <v>66</v>
      </c>
      <c r="H184" s="7" t="s">
        <v>2174</v>
      </c>
      <c r="I184" s="2" t="s">
        <v>1061</v>
      </c>
      <c r="J184" s="2" t="s">
        <v>213</v>
      </c>
      <c r="K184" s="7" t="s">
        <v>2175</v>
      </c>
      <c r="L184" s="1" t="s">
        <v>2149</v>
      </c>
      <c r="M184" s="38">
        <v>42437</v>
      </c>
      <c r="N184" s="1" t="s">
        <v>6</v>
      </c>
      <c r="O184" s="1" t="s">
        <v>69</v>
      </c>
    </row>
    <row r="185" spans="1:15" ht="30" x14ac:dyDescent="0.25">
      <c r="A185" s="1"/>
      <c r="B185" s="2" t="s">
        <v>909</v>
      </c>
      <c r="C185" s="2" t="s">
        <v>36</v>
      </c>
      <c r="D185" s="38">
        <v>42434</v>
      </c>
      <c r="E185" s="2" t="s">
        <v>70</v>
      </c>
      <c r="F185" s="1" t="s">
        <v>2147</v>
      </c>
      <c r="G185" s="2" t="s">
        <v>66</v>
      </c>
      <c r="H185" s="7" t="s">
        <v>2176</v>
      </c>
      <c r="I185" s="2" t="s">
        <v>1061</v>
      </c>
      <c r="J185" s="2" t="s">
        <v>213</v>
      </c>
      <c r="K185" s="7" t="s">
        <v>2177</v>
      </c>
      <c r="L185" s="1" t="s">
        <v>2149</v>
      </c>
      <c r="M185" s="38">
        <v>42437</v>
      </c>
      <c r="N185" s="1" t="s">
        <v>6</v>
      </c>
      <c r="O185" s="1" t="s">
        <v>69</v>
      </c>
    </row>
    <row r="186" spans="1:15" ht="30" x14ac:dyDescent="0.25">
      <c r="A186" s="1"/>
      <c r="B186" s="2" t="s">
        <v>909</v>
      </c>
      <c r="C186" s="2" t="s">
        <v>36</v>
      </c>
      <c r="D186" s="38">
        <v>42434</v>
      </c>
      <c r="E186" s="2" t="s">
        <v>70</v>
      </c>
      <c r="F186" s="1" t="s">
        <v>2147</v>
      </c>
      <c r="G186" s="2" t="s">
        <v>66</v>
      </c>
      <c r="H186" s="7" t="s">
        <v>2178</v>
      </c>
      <c r="I186" s="2" t="s">
        <v>1061</v>
      </c>
      <c r="J186" s="2" t="s">
        <v>213</v>
      </c>
      <c r="K186" s="7" t="s">
        <v>2179</v>
      </c>
      <c r="L186" s="1" t="s">
        <v>2149</v>
      </c>
      <c r="M186" s="38">
        <v>42437</v>
      </c>
      <c r="N186" s="1" t="s">
        <v>6</v>
      </c>
      <c r="O186" s="1" t="s">
        <v>69</v>
      </c>
    </row>
    <row r="187" spans="1:15" ht="75" x14ac:dyDescent="0.25">
      <c r="A187" s="1"/>
      <c r="B187" s="2" t="s">
        <v>911</v>
      </c>
      <c r="C187" s="2" t="s">
        <v>78</v>
      </c>
      <c r="D187" s="38">
        <v>42434</v>
      </c>
      <c r="E187" s="2" t="s">
        <v>70</v>
      </c>
      <c r="F187" s="1" t="s">
        <v>2180</v>
      </c>
      <c r="G187" s="2" t="s">
        <v>66</v>
      </c>
      <c r="H187" s="7" t="s">
        <v>2445</v>
      </c>
      <c r="I187" s="2" t="s">
        <v>1117</v>
      </c>
      <c r="J187" s="2" t="s">
        <v>213</v>
      </c>
      <c r="K187" s="7" t="s">
        <v>2446</v>
      </c>
      <c r="L187" s="1" t="s">
        <v>2116</v>
      </c>
      <c r="M187" s="38">
        <v>42434</v>
      </c>
      <c r="N187" s="1" t="s">
        <v>6</v>
      </c>
      <c r="O187" s="1" t="s">
        <v>69</v>
      </c>
    </row>
    <row r="188" spans="1:15" ht="30" x14ac:dyDescent="0.25">
      <c r="A188" s="1"/>
      <c r="B188" s="2" t="s">
        <v>911</v>
      </c>
      <c r="C188" s="2" t="s">
        <v>78</v>
      </c>
      <c r="D188" s="38">
        <v>42434</v>
      </c>
      <c r="E188" s="2" t="s">
        <v>70</v>
      </c>
      <c r="F188" s="1" t="s">
        <v>2180</v>
      </c>
      <c r="G188" s="2" t="s">
        <v>66</v>
      </c>
      <c r="H188" s="7" t="s">
        <v>2447</v>
      </c>
      <c r="I188" s="2" t="s">
        <v>1117</v>
      </c>
      <c r="J188" s="2" t="s">
        <v>213</v>
      </c>
      <c r="K188" s="7" t="s">
        <v>2446</v>
      </c>
      <c r="L188" s="1" t="s">
        <v>2116</v>
      </c>
      <c r="M188" s="38">
        <v>42434</v>
      </c>
      <c r="N188" s="1" t="s">
        <v>6</v>
      </c>
      <c r="O188" s="1" t="s">
        <v>69</v>
      </c>
    </row>
    <row r="189" spans="1:15" ht="30" x14ac:dyDescent="0.25">
      <c r="A189" s="1"/>
      <c r="B189" s="2" t="s">
        <v>909</v>
      </c>
      <c r="C189" s="2" t="s">
        <v>36</v>
      </c>
      <c r="D189" s="38">
        <v>42434</v>
      </c>
      <c r="E189" s="2" t="s">
        <v>70</v>
      </c>
      <c r="F189" s="1" t="s">
        <v>2147</v>
      </c>
      <c r="G189" s="2" t="s">
        <v>66</v>
      </c>
      <c r="H189" s="7" t="s">
        <v>2181</v>
      </c>
      <c r="I189" s="2" t="s">
        <v>1061</v>
      </c>
      <c r="J189" s="2" t="s">
        <v>213</v>
      </c>
      <c r="K189" s="7" t="s">
        <v>2182</v>
      </c>
      <c r="L189" s="1" t="s">
        <v>2149</v>
      </c>
      <c r="M189" s="38">
        <v>42437</v>
      </c>
      <c r="N189" s="1" t="s">
        <v>6</v>
      </c>
      <c r="O189" s="1" t="s">
        <v>69</v>
      </c>
    </row>
    <row r="190" spans="1:15" x14ac:dyDescent="0.25">
      <c r="A190" s="1"/>
      <c r="B190" s="2" t="s">
        <v>911</v>
      </c>
      <c r="C190" s="2" t="s">
        <v>78</v>
      </c>
      <c r="D190" s="38">
        <v>42434</v>
      </c>
      <c r="E190" s="2" t="s">
        <v>70</v>
      </c>
      <c r="F190" s="1" t="s">
        <v>2180</v>
      </c>
      <c r="G190" s="2" t="s">
        <v>71</v>
      </c>
      <c r="H190" s="7" t="s">
        <v>2183</v>
      </c>
      <c r="I190" s="2" t="s">
        <v>1117</v>
      </c>
      <c r="J190" s="2" t="s">
        <v>213</v>
      </c>
      <c r="K190" s="7" t="s">
        <v>2446</v>
      </c>
      <c r="L190" s="1" t="s">
        <v>2116</v>
      </c>
      <c r="M190" s="38">
        <v>42434</v>
      </c>
      <c r="N190" s="1" t="s">
        <v>6</v>
      </c>
      <c r="O190" s="1" t="s">
        <v>69</v>
      </c>
    </row>
    <row r="191" spans="1:15" ht="30" x14ac:dyDescent="0.25">
      <c r="A191" s="1"/>
      <c r="B191" s="2" t="s">
        <v>909</v>
      </c>
      <c r="C191" s="2" t="s">
        <v>36</v>
      </c>
      <c r="D191" s="38">
        <v>42434</v>
      </c>
      <c r="E191" s="2" t="s">
        <v>70</v>
      </c>
      <c r="F191" s="1" t="s">
        <v>2184</v>
      </c>
      <c r="G191" s="2" t="s">
        <v>66</v>
      </c>
      <c r="H191" s="7" t="s">
        <v>2448</v>
      </c>
      <c r="I191" s="2" t="s">
        <v>1061</v>
      </c>
      <c r="J191" s="2" t="s">
        <v>213</v>
      </c>
      <c r="K191" s="7" t="s">
        <v>2182</v>
      </c>
      <c r="L191" s="1" t="s">
        <v>2155</v>
      </c>
      <c r="M191" s="38">
        <v>42437</v>
      </c>
      <c r="N191" s="1" t="s">
        <v>6</v>
      </c>
      <c r="O191" s="1" t="s">
        <v>69</v>
      </c>
    </row>
    <row r="192" spans="1:15" x14ac:dyDescent="0.25">
      <c r="A192" s="1"/>
      <c r="B192" s="2" t="s">
        <v>909</v>
      </c>
      <c r="C192" s="2" t="s">
        <v>36</v>
      </c>
      <c r="D192" s="38">
        <v>42434</v>
      </c>
      <c r="E192" s="2" t="s">
        <v>70</v>
      </c>
      <c r="F192" s="1" t="s">
        <v>2147</v>
      </c>
      <c r="G192" s="2" t="s">
        <v>66</v>
      </c>
      <c r="H192" s="7" t="s">
        <v>2185</v>
      </c>
      <c r="I192" s="2" t="s">
        <v>1061</v>
      </c>
      <c r="J192" s="2" t="s">
        <v>213</v>
      </c>
      <c r="K192" s="7" t="s">
        <v>2186</v>
      </c>
      <c r="L192" s="1" t="s">
        <v>2149</v>
      </c>
      <c r="M192" s="38">
        <v>42437</v>
      </c>
      <c r="N192" s="1" t="s">
        <v>6</v>
      </c>
      <c r="O192" s="1" t="s">
        <v>69</v>
      </c>
    </row>
    <row r="193" spans="1:15" ht="30" x14ac:dyDescent="0.25">
      <c r="A193" s="1"/>
      <c r="B193" s="2" t="s">
        <v>909</v>
      </c>
      <c r="C193" s="2" t="s">
        <v>36</v>
      </c>
      <c r="D193" s="38">
        <v>42434</v>
      </c>
      <c r="E193" s="2" t="s">
        <v>70</v>
      </c>
      <c r="F193" s="1" t="s">
        <v>2147</v>
      </c>
      <c r="G193" s="2" t="s">
        <v>66</v>
      </c>
      <c r="H193" s="7" t="s">
        <v>2449</v>
      </c>
      <c r="I193" s="2" t="s">
        <v>1061</v>
      </c>
      <c r="J193" s="2" t="s">
        <v>213</v>
      </c>
      <c r="K193" s="7" t="s">
        <v>2182</v>
      </c>
      <c r="L193" s="1" t="s">
        <v>2149</v>
      </c>
      <c r="M193" s="38">
        <v>42437</v>
      </c>
      <c r="N193" s="1" t="s">
        <v>6</v>
      </c>
      <c r="O193" s="1" t="s">
        <v>69</v>
      </c>
    </row>
    <row r="194" spans="1:15" ht="30" x14ac:dyDescent="0.25">
      <c r="A194" s="1"/>
      <c r="B194" s="2" t="s">
        <v>909</v>
      </c>
      <c r="C194" s="2" t="s">
        <v>36</v>
      </c>
      <c r="D194" s="38">
        <v>42434</v>
      </c>
      <c r="E194" s="2" t="s">
        <v>70</v>
      </c>
      <c r="F194" s="1" t="s">
        <v>2147</v>
      </c>
      <c r="G194" s="2" t="s">
        <v>66</v>
      </c>
      <c r="H194" s="7" t="s">
        <v>2450</v>
      </c>
      <c r="I194" s="2" t="s">
        <v>1061</v>
      </c>
      <c r="J194" s="2" t="s">
        <v>213</v>
      </c>
      <c r="K194" s="7" t="s">
        <v>2187</v>
      </c>
      <c r="L194" s="1" t="s">
        <v>2155</v>
      </c>
      <c r="M194" s="38">
        <v>42437</v>
      </c>
      <c r="N194" s="1" t="s">
        <v>6</v>
      </c>
      <c r="O194" s="1" t="s">
        <v>69</v>
      </c>
    </row>
    <row r="195" spans="1:15" x14ac:dyDescent="0.25">
      <c r="A195" s="1"/>
      <c r="B195" s="2" t="s">
        <v>909</v>
      </c>
      <c r="C195" s="2" t="s">
        <v>36</v>
      </c>
      <c r="D195" s="38">
        <v>42434</v>
      </c>
      <c r="E195" s="2" t="s">
        <v>70</v>
      </c>
      <c r="F195" s="1" t="s">
        <v>2147</v>
      </c>
      <c r="G195" s="2" t="s">
        <v>66</v>
      </c>
      <c r="H195" s="7" t="s">
        <v>2188</v>
      </c>
      <c r="I195" s="2" t="s">
        <v>1061</v>
      </c>
      <c r="J195" s="2" t="s">
        <v>213</v>
      </c>
      <c r="K195" s="7" t="s">
        <v>2189</v>
      </c>
      <c r="L195" s="1" t="s">
        <v>2149</v>
      </c>
      <c r="M195" s="38">
        <v>42437</v>
      </c>
      <c r="N195" s="1" t="s">
        <v>6</v>
      </c>
      <c r="O195" s="1" t="s">
        <v>69</v>
      </c>
    </row>
    <row r="196" spans="1:15" x14ac:dyDescent="0.25">
      <c r="A196" s="1"/>
      <c r="B196" s="2" t="s">
        <v>909</v>
      </c>
      <c r="C196" s="2" t="s">
        <v>36</v>
      </c>
      <c r="D196" s="38">
        <v>42434</v>
      </c>
      <c r="E196" s="2" t="s">
        <v>70</v>
      </c>
      <c r="F196" s="1" t="s">
        <v>2147</v>
      </c>
      <c r="G196" s="2" t="s">
        <v>66</v>
      </c>
      <c r="H196" s="7" t="s">
        <v>2190</v>
      </c>
      <c r="I196" s="2" t="s">
        <v>1061</v>
      </c>
      <c r="J196" s="2" t="s">
        <v>213</v>
      </c>
      <c r="K196" s="7" t="s">
        <v>2191</v>
      </c>
      <c r="L196" s="1" t="s">
        <v>2149</v>
      </c>
      <c r="M196" s="38">
        <v>42437</v>
      </c>
      <c r="N196" s="1" t="s">
        <v>6</v>
      </c>
      <c r="O196" s="1" t="s">
        <v>69</v>
      </c>
    </row>
    <row r="197" spans="1:15" ht="30" x14ac:dyDescent="0.25">
      <c r="A197" s="1"/>
      <c r="B197" s="2" t="s">
        <v>909</v>
      </c>
      <c r="C197" s="2" t="s">
        <v>36</v>
      </c>
      <c r="D197" s="38">
        <v>42434</v>
      </c>
      <c r="E197" s="2" t="s">
        <v>70</v>
      </c>
      <c r="F197" s="1" t="s">
        <v>2147</v>
      </c>
      <c r="G197" s="2" t="s">
        <v>66</v>
      </c>
      <c r="H197" s="7" t="s">
        <v>2451</v>
      </c>
      <c r="I197" s="2" t="s">
        <v>1061</v>
      </c>
      <c r="J197" s="2" t="s">
        <v>213</v>
      </c>
      <c r="K197" s="7" t="s">
        <v>2192</v>
      </c>
      <c r="L197" s="1" t="s">
        <v>2155</v>
      </c>
      <c r="M197" s="38">
        <v>42437</v>
      </c>
      <c r="N197" s="1" t="s">
        <v>6</v>
      </c>
      <c r="O197" s="1" t="s">
        <v>69</v>
      </c>
    </row>
    <row r="198" spans="1:15" x14ac:dyDescent="0.25">
      <c r="A198" s="1"/>
      <c r="B198" s="2" t="s">
        <v>909</v>
      </c>
      <c r="C198" s="2" t="s">
        <v>36</v>
      </c>
      <c r="D198" s="38">
        <v>42434</v>
      </c>
      <c r="E198" s="2" t="s">
        <v>70</v>
      </c>
      <c r="F198" s="1" t="s">
        <v>2147</v>
      </c>
      <c r="G198" s="2" t="s">
        <v>66</v>
      </c>
      <c r="H198" s="7" t="s">
        <v>2193</v>
      </c>
      <c r="I198" s="2" t="s">
        <v>1061</v>
      </c>
      <c r="J198" s="2" t="s">
        <v>213</v>
      </c>
      <c r="K198" s="7" t="s">
        <v>2194</v>
      </c>
      <c r="L198" s="1" t="s">
        <v>2149</v>
      </c>
      <c r="M198" s="38">
        <v>42437</v>
      </c>
      <c r="N198" s="1" t="s">
        <v>6</v>
      </c>
      <c r="O198" s="1" t="s">
        <v>69</v>
      </c>
    </row>
    <row r="199" spans="1:15" x14ac:dyDescent="0.25">
      <c r="A199" s="1"/>
      <c r="B199" s="2" t="s">
        <v>911</v>
      </c>
      <c r="C199" s="2" t="s">
        <v>43</v>
      </c>
      <c r="D199" s="38">
        <v>42436</v>
      </c>
      <c r="E199" s="2" t="s">
        <v>70</v>
      </c>
      <c r="F199" s="1" t="s">
        <v>2195</v>
      </c>
      <c r="G199" s="2" t="s">
        <v>66</v>
      </c>
      <c r="H199" s="7" t="s">
        <v>2196</v>
      </c>
      <c r="I199" s="2" t="s">
        <v>118</v>
      </c>
      <c r="J199" s="2" t="s">
        <v>213</v>
      </c>
      <c r="K199" s="7" t="s">
        <v>2197</v>
      </c>
      <c r="L199" s="1" t="s">
        <v>2198</v>
      </c>
      <c r="M199" s="38">
        <v>42436</v>
      </c>
      <c r="N199" s="1" t="s">
        <v>6</v>
      </c>
      <c r="O199" s="1" t="s">
        <v>69</v>
      </c>
    </row>
    <row r="200" spans="1:15" ht="30" x14ac:dyDescent="0.25">
      <c r="A200" s="1"/>
      <c r="B200" s="2" t="s">
        <v>911</v>
      </c>
      <c r="C200" s="2" t="s">
        <v>171</v>
      </c>
      <c r="D200" s="38">
        <v>42436</v>
      </c>
      <c r="E200" s="2" t="s">
        <v>70</v>
      </c>
      <c r="F200" s="1" t="s">
        <v>2199</v>
      </c>
      <c r="G200" s="2" t="s">
        <v>71</v>
      </c>
      <c r="H200" s="7" t="s">
        <v>2452</v>
      </c>
      <c r="I200" s="2" t="s">
        <v>1117</v>
      </c>
      <c r="J200" s="2" t="s">
        <v>213</v>
      </c>
      <c r="K200" s="7" t="s">
        <v>2453</v>
      </c>
      <c r="L200" s="1" t="s">
        <v>846</v>
      </c>
      <c r="M200" s="38">
        <v>42436</v>
      </c>
      <c r="N200" s="1" t="s">
        <v>6</v>
      </c>
      <c r="O200" s="1" t="s">
        <v>69</v>
      </c>
    </row>
    <row r="201" spans="1:15" ht="30" x14ac:dyDescent="0.25">
      <c r="A201" s="1"/>
      <c r="B201" s="2" t="s">
        <v>911</v>
      </c>
      <c r="C201" s="2" t="s">
        <v>171</v>
      </c>
      <c r="D201" s="38">
        <v>42436</v>
      </c>
      <c r="E201" s="2" t="s">
        <v>70</v>
      </c>
      <c r="F201" s="1" t="s">
        <v>2199</v>
      </c>
      <c r="G201" s="2" t="s">
        <v>71</v>
      </c>
      <c r="H201" s="7" t="s">
        <v>2454</v>
      </c>
      <c r="I201" s="2" t="s">
        <v>1117</v>
      </c>
      <c r="J201" s="2" t="s">
        <v>213</v>
      </c>
      <c r="K201" s="7" t="s">
        <v>2455</v>
      </c>
      <c r="L201" s="1" t="s">
        <v>846</v>
      </c>
      <c r="M201" s="38">
        <v>42436</v>
      </c>
      <c r="N201" s="1" t="s">
        <v>6</v>
      </c>
      <c r="O201" s="1" t="s">
        <v>69</v>
      </c>
    </row>
    <row r="202" spans="1:15" x14ac:dyDescent="0.25">
      <c r="A202" s="1"/>
      <c r="B202" s="2" t="s">
        <v>913</v>
      </c>
      <c r="C202" s="2" t="s">
        <v>41</v>
      </c>
      <c r="D202" s="38">
        <v>42436</v>
      </c>
      <c r="E202" s="2" t="s">
        <v>70</v>
      </c>
      <c r="F202" s="1" t="s">
        <v>2200</v>
      </c>
      <c r="G202" s="2" t="s">
        <v>66</v>
      </c>
      <c r="H202" s="7" t="s">
        <v>2201</v>
      </c>
      <c r="I202" s="2" t="s">
        <v>171</v>
      </c>
      <c r="J202" s="2" t="s">
        <v>213</v>
      </c>
      <c r="K202" s="7" t="s">
        <v>2202</v>
      </c>
      <c r="L202" s="1" t="s">
        <v>846</v>
      </c>
      <c r="M202" s="38">
        <v>42585</v>
      </c>
      <c r="N202" s="1" t="s">
        <v>6</v>
      </c>
      <c r="O202" s="1" t="s">
        <v>69</v>
      </c>
    </row>
    <row r="203" spans="1:15" x14ac:dyDescent="0.25">
      <c r="A203" s="1"/>
      <c r="B203" s="2" t="s">
        <v>913</v>
      </c>
      <c r="C203" s="2" t="s">
        <v>41</v>
      </c>
      <c r="D203" s="38">
        <v>42436</v>
      </c>
      <c r="E203" s="2" t="s">
        <v>70</v>
      </c>
      <c r="F203" s="1" t="s">
        <v>2200</v>
      </c>
      <c r="G203" s="2" t="s">
        <v>66</v>
      </c>
      <c r="H203" s="7" t="s">
        <v>2203</v>
      </c>
      <c r="I203" s="2" t="s">
        <v>171</v>
      </c>
      <c r="J203" s="2" t="s">
        <v>213</v>
      </c>
      <c r="K203" s="7" t="s">
        <v>2204</v>
      </c>
      <c r="L203" s="1"/>
      <c r="M203" s="38">
        <v>42437</v>
      </c>
      <c r="N203" s="1" t="s">
        <v>6</v>
      </c>
      <c r="O203" s="1" t="s">
        <v>69</v>
      </c>
    </row>
    <row r="204" spans="1:15" x14ac:dyDescent="0.25">
      <c r="A204" s="1"/>
      <c r="B204" s="2" t="s">
        <v>913</v>
      </c>
      <c r="C204" s="2" t="s">
        <v>41</v>
      </c>
      <c r="D204" s="38">
        <v>42436</v>
      </c>
      <c r="E204" s="2" t="s">
        <v>70</v>
      </c>
      <c r="F204" s="1" t="s">
        <v>2200</v>
      </c>
      <c r="G204" s="2" t="s">
        <v>71</v>
      </c>
      <c r="H204" s="7" t="s">
        <v>2205</v>
      </c>
      <c r="I204" s="2" t="s">
        <v>171</v>
      </c>
      <c r="J204" s="2" t="s">
        <v>213</v>
      </c>
      <c r="K204" s="7" t="s">
        <v>2206</v>
      </c>
      <c r="L204" s="1"/>
      <c r="M204" s="38">
        <v>42437</v>
      </c>
      <c r="N204" s="1" t="s">
        <v>6</v>
      </c>
      <c r="O204" s="1" t="s">
        <v>69</v>
      </c>
    </row>
    <row r="205" spans="1:15" x14ac:dyDescent="0.25">
      <c r="A205" s="1"/>
      <c r="B205" s="2" t="s">
        <v>913</v>
      </c>
      <c r="C205" s="2" t="s">
        <v>36</v>
      </c>
      <c r="D205" s="38">
        <v>42437</v>
      </c>
      <c r="E205" s="2" t="s">
        <v>70</v>
      </c>
      <c r="F205" s="1" t="s">
        <v>2207</v>
      </c>
      <c r="G205" s="2" t="s">
        <v>71</v>
      </c>
      <c r="H205" s="7" t="s">
        <v>2208</v>
      </c>
      <c r="I205" s="2" t="s">
        <v>118</v>
      </c>
      <c r="J205" s="2" t="s">
        <v>213</v>
      </c>
      <c r="K205" s="7"/>
      <c r="L205" s="1" t="s">
        <v>2207</v>
      </c>
      <c r="M205" s="38">
        <v>42437</v>
      </c>
      <c r="N205" s="1" t="s">
        <v>6</v>
      </c>
      <c r="O205" s="1" t="s">
        <v>69</v>
      </c>
    </row>
    <row r="206" spans="1:15" x14ac:dyDescent="0.25">
      <c r="A206" s="1"/>
      <c r="B206" s="2" t="s">
        <v>911</v>
      </c>
      <c r="C206" s="2" t="s">
        <v>171</v>
      </c>
      <c r="D206" s="38">
        <v>42438</v>
      </c>
      <c r="E206" s="2" t="s">
        <v>70</v>
      </c>
      <c r="F206" s="1" t="s">
        <v>2209</v>
      </c>
      <c r="G206" s="2" t="s">
        <v>66</v>
      </c>
      <c r="H206" s="7" t="s">
        <v>2456</v>
      </c>
      <c r="I206" s="2" t="s">
        <v>1117</v>
      </c>
      <c r="J206" s="2" t="s">
        <v>213</v>
      </c>
      <c r="K206" s="7" t="s">
        <v>2210</v>
      </c>
      <c r="L206" s="1" t="s">
        <v>2142</v>
      </c>
      <c r="M206" s="38">
        <v>42438</v>
      </c>
      <c r="N206" s="1" t="s">
        <v>6</v>
      </c>
      <c r="O206" s="1" t="s">
        <v>69</v>
      </c>
    </row>
    <row r="207" spans="1:15" x14ac:dyDescent="0.25">
      <c r="A207" s="1"/>
      <c r="B207" s="2" t="s">
        <v>913</v>
      </c>
      <c r="C207" s="2" t="s">
        <v>41</v>
      </c>
      <c r="D207" s="38">
        <v>42438</v>
      </c>
      <c r="E207" s="2" t="s">
        <v>70</v>
      </c>
      <c r="F207" s="1" t="s">
        <v>2211</v>
      </c>
      <c r="G207" s="2" t="s">
        <v>66</v>
      </c>
      <c r="H207" s="7" t="s">
        <v>2212</v>
      </c>
      <c r="I207" s="2" t="s">
        <v>171</v>
      </c>
      <c r="J207" s="2" t="s">
        <v>213</v>
      </c>
      <c r="K207" s="7" t="s">
        <v>2213</v>
      </c>
      <c r="L207" s="1"/>
      <c r="M207" s="38">
        <v>42438</v>
      </c>
      <c r="N207" s="1" t="s">
        <v>6</v>
      </c>
      <c r="O207" s="1" t="s">
        <v>69</v>
      </c>
    </row>
    <row r="208" spans="1:15" x14ac:dyDescent="0.25">
      <c r="A208" s="1"/>
      <c r="B208" s="2" t="s">
        <v>909</v>
      </c>
      <c r="C208" s="2" t="s">
        <v>41</v>
      </c>
      <c r="D208" s="38">
        <v>42438</v>
      </c>
      <c r="E208" s="2" t="s">
        <v>70</v>
      </c>
      <c r="F208" s="1" t="s">
        <v>2214</v>
      </c>
      <c r="G208" s="2" t="s">
        <v>71</v>
      </c>
      <c r="H208" s="7" t="s">
        <v>2457</v>
      </c>
      <c r="I208" s="2" t="s">
        <v>1061</v>
      </c>
      <c r="J208" s="2" t="s">
        <v>213</v>
      </c>
      <c r="K208" s="7"/>
      <c r="L208" s="1"/>
      <c r="M208" s="38"/>
      <c r="N208" s="1" t="s">
        <v>6</v>
      </c>
      <c r="O208" s="1" t="s">
        <v>69</v>
      </c>
    </row>
    <row r="209" spans="1:15" x14ac:dyDescent="0.25">
      <c r="A209" s="1"/>
      <c r="B209" s="2" t="s">
        <v>911</v>
      </c>
      <c r="C209" s="2" t="s">
        <v>78</v>
      </c>
      <c r="D209" s="38">
        <v>42437</v>
      </c>
      <c r="E209" s="2" t="s">
        <v>70</v>
      </c>
      <c r="F209" s="1" t="s">
        <v>2215</v>
      </c>
      <c r="G209" s="2" t="s">
        <v>71</v>
      </c>
      <c r="H209" s="7" t="s">
        <v>2216</v>
      </c>
      <c r="I209" s="2" t="s">
        <v>1117</v>
      </c>
      <c r="J209" s="2" t="s">
        <v>213</v>
      </c>
      <c r="K209" s="7"/>
      <c r="L209" s="1"/>
      <c r="M209" s="38">
        <v>42437</v>
      </c>
      <c r="N209" s="1" t="s">
        <v>6</v>
      </c>
      <c r="O209" s="1" t="s">
        <v>69</v>
      </c>
    </row>
    <row r="210" spans="1:15" ht="30" x14ac:dyDescent="0.25">
      <c r="A210" s="1"/>
      <c r="B210" s="2" t="s">
        <v>909</v>
      </c>
      <c r="C210" s="2" t="s">
        <v>1061</v>
      </c>
      <c r="D210" s="38">
        <v>42439</v>
      </c>
      <c r="E210" s="2" t="s">
        <v>34</v>
      </c>
      <c r="F210" s="1" t="s">
        <v>2217</v>
      </c>
      <c r="G210" s="2" t="s">
        <v>66</v>
      </c>
      <c r="H210" s="7" t="s">
        <v>2218</v>
      </c>
      <c r="I210" s="2" t="s">
        <v>961</v>
      </c>
      <c r="J210" s="2" t="s">
        <v>213</v>
      </c>
      <c r="K210" s="7" t="s">
        <v>2458</v>
      </c>
      <c r="L210" s="1" t="s">
        <v>2219</v>
      </c>
      <c r="M210" s="38">
        <v>42439</v>
      </c>
      <c r="N210" s="1" t="s">
        <v>6</v>
      </c>
      <c r="O210" s="1" t="s">
        <v>69</v>
      </c>
    </row>
    <row r="211" spans="1:15" x14ac:dyDescent="0.25">
      <c r="A211" s="1"/>
      <c r="B211" s="2" t="s">
        <v>909</v>
      </c>
      <c r="C211" s="2" t="s">
        <v>36</v>
      </c>
      <c r="D211" s="38">
        <v>42439</v>
      </c>
      <c r="E211" s="2" t="s">
        <v>70</v>
      </c>
      <c r="F211" s="1" t="s">
        <v>2220</v>
      </c>
      <c r="G211" s="2" t="s">
        <v>71</v>
      </c>
      <c r="H211" s="7" t="s">
        <v>2221</v>
      </c>
      <c r="I211" s="2" t="s">
        <v>1061</v>
      </c>
      <c r="J211" s="2" t="s">
        <v>213</v>
      </c>
      <c r="K211" s="7"/>
      <c r="L211" s="1" t="s">
        <v>2220</v>
      </c>
      <c r="M211" s="38">
        <v>42439</v>
      </c>
      <c r="N211" s="1" t="s">
        <v>6</v>
      </c>
      <c r="O211" s="1" t="s">
        <v>69</v>
      </c>
    </row>
    <row r="212" spans="1:15" ht="45" x14ac:dyDescent="0.25">
      <c r="A212" s="1"/>
      <c r="B212" s="2" t="s">
        <v>909</v>
      </c>
      <c r="C212" s="2" t="s">
        <v>1061</v>
      </c>
      <c r="D212" s="38">
        <v>42439</v>
      </c>
      <c r="E212" s="2" t="s">
        <v>34</v>
      </c>
      <c r="F212" s="1" t="s">
        <v>2217</v>
      </c>
      <c r="G212" s="2" t="s">
        <v>66</v>
      </c>
      <c r="H212" s="7" t="s">
        <v>2459</v>
      </c>
      <c r="I212" s="2" t="s">
        <v>116</v>
      </c>
      <c r="J212" s="2" t="s">
        <v>213</v>
      </c>
      <c r="K212" s="7" t="s">
        <v>2460</v>
      </c>
      <c r="L212" s="1" t="s">
        <v>2219</v>
      </c>
      <c r="M212" s="38">
        <v>42439</v>
      </c>
      <c r="N212" s="1" t="s">
        <v>6</v>
      </c>
      <c r="O212" s="1" t="s">
        <v>69</v>
      </c>
    </row>
    <row r="213" spans="1:15" ht="30" x14ac:dyDescent="0.25">
      <c r="A213" s="1"/>
      <c r="B213" s="2" t="s">
        <v>909</v>
      </c>
      <c r="C213" s="2" t="s">
        <v>1503</v>
      </c>
      <c r="D213" s="38">
        <v>42439</v>
      </c>
      <c r="E213" s="2" t="s">
        <v>34</v>
      </c>
      <c r="F213" s="1" t="s">
        <v>2222</v>
      </c>
      <c r="G213" s="2" t="s">
        <v>66</v>
      </c>
      <c r="H213" s="7" t="s">
        <v>2223</v>
      </c>
      <c r="I213" s="2" t="s">
        <v>41</v>
      </c>
      <c r="J213" s="2" t="s">
        <v>213</v>
      </c>
      <c r="K213" s="7" t="s">
        <v>2224</v>
      </c>
      <c r="L213" s="1" t="s">
        <v>846</v>
      </c>
      <c r="M213" s="38">
        <v>42439</v>
      </c>
      <c r="N213" s="1" t="s">
        <v>6</v>
      </c>
      <c r="O213" s="1" t="s">
        <v>69</v>
      </c>
    </row>
    <row r="214" spans="1:15" x14ac:dyDescent="0.25">
      <c r="A214" s="1"/>
      <c r="B214" s="2" t="s">
        <v>913</v>
      </c>
      <c r="C214" s="2" t="s">
        <v>41</v>
      </c>
      <c r="D214" s="38">
        <v>42439</v>
      </c>
      <c r="E214" s="2" t="s">
        <v>70</v>
      </c>
      <c r="F214" s="1" t="s">
        <v>2139</v>
      </c>
      <c r="G214" s="2" t="s">
        <v>71</v>
      </c>
      <c r="H214" s="7" t="s">
        <v>2225</v>
      </c>
      <c r="I214" s="2" t="s">
        <v>171</v>
      </c>
      <c r="J214" s="2" t="s">
        <v>213</v>
      </c>
      <c r="K214" s="7"/>
      <c r="L214" s="1" t="s">
        <v>2142</v>
      </c>
      <c r="M214" s="38">
        <v>42439</v>
      </c>
      <c r="N214" s="1" t="s">
        <v>6</v>
      </c>
      <c r="O214" s="1" t="s">
        <v>69</v>
      </c>
    </row>
    <row r="215" spans="1:15" x14ac:dyDescent="0.25">
      <c r="A215" s="1"/>
      <c r="B215" s="2" t="s">
        <v>913</v>
      </c>
      <c r="C215" s="2" t="s">
        <v>116</v>
      </c>
      <c r="D215" s="38">
        <v>42439</v>
      </c>
      <c r="E215" s="2" t="s">
        <v>70</v>
      </c>
      <c r="F215" s="1" t="s">
        <v>2226</v>
      </c>
      <c r="G215" s="2" t="s">
        <v>66</v>
      </c>
      <c r="H215" s="7" t="s">
        <v>2461</v>
      </c>
      <c r="I215" s="2" t="s">
        <v>116</v>
      </c>
      <c r="J215" s="2" t="s">
        <v>213</v>
      </c>
      <c r="K215" s="7" t="s">
        <v>2227</v>
      </c>
      <c r="L215" s="1" t="s">
        <v>2228</v>
      </c>
      <c r="M215" s="38">
        <v>42440</v>
      </c>
      <c r="N215" s="1" t="s">
        <v>6</v>
      </c>
      <c r="O215" s="1" t="s">
        <v>69</v>
      </c>
    </row>
    <row r="216" spans="1:15" ht="30" x14ac:dyDescent="0.25">
      <c r="A216" s="1"/>
      <c r="B216" s="2" t="s">
        <v>915</v>
      </c>
      <c r="C216" s="2" t="s">
        <v>36</v>
      </c>
      <c r="D216" s="38">
        <v>42439</v>
      </c>
      <c r="E216" s="2" t="s">
        <v>70</v>
      </c>
      <c r="F216" s="1" t="s">
        <v>2229</v>
      </c>
      <c r="G216" s="2" t="s">
        <v>66</v>
      </c>
      <c r="H216" s="7" t="s">
        <v>2230</v>
      </c>
      <c r="I216" s="2" t="s">
        <v>116</v>
      </c>
      <c r="J216" s="2" t="s">
        <v>213</v>
      </c>
      <c r="K216" s="7" t="s">
        <v>2231</v>
      </c>
      <c r="L216" s="1" t="s">
        <v>2232</v>
      </c>
      <c r="M216" s="38">
        <v>42440</v>
      </c>
      <c r="N216" s="1" t="s">
        <v>6</v>
      </c>
      <c r="O216" s="1" t="s">
        <v>69</v>
      </c>
    </row>
    <row r="217" spans="1:15" x14ac:dyDescent="0.25">
      <c r="A217" s="1"/>
      <c r="B217" s="2" t="s">
        <v>915</v>
      </c>
      <c r="C217" s="2" t="s">
        <v>36</v>
      </c>
      <c r="D217" s="38">
        <v>42439</v>
      </c>
      <c r="E217" s="2" t="s">
        <v>70</v>
      </c>
      <c r="F217" s="1" t="s">
        <v>2229</v>
      </c>
      <c r="G217" s="2" t="s">
        <v>66</v>
      </c>
      <c r="H217" s="7" t="s">
        <v>2233</v>
      </c>
      <c r="I217" s="2" t="s">
        <v>116</v>
      </c>
      <c r="J217" s="2" t="s">
        <v>213</v>
      </c>
      <c r="K217" s="7" t="s">
        <v>2234</v>
      </c>
      <c r="L217" s="1" t="s">
        <v>2232</v>
      </c>
      <c r="M217" s="38">
        <v>42440</v>
      </c>
      <c r="N217" s="1" t="s">
        <v>6</v>
      </c>
      <c r="O217" s="1" t="s">
        <v>69</v>
      </c>
    </row>
    <row r="218" spans="1:15" ht="30" x14ac:dyDescent="0.25">
      <c r="A218" s="1"/>
      <c r="B218" s="2" t="s">
        <v>915</v>
      </c>
      <c r="C218" s="2" t="s">
        <v>36</v>
      </c>
      <c r="D218" s="38">
        <v>42439</v>
      </c>
      <c r="E218" s="2" t="s">
        <v>70</v>
      </c>
      <c r="F218" s="1" t="s">
        <v>2235</v>
      </c>
      <c r="G218" s="2" t="s">
        <v>71</v>
      </c>
      <c r="H218" s="7" t="s">
        <v>2236</v>
      </c>
      <c r="I218" s="2" t="s">
        <v>116</v>
      </c>
      <c r="J218" s="2" t="s">
        <v>213</v>
      </c>
      <c r="K218" s="7" t="s">
        <v>2237</v>
      </c>
      <c r="L218" s="1" t="s">
        <v>2238</v>
      </c>
      <c r="M218" s="38">
        <v>42440</v>
      </c>
      <c r="N218" s="1" t="s">
        <v>6</v>
      </c>
      <c r="O218" s="1" t="s">
        <v>69</v>
      </c>
    </row>
    <row r="219" spans="1:15" x14ac:dyDescent="0.25">
      <c r="A219" s="1"/>
      <c r="B219" s="2" t="s">
        <v>915</v>
      </c>
      <c r="C219" s="2" t="s">
        <v>36</v>
      </c>
      <c r="D219" s="38">
        <v>42439</v>
      </c>
      <c r="E219" s="2" t="s">
        <v>70</v>
      </c>
      <c r="F219" s="1" t="s">
        <v>2235</v>
      </c>
      <c r="G219" s="2" t="s">
        <v>71</v>
      </c>
      <c r="H219" s="7" t="s">
        <v>2239</v>
      </c>
      <c r="I219" s="2" t="s">
        <v>116</v>
      </c>
      <c r="J219" s="2" t="s">
        <v>213</v>
      </c>
      <c r="K219" s="7" t="s">
        <v>2240</v>
      </c>
      <c r="L219" s="1" t="s">
        <v>2238</v>
      </c>
      <c r="M219" s="38">
        <v>42440</v>
      </c>
      <c r="N219" s="1" t="s">
        <v>6</v>
      </c>
      <c r="O219" s="1" t="s">
        <v>69</v>
      </c>
    </row>
    <row r="220" spans="1:15" ht="30" x14ac:dyDescent="0.25">
      <c r="A220" s="1"/>
      <c r="B220" s="2" t="s">
        <v>915</v>
      </c>
      <c r="C220" s="2" t="s">
        <v>36</v>
      </c>
      <c r="D220" s="38">
        <v>42439</v>
      </c>
      <c r="E220" s="2" t="s">
        <v>70</v>
      </c>
      <c r="F220" s="1" t="s">
        <v>2235</v>
      </c>
      <c r="G220" s="2" t="s">
        <v>66</v>
      </c>
      <c r="H220" s="7" t="s">
        <v>2241</v>
      </c>
      <c r="I220" s="2" t="s">
        <v>116</v>
      </c>
      <c r="J220" s="2" t="s">
        <v>213</v>
      </c>
      <c r="K220" s="7" t="s">
        <v>2242</v>
      </c>
      <c r="L220" s="1" t="s">
        <v>2238</v>
      </c>
      <c r="M220" s="38">
        <v>42440</v>
      </c>
      <c r="N220" s="1" t="s">
        <v>6</v>
      </c>
      <c r="O220" s="1" t="s">
        <v>69</v>
      </c>
    </row>
    <row r="221" spans="1:15" ht="30" x14ac:dyDescent="0.25">
      <c r="A221" s="1"/>
      <c r="B221" s="2" t="s">
        <v>915</v>
      </c>
      <c r="C221" s="2" t="s">
        <v>36</v>
      </c>
      <c r="D221" s="38">
        <v>42439</v>
      </c>
      <c r="E221" s="2" t="s">
        <v>70</v>
      </c>
      <c r="F221" s="1" t="s">
        <v>2229</v>
      </c>
      <c r="G221" s="2" t="s">
        <v>66</v>
      </c>
      <c r="H221" s="7" t="s">
        <v>2243</v>
      </c>
      <c r="I221" s="2" t="s">
        <v>116</v>
      </c>
      <c r="J221" s="2" t="s">
        <v>213</v>
      </c>
      <c r="K221" s="7" t="s">
        <v>2244</v>
      </c>
      <c r="L221" s="1" t="s">
        <v>2232</v>
      </c>
      <c r="M221" s="38">
        <v>42440</v>
      </c>
      <c r="N221" s="1" t="s">
        <v>6</v>
      </c>
      <c r="O221" s="1" t="s">
        <v>69</v>
      </c>
    </row>
    <row r="222" spans="1:15" x14ac:dyDescent="0.25">
      <c r="A222" s="1"/>
      <c r="B222" s="2" t="s">
        <v>915</v>
      </c>
      <c r="C222" s="2" t="s">
        <v>36</v>
      </c>
      <c r="D222" s="38">
        <v>42439</v>
      </c>
      <c r="E222" s="2" t="s">
        <v>70</v>
      </c>
      <c r="F222" s="1" t="s">
        <v>2229</v>
      </c>
      <c r="G222" s="2" t="s">
        <v>66</v>
      </c>
      <c r="H222" s="7" t="s">
        <v>2245</v>
      </c>
      <c r="I222" s="2" t="s">
        <v>116</v>
      </c>
      <c r="J222" s="2" t="s">
        <v>213</v>
      </c>
      <c r="K222" s="7" t="s">
        <v>2246</v>
      </c>
      <c r="L222" s="1" t="s">
        <v>2232</v>
      </c>
      <c r="M222" s="38">
        <v>42440</v>
      </c>
      <c r="N222" s="1" t="s">
        <v>6</v>
      </c>
      <c r="O222" s="1" t="s">
        <v>69</v>
      </c>
    </row>
    <row r="223" spans="1:15" x14ac:dyDescent="0.25">
      <c r="A223" s="1"/>
      <c r="B223" s="2" t="s">
        <v>913</v>
      </c>
      <c r="C223" s="2" t="s">
        <v>41</v>
      </c>
      <c r="D223" s="38">
        <v>42440</v>
      </c>
      <c r="E223" s="2" t="s">
        <v>70</v>
      </c>
      <c r="F223" s="1" t="s">
        <v>2200</v>
      </c>
      <c r="G223" s="2" t="s">
        <v>71</v>
      </c>
      <c r="H223" s="7" t="s">
        <v>2247</v>
      </c>
      <c r="I223" s="2" t="s">
        <v>171</v>
      </c>
      <c r="J223" s="2" t="s">
        <v>213</v>
      </c>
      <c r="K223" s="7"/>
      <c r="L223" s="1"/>
      <c r="M223" s="38">
        <v>42440</v>
      </c>
      <c r="N223" s="1" t="s">
        <v>6</v>
      </c>
      <c r="O223" s="1" t="s">
        <v>69</v>
      </c>
    </row>
    <row r="224" spans="1:15" x14ac:dyDescent="0.25">
      <c r="A224" s="1"/>
      <c r="B224" s="2" t="s">
        <v>913</v>
      </c>
      <c r="C224" s="2" t="s">
        <v>41</v>
      </c>
      <c r="D224" s="38">
        <v>42441</v>
      </c>
      <c r="E224" s="2" t="s">
        <v>70</v>
      </c>
      <c r="F224" s="1" t="s">
        <v>2829</v>
      </c>
      <c r="G224" s="2" t="s">
        <v>71</v>
      </c>
      <c r="H224" s="7" t="s">
        <v>2248</v>
      </c>
      <c r="I224" s="2" t="s">
        <v>171</v>
      </c>
      <c r="J224" s="2" t="s">
        <v>213</v>
      </c>
      <c r="K224" s="7" t="s">
        <v>2249</v>
      </c>
      <c r="L224" s="1" t="s">
        <v>215</v>
      </c>
      <c r="M224" s="38">
        <v>42441</v>
      </c>
      <c r="N224" s="1" t="s">
        <v>6</v>
      </c>
      <c r="O224" s="1" t="s">
        <v>69</v>
      </c>
    </row>
    <row r="225" spans="1:15" ht="45" x14ac:dyDescent="0.25">
      <c r="A225" s="1"/>
      <c r="B225" s="2" t="s">
        <v>913</v>
      </c>
      <c r="C225" s="2" t="s">
        <v>116</v>
      </c>
      <c r="D225" s="38">
        <v>42443</v>
      </c>
      <c r="E225" s="2" t="s">
        <v>70</v>
      </c>
      <c r="F225" s="1" t="s">
        <v>2250</v>
      </c>
      <c r="G225" s="2" t="s">
        <v>71</v>
      </c>
      <c r="H225" s="7" t="s">
        <v>2462</v>
      </c>
      <c r="I225" s="2" t="s">
        <v>116</v>
      </c>
      <c r="J225" s="2" t="s">
        <v>213</v>
      </c>
      <c r="K225" s="7"/>
      <c r="L225" s="1"/>
      <c r="M225" s="38"/>
      <c r="N225" s="1" t="s">
        <v>6</v>
      </c>
      <c r="O225" s="1" t="s">
        <v>69</v>
      </c>
    </row>
    <row r="226" spans="1:15" ht="60" x14ac:dyDescent="0.25">
      <c r="A226" s="1"/>
      <c r="B226" s="2" t="s">
        <v>915</v>
      </c>
      <c r="C226" s="2" t="s">
        <v>41</v>
      </c>
      <c r="D226" s="38">
        <v>42443</v>
      </c>
      <c r="E226" s="2" t="s">
        <v>70</v>
      </c>
      <c r="F226" s="1" t="s">
        <v>2251</v>
      </c>
      <c r="G226" s="2" t="s">
        <v>66</v>
      </c>
      <c r="H226" s="7" t="s">
        <v>2463</v>
      </c>
      <c r="I226" s="2" t="s">
        <v>1117</v>
      </c>
      <c r="J226" s="2" t="s">
        <v>213</v>
      </c>
      <c r="K226" s="7" t="s">
        <v>2464</v>
      </c>
      <c r="L226" s="1" t="s">
        <v>215</v>
      </c>
      <c r="M226" s="38">
        <v>42443</v>
      </c>
      <c r="N226" s="1" t="s">
        <v>6</v>
      </c>
      <c r="O226" s="1" t="s">
        <v>69</v>
      </c>
    </row>
    <row r="227" spans="1:15" ht="30" x14ac:dyDescent="0.25">
      <c r="A227" s="1"/>
      <c r="B227" s="2" t="s">
        <v>915</v>
      </c>
      <c r="C227" s="2" t="s">
        <v>41</v>
      </c>
      <c r="D227" s="38">
        <v>42443</v>
      </c>
      <c r="E227" s="2" t="s">
        <v>70</v>
      </c>
      <c r="F227" s="1" t="s">
        <v>2251</v>
      </c>
      <c r="G227" s="2" t="s">
        <v>66</v>
      </c>
      <c r="H227" s="7" t="s">
        <v>2465</v>
      </c>
      <c r="I227" s="2" t="s">
        <v>1117</v>
      </c>
      <c r="J227" s="2" t="s">
        <v>213</v>
      </c>
      <c r="K227" s="7" t="s">
        <v>2466</v>
      </c>
      <c r="L227" s="1" t="s">
        <v>215</v>
      </c>
      <c r="M227" s="38">
        <v>42443</v>
      </c>
      <c r="N227" s="1" t="s">
        <v>6</v>
      </c>
      <c r="O227" s="1" t="s">
        <v>69</v>
      </c>
    </row>
    <row r="228" spans="1:15" ht="30" x14ac:dyDescent="0.25">
      <c r="A228" s="1"/>
      <c r="B228" s="2" t="s">
        <v>915</v>
      </c>
      <c r="C228" s="2" t="s">
        <v>41</v>
      </c>
      <c r="D228" s="38">
        <v>42443</v>
      </c>
      <c r="E228" s="2" t="s">
        <v>70</v>
      </c>
      <c r="F228" s="1" t="s">
        <v>2251</v>
      </c>
      <c r="G228" s="2" t="s">
        <v>66</v>
      </c>
      <c r="H228" s="7" t="s">
        <v>2467</v>
      </c>
      <c r="I228" s="2" t="s">
        <v>1117</v>
      </c>
      <c r="J228" s="2" t="s">
        <v>213</v>
      </c>
      <c r="K228" s="7" t="s">
        <v>2468</v>
      </c>
      <c r="L228" s="1" t="s">
        <v>215</v>
      </c>
      <c r="M228" s="38">
        <v>42443</v>
      </c>
      <c r="N228" s="1" t="s">
        <v>6</v>
      </c>
      <c r="O228" s="1" t="s">
        <v>69</v>
      </c>
    </row>
    <row r="229" spans="1:15" x14ac:dyDescent="0.25">
      <c r="A229" s="1"/>
      <c r="B229" s="2" t="s">
        <v>911</v>
      </c>
      <c r="C229" s="2" t="s">
        <v>43</v>
      </c>
      <c r="D229" s="38">
        <v>42443</v>
      </c>
      <c r="E229" s="2" t="s">
        <v>70</v>
      </c>
      <c r="F229" s="1" t="s">
        <v>2252</v>
      </c>
      <c r="G229" s="2" t="s">
        <v>71</v>
      </c>
      <c r="H229" s="7" t="s">
        <v>2253</v>
      </c>
      <c r="I229" s="2" t="s">
        <v>118</v>
      </c>
      <c r="J229" s="2" t="s">
        <v>213</v>
      </c>
      <c r="K229" s="7"/>
      <c r="L229" s="1" t="s">
        <v>2254</v>
      </c>
      <c r="M229" s="38">
        <v>42443</v>
      </c>
      <c r="N229" s="1" t="s">
        <v>6</v>
      </c>
      <c r="O229" s="1" t="s">
        <v>69</v>
      </c>
    </row>
    <row r="230" spans="1:15" x14ac:dyDescent="0.25">
      <c r="A230" s="1"/>
      <c r="B230" s="2" t="s">
        <v>913</v>
      </c>
      <c r="C230" s="2" t="s">
        <v>41</v>
      </c>
      <c r="D230" s="38">
        <v>42443</v>
      </c>
      <c r="E230" s="2" t="s">
        <v>70</v>
      </c>
      <c r="F230" s="1" t="s">
        <v>2211</v>
      </c>
      <c r="G230" s="2" t="s">
        <v>71</v>
      </c>
      <c r="H230" s="7" t="s">
        <v>2255</v>
      </c>
      <c r="I230" s="2" t="s">
        <v>171</v>
      </c>
      <c r="J230" s="2" t="s">
        <v>213</v>
      </c>
      <c r="K230" s="7"/>
      <c r="L230" s="1" t="s">
        <v>2142</v>
      </c>
      <c r="M230" s="38">
        <v>42443</v>
      </c>
      <c r="N230" s="1" t="s">
        <v>6</v>
      </c>
      <c r="O230" s="1" t="s">
        <v>69</v>
      </c>
    </row>
    <row r="231" spans="1:15" x14ac:dyDescent="0.25">
      <c r="A231" s="1"/>
      <c r="B231" s="2" t="s">
        <v>909</v>
      </c>
      <c r="C231" s="2" t="s">
        <v>116</v>
      </c>
      <c r="D231" s="38">
        <v>42443</v>
      </c>
      <c r="E231" s="2" t="s">
        <v>70</v>
      </c>
      <c r="F231" s="1" t="s">
        <v>2256</v>
      </c>
      <c r="G231" s="2" t="s">
        <v>66</v>
      </c>
      <c r="H231" s="7" t="s">
        <v>2257</v>
      </c>
      <c r="I231" s="2" t="s">
        <v>41</v>
      </c>
      <c r="J231" s="2" t="s">
        <v>213</v>
      </c>
      <c r="K231" s="7" t="s">
        <v>2258</v>
      </c>
      <c r="L231" s="1" t="s">
        <v>2259</v>
      </c>
      <c r="M231" s="38">
        <v>42444</v>
      </c>
      <c r="N231" s="1" t="s">
        <v>6</v>
      </c>
      <c r="O231" s="1" t="s">
        <v>69</v>
      </c>
    </row>
    <row r="232" spans="1:15" x14ac:dyDescent="0.25">
      <c r="A232" s="1"/>
      <c r="B232" s="2" t="s">
        <v>909</v>
      </c>
      <c r="C232" s="2" t="s">
        <v>116</v>
      </c>
      <c r="D232" s="38">
        <v>42443</v>
      </c>
      <c r="E232" s="2" t="s">
        <v>70</v>
      </c>
      <c r="F232" s="1" t="s">
        <v>2256</v>
      </c>
      <c r="G232" s="2" t="s">
        <v>71</v>
      </c>
      <c r="H232" s="7" t="s">
        <v>2260</v>
      </c>
      <c r="I232" s="2" t="s">
        <v>41</v>
      </c>
      <c r="J232" s="2" t="s">
        <v>213</v>
      </c>
      <c r="K232" s="7"/>
      <c r="L232" s="1"/>
      <c r="M232" s="38"/>
      <c r="N232" s="1" t="s">
        <v>6</v>
      </c>
      <c r="O232" s="1" t="s">
        <v>69</v>
      </c>
    </row>
    <row r="233" spans="1:15" ht="30" x14ac:dyDescent="0.25">
      <c r="A233" s="1"/>
      <c r="B233" s="2" t="s">
        <v>697</v>
      </c>
      <c r="C233" s="2" t="s">
        <v>143</v>
      </c>
      <c r="D233" s="38">
        <v>42443</v>
      </c>
      <c r="E233" s="2" t="s">
        <v>34</v>
      </c>
      <c r="F233" s="1" t="s">
        <v>2261</v>
      </c>
      <c r="G233" s="2" t="s">
        <v>66</v>
      </c>
      <c r="H233" s="7" t="s">
        <v>2262</v>
      </c>
      <c r="I233" s="2" t="s">
        <v>116</v>
      </c>
      <c r="J233" s="2" t="s">
        <v>213</v>
      </c>
      <c r="K233" s="7" t="s">
        <v>3988</v>
      </c>
      <c r="L233" s="1" t="s">
        <v>215</v>
      </c>
      <c r="M233" s="38">
        <v>42451</v>
      </c>
      <c r="N233" s="1" t="s">
        <v>6</v>
      </c>
      <c r="O233" s="1" t="s">
        <v>69</v>
      </c>
    </row>
    <row r="234" spans="1:15" x14ac:dyDescent="0.25">
      <c r="A234" s="1"/>
      <c r="B234" s="2" t="s">
        <v>697</v>
      </c>
      <c r="C234" s="2" t="s">
        <v>143</v>
      </c>
      <c r="D234" s="38">
        <v>42443</v>
      </c>
      <c r="E234" s="2" t="s">
        <v>34</v>
      </c>
      <c r="F234" s="1" t="s">
        <v>2261</v>
      </c>
      <c r="G234" s="2" t="s">
        <v>66</v>
      </c>
      <c r="H234" s="7" t="s">
        <v>2469</v>
      </c>
      <c r="I234" s="2" t="s">
        <v>116</v>
      </c>
      <c r="J234" s="2" t="s">
        <v>213</v>
      </c>
      <c r="K234" s="7" t="s">
        <v>3989</v>
      </c>
      <c r="L234" s="1"/>
      <c r="M234" s="38">
        <v>42451</v>
      </c>
      <c r="N234" s="1" t="s">
        <v>6</v>
      </c>
      <c r="O234" s="1" t="s">
        <v>69</v>
      </c>
    </row>
    <row r="235" spans="1:15" x14ac:dyDescent="0.25">
      <c r="A235" s="1"/>
      <c r="B235" s="2" t="s">
        <v>913</v>
      </c>
      <c r="C235" s="2" t="s">
        <v>171</v>
      </c>
      <c r="D235" s="38">
        <v>42444</v>
      </c>
      <c r="E235" s="2" t="s">
        <v>64</v>
      </c>
      <c r="F235" s="1" t="s">
        <v>2263</v>
      </c>
      <c r="G235" s="2" t="s">
        <v>71</v>
      </c>
      <c r="H235" s="7" t="s">
        <v>2264</v>
      </c>
      <c r="I235" s="2" t="s">
        <v>116</v>
      </c>
      <c r="J235" s="2" t="s">
        <v>213</v>
      </c>
      <c r="K235" s="7"/>
      <c r="L235" s="1"/>
      <c r="M235" s="38">
        <v>42444</v>
      </c>
      <c r="N235" s="1" t="s">
        <v>6</v>
      </c>
      <c r="O235" s="1" t="s">
        <v>69</v>
      </c>
    </row>
    <row r="236" spans="1:15" x14ac:dyDescent="0.25">
      <c r="A236" s="1"/>
      <c r="B236" s="2" t="s">
        <v>909</v>
      </c>
      <c r="C236" s="2" t="s">
        <v>36</v>
      </c>
      <c r="D236" s="38">
        <v>42444</v>
      </c>
      <c r="E236" s="2" t="s">
        <v>70</v>
      </c>
      <c r="F236" s="1" t="s">
        <v>2265</v>
      </c>
      <c r="G236" s="2" t="s">
        <v>71</v>
      </c>
      <c r="H236" s="7" t="s">
        <v>2266</v>
      </c>
      <c r="I236" s="2" t="s">
        <v>1061</v>
      </c>
      <c r="J236" s="2" t="s">
        <v>213</v>
      </c>
      <c r="K236" s="7" t="s">
        <v>2267</v>
      </c>
      <c r="L236" s="1" t="s">
        <v>2142</v>
      </c>
      <c r="M236" s="38">
        <v>42444</v>
      </c>
      <c r="N236" s="1" t="s">
        <v>6</v>
      </c>
      <c r="O236" s="1" t="s">
        <v>69</v>
      </c>
    </row>
    <row r="237" spans="1:15" x14ac:dyDescent="0.25">
      <c r="A237" s="1"/>
      <c r="B237" s="2" t="s">
        <v>697</v>
      </c>
      <c r="C237" s="2" t="s">
        <v>454</v>
      </c>
      <c r="D237" s="38">
        <v>42444</v>
      </c>
      <c r="E237" s="2" t="s">
        <v>34</v>
      </c>
      <c r="F237" s="1" t="s">
        <v>2268</v>
      </c>
      <c r="G237" s="2" t="s">
        <v>66</v>
      </c>
      <c r="H237" s="7" t="s">
        <v>2269</v>
      </c>
      <c r="I237" s="2" t="s">
        <v>124</v>
      </c>
      <c r="J237" s="2" t="s">
        <v>213</v>
      </c>
      <c r="K237" s="7" t="s">
        <v>2270</v>
      </c>
      <c r="L237" s="1"/>
      <c r="M237" s="38"/>
      <c r="N237" s="1" t="s">
        <v>6</v>
      </c>
      <c r="O237" s="1" t="s">
        <v>69</v>
      </c>
    </row>
    <row r="238" spans="1:15" x14ac:dyDescent="0.25">
      <c r="A238" s="1"/>
      <c r="B238" s="2" t="s">
        <v>697</v>
      </c>
      <c r="C238" s="2" t="s">
        <v>454</v>
      </c>
      <c r="D238" s="38">
        <v>42444</v>
      </c>
      <c r="E238" s="2" t="s">
        <v>34</v>
      </c>
      <c r="F238" s="1" t="s">
        <v>2268</v>
      </c>
      <c r="G238" s="2" t="s">
        <v>71</v>
      </c>
      <c r="H238" s="7" t="s">
        <v>2470</v>
      </c>
      <c r="I238" s="2" t="s">
        <v>124</v>
      </c>
      <c r="J238" s="2" t="s">
        <v>213</v>
      </c>
      <c r="K238" s="7" t="s">
        <v>2271</v>
      </c>
      <c r="L238" s="1"/>
      <c r="M238" s="38"/>
      <c r="N238" s="1" t="s">
        <v>6</v>
      </c>
      <c r="O238" s="1" t="s">
        <v>69</v>
      </c>
    </row>
    <row r="239" spans="1:15" ht="30" x14ac:dyDescent="0.25">
      <c r="A239" s="1"/>
      <c r="B239" s="2" t="s">
        <v>697</v>
      </c>
      <c r="C239" s="2" t="s">
        <v>454</v>
      </c>
      <c r="D239" s="38">
        <v>42444</v>
      </c>
      <c r="E239" s="2" t="s">
        <v>34</v>
      </c>
      <c r="F239" s="1" t="s">
        <v>2268</v>
      </c>
      <c r="G239" s="2" t="s">
        <v>71</v>
      </c>
      <c r="H239" s="7" t="s">
        <v>2471</v>
      </c>
      <c r="I239" s="2" t="s">
        <v>124</v>
      </c>
      <c r="J239" s="2" t="s">
        <v>213</v>
      </c>
      <c r="K239" s="7" t="s">
        <v>2472</v>
      </c>
      <c r="L239" s="1"/>
      <c r="M239" s="38"/>
      <c r="N239" s="1" t="s">
        <v>6</v>
      </c>
      <c r="O239" s="1" t="s">
        <v>69</v>
      </c>
    </row>
    <row r="240" spans="1:15" ht="30" x14ac:dyDescent="0.25">
      <c r="A240" s="1"/>
      <c r="B240" s="2" t="s">
        <v>697</v>
      </c>
      <c r="C240" s="2" t="s">
        <v>454</v>
      </c>
      <c r="D240" s="38">
        <v>42444</v>
      </c>
      <c r="E240" s="2" t="s">
        <v>34</v>
      </c>
      <c r="F240" s="1" t="s">
        <v>2268</v>
      </c>
      <c r="G240" s="2" t="s">
        <v>66</v>
      </c>
      <c r="H240" s="7" t="s">
        <v>2473</v>
      </c>
      <c r="I240" s="2" t="s">
        <v>124</v>
      </c>
      <c r="J240" s="2" t="s">
        <v>213</v>
      </c>
      <c r="K240" s="7" t="s">
        <v>2474</v>
      </c>
      <c r="L240" s="1"/>
      <c r="M240" s="38"/>
      <c r="N240" s="1" t="s">
        <v>6</v>
      </c>
      <c r="O240" s="1" t="s">
        <v>69</v>
      </c>
    </row>
    <row r="241" spans="1:15" ht="30" x14ac:dyDescent="0.25">
      <c r="A241" s="1"/>
      <c r="B241" s="2" t="s">
        <v>697</v>
      </c>
      <c r="C241" s="2" t="s">
        <v>454</v>
      </c>
      <c r="D241" s="38">
        <v>42444</v>
      </c>
      <c r="E241" s="2" t="s">
        <v>34</v>
      </c>
      <c r="F241" s="1" t="s">
        <v>2272</v>
      </c>
      <c r="G241" s="2" t="s">
        <v>66</v>
      </c>
      <c r="H241" s="7" t="s">
        <v>2475</v>
      </c>
      <c r="I241" s="2" t="s">
        <v>124</v>
      </c>
      <c r="J241" s="2" t="s">
        <v>213</v>
      </c>
      <c r="K241" s="7" t="s">
        <v>2273</v>
      </c>
      <c r="L241" s="1"/>
      <c r="M241" s="38"/>
      <c r="N241" s="1" t="s">
        <v>6</v>
      </c>
      <c r="O241" s="1" t="s">
        <v>69</v>
      </c>
    </row>
    <row r="242" spans="1:15" ht="30" x14ac:dyDescent="0.25">
      <c r="A242" s="1"/>
      <c r="B242" s="2" t="s">
        <v>697</v>
      </c>
      <c r="C242" s="2" t="s">
        <v>454</v>
      </c>
      <c r="D242" s="38">
        <v>42444</v>
      </c>
      <c r="E242" s="2" t="s">
        <v>34</v>
      </c>
      <c r="F242" s="1" t="s">
        <v>2272</v>
      </c>
      <c r="G242" s="2" t="s">
        <v>66</v>
      </c>
      <c r="H242" s="7" t="s">
        <v>2476</v>
      </c>
      <c r="I242" s="2" t="s">
        <v>124</v>
      </c>
      <c r="J242" s="2" t="s">
        <v>213</v>
      </c>
      <c r="K242" s="7" t="s">
        <v>2274</v>
      </c>
      <c r="L242" s="1"/>
      <c r="M242" s="38"/>
      <c r="N242" s="1" t="s">
        <v>6</v>
      </c>
      <c r="O242" s="1" t="s">
        <v>69</v>
      </c>
    </row>
    <row r="243" spans="1:15" x14ac:dyDescent="0.25">
      <c r="A243" s="1"/>
      <c r="B243" s="2" t="s">
        <v>697</v>
      </c>
      <c r="C243" s="2" t="s">
        <v>454</v>
      </c>
      <c r="D243" s="38">
        <v>42444</v>
      </c>
      <c r="E243" s="2" t="s">
        <v>34</v>
      </c>
      <c r="F243" s="1" t="s">
        <v>2275</v>
      </c>
      <c r="G243" s="2" t="s">
        <v>71</v>
      </c>
      <c r="H243" s="7" t="s">
        <v>2276</v>
      </c>
      <c r="I243" s="2" t="s">
        <v>124</v>
      </c>
      <c r="J243" s="2" t="s">
        <v>213</v>
      </c>
      <c r="K243" s="7" t="s">
        <v>2277</v>
      </c>
      <c r="L243" s="1" t="s">
        <v>2278</v>
      </c>
      <c r="M243" s="38">
        <v>42447</v>
      </c>
      <c r="N243" s="1" t="s">
        <v>6</v>
      </c>
      <c r="O243" s="1" t="s">
        <v>69</v>
      </c>
    </row>
    <row r="244" spans="1:15" x14ac:dyDescent="0.25">
      <c r="A244" s="1"/>
      <c r="B244" s="2" t="s">
        <v>911</v>
      </c>
      <c r="C244" s="2" t="s">
        <v>78</v>
      </c>
      <c r="D244" s="38">
        <v>42444</v>
      </c>
      <c r="E244" s="2" t="s">
        <v>70</v>
      </c>
      <c r="F244" s="1" t="s">
        <v>2279</v>
      </c>
      <c r="G244" s="2" t="s">
        <v>71</v>
      </c>
      <c r="H244" s="7" t="s">
        <v>2280</v>
      </c>
      <c r="I244" s="2" t="s">
        <v>1117</v>
      </c>
      <c r="J244" s="2" t="s">
        <v>213</v>
      </c>
      <c r="K244" s="7" t="s">
        <v>2477</v>
      </c>
      <c r="L244" s="1"/>
      <c r="M244" s="38">
        <v>42444</v>
      </c>
      <c r="N244" s="1" t="s">
        <v>6</v>
      </c>
      <c r="O244" s="1" t="s">
        <v>69</v>
      </c>
    </row>
    <row r="245" spans="1:15" x14ac:dyDescent="0.25">
      <c r="A245" s="1"/>
      <c r="B245" s="2" t="s">
        <v>911</v>
      </c>
      <c r="C245" s="2" t="s">
        <v>78</v>
      </c>
      <c r="D245" s="38">
        <v>42444</v>
      </c>
      <c r="E245" s="2" t="s">
        <v>70</v>
      </c>
      <c r="F245" s="1" t="s">
        <v>2279</v>
      </c>
      <c r="G245" s="2" t="s">
        <v>66</v>
      </c>
      <c r="H245" s="7" t="s">
        <v>2281</v>
      </c>
      <c r="I245" s="2" t="s">
        <v>1117</v>
      </c>
      <c r="J245" s="2" t="s">
        <v>213</v>
      </c>
      <c r="K245" s="7" t="s">
        <v>2282</v>
      </c>
      <c r="L245" s="1"/>
      <c r="M245" s="38">
        <v>42444</v>
      </c>
      <c r="N245" s="1" t="s">
        <v>6</v>
      </c>
      <c r="O245" s="1" t="s">
        <v>69</v>
      </c>
    </row>
    <row r="246" spans="1:15" x14ac:dyDescent="0.25">
      <c r="A246" s="1"/>
      <c r="B246" s="2" t="s">
        <v>911</v>
      </c>
      <c r="C246" s="2" t="s">
        <v>78</v>
      </c>
      <c r="D246" s="38">
        <v>42444</v>
      </c>
      <c r="E246" s="2" t="s">
        <v>70</v>
      </c>
      <c r="F246" s="1" t="s">
        <v>2283</v>
      </c>
      <c r="G246" s="2" t="s">
        <v>66</v>
      </c>
      <c r="H246" s="7" t="s">
        <v>2284</v>
      </c>
      <c r="I246" s="2" t="s">
        <v>1117</v>
      </c>
      <c r="J246" s="2" t="s">
        <v>213</v>
      </c>
      <c r="K246" s="7" t="s">
        <v>2285</v>
      </c>
      <c r="L246" s="1"/>
      <c r="M246" s="38">
        <v>42444</v>
      </c>
      <c r="N246" s="1" t="s">
        <v>6</v>
      </c>
      <c r="O246" s="1" t="s">
        <v>69</v>
      </c>
    </row>
    <row r="247" spans="1:15" x14ac:dyDescent="0.25">
      <c r="A247" s="1"/>
      <c r="B247" s="2" t="s">
        <v>911</v>
      </c>
      <c r="C247" s="2" t="s">
        <v>78</v>
      </c>
      <c r="D247" s="38">
        <v>42444</v>
      </c>
      <c r="E247" s="2" t="s">
        <v>70</v>
      </c>
      <c r="F247" s="1" t="s">
        <v>2283</v>
      </c>
      <c r="G247" s="2" t="s">
        <v>71</v>
      </c>
      <c r="H247" s="7" t="s">
        <v>2478</v>
      </c>
      <c r="I247" s="2" t="s">
        <v>1117</v>
      </c>
      <c r="J247" s="2" t="s">
        <v>213</v>
      </c>
      <c r="K247" s="7" t="s">
        <v>2286</v>
      </c>
      <c r="L247" s="1"/>
      <c r="M247" s="38">
        <v>42444</v>
      </c>
      <c r="N247" s="1" t="s">
        <v>6</v>
      </c>
      <c r="O247" s="1" t="s">
        <v>69</v>
      </c>
    </row>
    <row r="248" spans="1:15" x14ac:dyDescent="0.25">
      <c r="A248" s="1"/>
      <c r="B248" s="2" t="s">
        <v>697</v>
      </c>
      <c r="C248" s="2" t="s">
        <v>143</v>
      </c>
      <c r="D248" s="38">
        <v>42444</v>
      </c>
      <c r="E248" s="2" t="s">
        <v>34</v>
      </c>
      <c r="F248" s="1" t="s">
        <v>2261</v>
      </c>
      <c r="G248" s="2" t="s">
        <v>66</v>
      </c>
      <c r="H248" s="7" t="s">
        <v>2287</v>
      </c>
      <c r="I248" s="2" t="s">
        <v>116</v>
      </c>
      <c r="J248" s="2" t="s">
        <v>213</v>
      </c>
      <c r="K248" s="7" t="s">
        <v>3990</v>
      </c>
      <c r="L248" s="1" t="s">
        <v>215</v>
      </c>
      <c r="M248" s="38">
        <v>42451</v>
      </c>
      <c r="N248" s="1" t="s">
        <v>6</v>
      </c>
      <c r="O248" s="1" t="s">
        <v>69</v>
      </c>
    </row>
    <row r="249" spans="1:15" x14ac:dyDescent="0.25">
      <c r="A249" s="1"/>
      <c r="B249" s="2" t="s">
        <v>697</v>
      </c>
      <c r="C249" s="2" t="s">
        <v>143</v>
      </c>
      <c r="D249" s="38">
        <v>42444</v>
      </c>
      <c r="E249" s="2" t="s">
        <v>34</v>
      </c>
      <c r="F249" s="1" t="s">
        <v>2261</v>
      </c>
      <c r="G249" s="2" t="s">
        <v>66</v>
      </c>
      <c r="H249" s="7" t="s">
        <v>2288</v>
      </c>
      <c r="I249" s="2" t="s">
        <v>116</v>
      </c>
      <c r="J249" s="2" t="s">
        <v>213</v>
      </c>
      <c r="K249" s="7" t="s">
        <v>4268</v>
      </c>
      <c r="L249" s="1"/>
      <c r="M249" s="38">
        <v>42451</v>
      </c>
      <c r="N249" s="1" t="s">
        <v>6</v>
      </c>
      <c r="O249" s="1" t="s">
        <v>69</v>
      </c>
    </row>
    <row r="250" spans="1:15" x14ac:dyDescent="0.25">
      <c r="A250" s="1"/>
      <c r="B250" s="2" t="s">
        <v>915</v>
      </c>
      <c r="C250" s="2" t="s">
        <v>78</v>
      </c>
      <c r="D250" s="38">
        <v>42445</v>
      </c>
      <c r="E250" s="2" t="s">
        <v>70</v>
      </c>
      <c r="F250" s="1" t="s">
        <v>2289</v>
      </c>
      <c r="G250" s="2" t="s">
        <v>66</v>
      </c>
      <c r="H250" s="7" t="s">
        <v>2290</v>
      </c>
      <c r="I250" s="2" t="s">
        <v>1117</v>
      </c>
      <c r="J250" s="2" t="s">
        <v>213</v>
      </c>
      <c r="K250" s="7" t="s">
        <v>2291</v>
      </c>
      <c r="L250" s="1" t="s">
        <v>3991</v>
      </c>
      <c r="M250" s="38">
        <v>42460</v>
      </c>
      <c r="N250" s="1" t="s">
        <v>6</v>
      </c>
      <c r="O250" s="1" t="s">
        <v>69</v>
      </c>
    </row>
    <row r="251" spans="1:15" x14ac:dyDescent="0.25">
      <c r="A251" s="1"/>
      <c r="B251" s="2" t="s">
        <v>581</v>
      </c>
      <c r="C251" s="2" t="s">
        <v>116</v>
      </c>
      <c r="D251" s="38">
        <v>42445</v>
      </c>
      <c r="E251" s="2" t="s">
        <v>70</v>
      </c>
      <c r="F251" s="1" t="s">
        <v>2252</v>
      </c>
      <c r="G251" s="2" t="s">
        <v>71</v>
      </c>
      <c r="H251" s="7" t="s">
        <v>2292</v>
      </c>
      <c r="I251" s="2" t="s">
        <v>118</v>
      </c>
      <c r="J251" s="2" t="s">
        <v>213</v>
      </c>
      <c r="K251" s="7"/>
      <c r="L251" s="1" t="s">
        <v>2116</v>
      </c>
      <c r="M251" s="38">
        <v>42444</v>
      </c>
      <c r="N251" s="1" t="s">
        <v>6</v>
      </c>
      <c r="O251" s="1" t="s">
        <v>69</v>
      </c>
    </row>
    <row r="252" spans="1:15" x14ac:dyDescent="0.25">
      <c r="A252" s="1"/>
      <c r="B252" s="2" t="s">
        <v>911</v>
      </c>
      <c r="C252" s="2" t="s">
        <v>41</v>
      </c>
      <c r="D252" s="38">
        <v>42445</v>
      </c>
      <c r="E252" s="2" t="s">
        <v>70</v>
      </c>
      <c r="F252" s="1" t="s">
        <v>2293</v>
      </c>
      <c r="G252" s="2" t="s">
        <v>71</v>
      </c>
      <c r="H252" s="7" t="s">
        <v>2294</v>
      </c>
      <c r="I252" s="2" t="s">
        <v>1117</v>
      </c>
      <c r="J252" s="2" t="s">
        <v>213</v>
      </c>
      <c r="K252" s="7"/>
      <c r="L252" s="1" t="s">
        <v>2116</v>
      </c>
      <c r="M252" s="38">
        <v>42445</v>
      </c>
      <c r="N252" s="1" t="s">
        <v>6</v>
      </c>
      <c r="O252" s="1" t="s">
        <v>69</v>
      </c>
    </row>
    <row r="253" spans="1:15" ht="30" x14ac:dyDescent="0.25">
      <c r="A253" s="1"/>
      <c r="B253" s="2" t="s">
        <v>697</v>
      </c>
      <c r="C253" s="2" t="s">
        <v>454</v>
      </c>
      <c r="D253" s="38">
        <v>42445</v>
      </c>
      <c r="E253" s="2" t="s">
        <v>34</v>
      </c>
      <c r="F253" s="1" t="s">
        <v>2295</v>
      </c>
      <c r="G253" s="2" t="s">
        <v>71</v>
      </c>
      <c r="H253" s="7" t="s">
        <v>2479</v>
      </c>
      <c r="I253" s="2" t="s">
        <v>124</v>
      </c>
      <c r="J253" s="2" t="s">
        <v>213</v>
      </c>
      <c r="K253" s="7" t="s">
        <v>2296</v>
      </c>
      <c r="L253" s="1" t="s">
        <v>2297</v>
      </c>
      <c r="M253" s="38">
        <v>42447</v>
      </c>
      <c r="N253" s="1" t="s">
        <v>6</v>
      </c>
      <c r="O253" s="1" t="s">
        <v>69</v>
      </c>
    </row>
    <row r="254" spans="1:15" x14ac:dyDescent="0.25">
      <c r="A254" s="1"/>
      <c r="B254" s="2" t="s">
        <v>697</v>
      </c>
      <c r="C254" s="2" t="s">
        <v>454</v>
      </c>
      <c r="D254" s="38">
        <v>42445</v>
      </c>
      <c r="E254" s="2" t="s">
        <v>34</v>
      </c>
      <c r="F254" s="1" t="s">
        <v>2298</v>
      </c>
      <c r="G254" s="2" t="s">
        <v>71</v>
      </c>
      <c r="H254" s="7" t="s">
        <v>2299</v>
      </c>
      <c r="I254" s="2" t="s">
        <v>124</v>
      </c>
      <c r="J254" s="2" t="s">
        <v>213</v>
      </c>
      <c r="K254" s="7" t="s">
        <v>2300</v>
      </c>
      <c r="L254" s="1" t="s">
        <v>2301</v>
      </c>
      <c r="M254" s="38">
        <v>42447</v>
      </c>
      <c r="N254" s="1" t="s">
        <v>6</v>
      </c>
      <c r="O254" s="1" t="s">
        <v>69</v>
      </c>
    </row>
    <row r="255" spans="1:15" x14ac:dyDescent="0.25">
      <c r="A255" s="1"/>
      <c r="B255" s="2" t="s">
        <v>697</v>
      </c>
      <c r="C255" s="2" t="s">
        <v>454</v>
      </c>
      <c r="D255" s="38">
        <v>42445</v>
      </c>
      <c r="E255" s="2" t="s">
        <v>34</v>
      </c>
      <c r="F255" s="1" t="s">
        <v>2298</v>
      </c>
      <c r="G255" s="2" t="s">
        <v>71</v>
      </c>
      <c r="H255" s="7" t="s">
        <v>2302</v>
      </c>
      <c r="I255" s="2" t="s">
        <v>124</v>
      </c>
      <c r="J255" s="2" t="s">
        <v>213</v>
      </c>
      <c r="K255" s="7" t="s">
        <v>2303</v>
      </c>
      <c r="L255" s="1" t="s">
        <v>2301</v>
      </c>
      <c r="M255" s="38">
        <v>42447</v>
      </c>
      <c r="N255" s="1" t="s">
        <v>6</v>
      </c>
      <c r="O255" s="1" t="s">
        <v>69</v>
      </c>
    </row>
    <row r="256" spans="1:15" x14ac:dyDescent="0.25">
      <c r="A256" s="1"/>
      <c r="B256" s="2" t="s">
        <v>697</v>
      </c>
      <c r="C256" s="2" t="s">
        <v>454</v>
      </c>
      <c r="D256" s="38">
        <v>42445</v>
      </c>
      <c r="E256" s="2" t="s">
        <v>34</v>
      </c>
      <c r="F256" s="1" t="s">
        <v>2298</v>
      </c>
      <c r="G256" s="2" t="s">
        <v>71</v>
      </c>
      <c r="H256" s="7" t="s">
        <v>2304</v>
      </c>
      <c r="I256" s="2" t="s">
        <v>124</v>
      </c>
      <c r="J256" s="2" t="s">
        <v>213</v>
      </c>
      <c r="K256" s="7" t="s">
        <v>2305</v>
      </c>
      <c r="L256" s="1" t="s">
        <v>2301</v>
      </c>
      <c r="M256" s="38">
        <v>42447</v>
      </c>
      <c r="N256" s="1" t="s">
        <v>6</v>
      </c>
      <c r="O256" s="1" t="s">
        <v>69</v>
      </c>
    </row>
    <row r="257" spans="1:15" x14ac:dyDescent="0.25">
      <c r="A257" s="1"/>
      <c r="B257" s="2" t="s">
        <v>697</v>
      </c>
      <c r="C257" s="2" t="s">
        <v>454</v>
      </c>
      <c r="D257" s="38">
        <v>42445</v>
      </c>
      <c r="E257" s="2" t="s">
        <v>34</v>
      </c>
      <c r="F257" s="1" t="s">
        <v>2298</v>
      </c>
      <c r="G257" s="2" t="s">
        <v>71</v>
      </c>
      <c r="H257" s="7" t="s">
        <v>2306</v>
      </c>
      <c r="I257" s="2" t="s">
        <v>124</v>
      </c>
      <c r="J257" s="2" t="s">
        <v>213</v>
      </c>
      <c r="K257" s="7" t="s">
        <v>2307</v>
      </c>
      <c r="L257" s="1" t="s">
        <v>2301</v>
      </c>
      <c r="M257" s="38">
        <v>42447</v>
      </c>
      <c r="N257" s="1" t="s">
        <v>6</v>
      </c>
      <c r="O257" s="1" t="s">
        <v>69</v>
      </c>
    </row>
    <row r="258" spans="1:15" x14ac:dyDescent="0.25">
      <c r="A258" s="1"/>
      <c r="B258" s="2" t="s">
        <v>697</v>
      </c>
      <c r="C258" s="2" t="s">
        <v>454</v>
      </c>
      <c r="D258" s="38">
        <v>42445</v>
      </c>
      <c r="E258" s="2" t="s">
        <v>34</v>
      </c>
      <c r="F258" s="1" t="s">
        <v>2298</v>
      </c>
      <c r="G258" s="2" t="s">
        <v>71</v>
      </c>
      <c r="H258" s="7" t="s">
        <v>2308</v>
      </c>
      <c r="I258" s="2" t="s">
        <v>124</v>
      </c>
      <c r="J258" s="2" t="s">
        <v>213</v>
      </c>
      <c r="K258" s="7" t="s">
        <v>2309</v>
      </c>
      <c r="L258" s="1" t="s">
        <v>2301</v>
      </c>
      <c r="M258" s="38">
        <v>42447</v>
      </c>
      <c r="N258" s="1" t="s">
        <v>6</v>
      </c>
      <c r="O258" s="1" t="s">
        <v>69</v>
      </c>
    </row>
    <row r="259" spans="1:15" x14ac:dyDescent="0.25">
      <c r="A259" s="1"/>
      <c r="B259" s="2" t="s">
        <v>697</v>
      </c>
      <c r="C259" s="2" t="s">
        <v>454</v>
      </c>
      <c r="D259" s="38">
        <v>42445</v>
      </c>
      <c r="E259" s="2" t="s">
        <v>34</v>
      </c>
      <c r="F259" s="1" t="s">
        <v>2298</v>
      </c>
      <c r="G259" s="2" t="s">
        <v>71</v>
      </c>
      <c r="H259" s="7" t="s">
        <v>2310</v>
      </c>
      <c r="I259" s="2" t="s">
        <v>124</v>
      </c>
      <c r="J259" s="2" t="s">
        <v>213</v>
      </c>
      <c r="K259" s="7" t="s">
        <v>2307</v>
      </c>
      <c r="L259" s="1" t="s">
        <v>2301</v>
      </c>
      <c r="M259" s="38">
        <v>42447</v>
      </c>
      <c r="N259" s="1" t="s">
        <v>6</v>
      </c>
      <c r="O259" s="1" t="s">
        <v>69</v>
      </c>
    </row>
    <row r="260" spans="1:15" x14ac:dyDescent="0.25">
      <c r="A260" s="1"/>
      <c r="B260" s="2" t="s">
        <v>697</v>
      </c>
      <c r="C260" s="2" t="s">
        <v>454</v>
      </c>
      <c r="D260" s="38">
        <v>42445</v>
      </c>
      <c r="E260" s="2" t="s">
        <v>34</v>
      </c>
      <c r="F260" s="1" t="s">
        <v>2298</v>
      </c>
      <c r="G260" s="2" t="s">
        <v>66</v>
      </c>
      <c r="H260" s="7" t="s">
        <v>2311</v>
      </c>
      <c r="I260" s="2" t="s">
        <v>124</v>
      </c>
      <c r="J260" s="2" t="s">
        <v>213</v>
      </c>
      <c r="K260" s="7" t="s">
        <v>2312</v>
      </c>
      <c r="L260" s="1" t="s">
        <v>2301</v>
      </c>
      <c r="M260" s="38">
        <v>42447</v>
      </c>
      <c r="N260" s="1" t="s">
        <v>6</v>
      </c>
      <c r="O260" s="1" t="s">
        <v>69</v>
      </c>
    </row>
    <row r="261" spans="1:15" x14ac:dyDescent="0.25">
      <c r="A261" s="1"/>
      <c r="B261" s="2" t="s">
        <v>697</v>
      </c>
      <c r="C261" s="2" t="s">
        <v>454</v>
      </c>
      <c r="D261" s="38">
        <v>42445</v>
      </c>
      <c r="E261" s="2" t="s">
        <v>34</v>
      </c>
      <c r="F261" s="1" t="s">
        <v>2313</v>
      </c>
      <c r="G261" s="2" t="s">
        <v>66</v>
      </c>
      <c r="H261" s="7" t="s">
        <v>2480</v>
      </c>
      <c r="I261" s="2" t="s">
        <v>124</v>
      </c>
      <c r="J261" s="2" t="s">
        <v>213</v>
      </c>
      <c r="K261" s="7" t="s">
        <v>2481</v>
      </c>
      <c r="L261" s="1" t="s">
        <v>2301</v>
      </c>
      <c r="M261" s="38">
        <v>42447</v>
      </c>
      <c r="N261" s="1" t="s">
        <v>6</v>
      </c>
      <c r="O261" s="1" t="s">
        <v>69</v>
      </c>
    </row>
    <row r="262" spans="1:15" ht="30" x14ac:dyDescent="0.25">
      <c r="A262" s="1"/>
      <c r="B262" s="2" t="s">
        <v>913</v>
      </c>
      <c r="C262" s="2" t="s">
        <v>454</v>
      </c>
      <c r="D262" s="38">
        <v>42445</v>
      </c>
      <c r="E262" s="2" t="s">
        <v>87</v>
      </c>
      <c r="F262" s="1" t="s">
        <v>2314</v>
      </c>
      <c r="G262" s="2" t="s">
        <v>66</v>
      </c>
      <c r="H262" s="7" t="s">
        <v>2315</v>
      </c>
      <c r="I262" s="2" t="s">
        <v>171</v>
      </c>
      <c r="J262" s="2" t="s">
        <v>213</v>
      </c>
      <c r="K262" s="7" t="s">
        <v>2482</v>
      </c>
      <c r="L262" s="1" t="s">
        <v>2316</v>
      </c>
      <c r="M262" s="38">
        <v>42446</v>
      </c>
      <c r="N262" s="1" t="s">
        <v>6</v>
      </c>
      <c r="O262" s="1" t="s">
        <v>69</v>
      </c>
    </row>
    <row r="263" spans="1:15" ht="45" x14ac:dyDescent="0.25">
      <c r="A263" s="1"/>
      <c r="B263" s="2" t="s">
        <v>915</v>
      </c>
      <c r="C263" s="2" t="s">
        <v>43</v>
      </c>
      <c r="D263" s="38">
        <v>42446</v>
      </c>
      <c r="E263" s="2" t="s">
        <v>70</v>
      </c>
      <c r="F263" s="1" t="s">
        <v>2317</v>
      </c>
      <c r="G263" s="2" t="s">
        <v>71</v>
      </c>
      <c r="H263" s="7" t="s">
        <v>2483</v>
      </c>
      <c r="I263" s="2" t="s">
        <v>118</v>
      </c>
      <c r="J263" s="2" t="s">
        <v>213</v>
      </c>
      <c r="K263" s="7" t="s">
        <v>2318</v>
      </c>
      <c r="L263" s="1" t="s">
        <v>2319</v>
      </c>
      <c r="M263" s="38">
        <v>42446</v>
      </c>
      <c r="N263" s="1" t="s">
        <v>6</v>
      </c>
      <c r="O263" s="1" t="s">
        <v>69</v>
      </c>
    </row>
    <row r="264" spans="1:15" x14ac:dyDescent="0.25">
      <c r="A264" s="1"/>
      <c r="B264" s="2" t="s">
        <v>911</v>
      </c>
      <c r="C264" s="2" t="s">
        <v>78</v>
      </c>
      <c r="D264" s="38">
        <v>42446</v>
      </c>
      <c r="E264" s="2" t="s">
        <v>70</v>
      </c>
      <c r="F264" s="1" t="s">
        <v>2320</v>
      </c>
      <c r="G264" s="2" t="s">
        <v>71</v>
      </c>
      <c r="H264" s="7" t="s">
        <v>2484</v>
      </c>
      <c r="I264" s="2" t="s">
        <v>1117</v>
      </c>
      <c r="J264" s="2" t="s">
        <v>213</v>
      </c>
      <c r="K264" s="7"/>
      <c r="L264" s="1" t="s">
        <v>2142</v>
      </c>
      <c r="M264" s="38">
        <v>42446</v>
      </c>
      <c r="N264" s="1" t="s">
        <v>6</v>
      </c>
      <c r="O264" s="1" t="s">
        <v>69</v>
      </c>
    </row>
    <row r="265" spans="1:15" x14ac:dyDescent="0.25">
      <c r="A265" s="1"/>
      <c r="B265" s="2" t="s">
        <v>913</v>
      </c>
      <c r="C265" s="2" t="s">
        <v>143</v>
      </c>
      <c r="D265" s="38">
        <v>42447</v>
      </c>
      <c r="E265" s="2" t="s">
        <v>70</v>
      </c>
      <c r="F265" s="1" t="s">
        <v>2321</v>
      </c>
      <c r="G265" s="2" t="s">
        <v>66</v>
      </c>
      <c r="H265" s="7" t="s">
        <v>2322</v>
      </c>
      <c r="I265" s="2" t="s">
        <v>454</v>
      </c>
      <c r="J265" s="2" t="s">
        <v>213</v>
      </c>
      <c r="K265" s="7" t="s">
        <v>2323</v>
      </c>
      <c r="L265" s="1" t="s">
        <v>2321</v>
      </c>
      <c r="M265" s="38">
        <v>42447</v>
      </c>
      <c r="N265" s="1" t="s">
        <v>6</v>
      </c>
      <c r="O265" s="1" t="s">
        <v>69</v>
      </c>
    </row>
    <row r="266" spans="1:15" x14ac:dyDescent="0.25">
      <c r="A266" s="1"/>
      <c r="B266" s="2" t="s">
        <v>913</v>
      </c>
      <c r="C266" s="2" t="s">
        <v>143</v>
      </c>
      <c r="D266" s="38">
        <v>42447</v>
      </c>
      <c r="E266" s="2" t="s">
        <v>70</v>
      </c>
      <c r="F266" s="1" t="s">
        <v>2321</v>
      </c>
      <c r="G266" s="2" t="s">
        <v>66</v>
      </c>
      <c r="H266" s="7" t="s">
        <v>2324</v>
      </c>
      <c r="I266" s="2" t="s">
        <v>454</v>
      </c>
      <c r="J266" s="2" t="s">
        <v>213</v>
      </c>
      <c r="K266" s="7" t="s">
        <v>2325</v>
      </c>
      <c r="L266" s="1" t="s">
        <v>2321</v>
      </c>
      <c r="M266" s="38">
        <v>42447</v>
      </c>
      <c r="N266" s="1" t="s">
        <v>6</v>
      </c>
      <c r="O266" s="1" t="s">
        <v>69</v>
      </c>
    </row>
    <row r="267" spans="1:15" x14ac:dyDescent="0.25">
      <c r="A267" s="1"/>
      <c r="B267" s="2" t="s">
        <v>913</v>
      </c>
      <c r="C267" s="2" t="s">
        <v>143</v>
      </c>
      <c r="D267" s="38">
        <v>42447</v>
      </c>
      <c r="E267" s="2" t="s">
        <v>70</v>
      </c>
      <c r="F267" s="1" t="s">
        <v>2321</v>
      </c>
      <c r="G267" s="2" t="s">
        <v>66</v>
      </c>
      <c r="H267" s="7" t="s">
        <v>2326</v>
      </c>
      <c r="I267" s="2" t="s">
        <v>454</v>
      </c>
      <c r="J267" s="2" t="s">
        <v>213</v>
      </c>
      <c r="K267" s="7" t="s">
        <v>2327</v>
      </c>
      <c r="L267" s="1" t="s">
        <v>2321</v>
      </c>
      <c r="M267" s="38">
        <v>42447</v>
      </c>
      <c r="N267" s="1" t="s">
        <v>6</v>
      </c>
      <c r="O267" s="1" t="s">
        <v>69</v>
      </c>
    </row>
    <row r="268" spans="1:15" x14ac:dyDescent="0.25">
      <c r="A268" s="1"/>
      <c r="B268" s="2" t="s">
        <v>913</v>
      </c>
      <c r="C268" s="2" t="s">
        <v>143</v>
      </c>
      <c r="D268" s="38">
        <v>42447</v>
      </c>
      <c r="E268" s="2" t="s">
        <v>70</v>
      </c>
      <c r="F268" s="1" t="s">
        <v>2321</v>
      </c>
      <c r="G268" s="2" t="s">
        <v>66</v>
      </c>
      <c r="H268" s="7" t="s">
        <v>2328</v>
      </c>
      <c r="I268" s="2" t="s">
        <v>454</v>
      </c>
      <c r="J268" s="2" t="s">
        <v>213</v>
      </c>
      <c r="K268" s="7" t="s">
        <v>2329</v>
      </c>
      <c r="L268" s="1" t="s">
        <v>2321</v>
      </c>
      <c r="M268" s="38">
        <v>42447</v>
      </c>
      <c r="N268" s="1" t="s">
        <v>6</v>
      </c>
      <c r="O268" s="1" t="s">
        <v>69</v>
      </c>
    </row>
    <row r="269" spans="1:15" x14ac:dyDescent="0.25">
      <c r="A269" s="1"/>
      <c r="B269" s="2" t="s">
        <v>913</v>
      </c>
      <c r="C269" s="2" t="s">
        <v>143</v>
      </c>
      <c r="D269" s="38">
        <v>42447</v>
      </c>
      <c r="E269" s="2" t="s">
        <v>70</v>
      </c>
      <c r="F269" s="1" t="s">
        <v>2321</v>
      </c>
      <c r="G269" s="2" t="s">
        <v>66</v>
      </c>
      <c r="H269" s="7" t="s">
        <v>2330</v>
      </c>
      <c r="I269" s="2" t="s">
        <v>454</v>
      </c>
      <c r="J269" s="2" t="s">
        <v>213</v>
      </c>
      <c r="K269" s="7" t="s">
        <v>2331</v>
      </c>
      <c r="L269" s="1" t="s">
        <v>2321</v>
      </c>
      <c r="M269" s="38">
        <v>42447</v>
      </c>
      <c r="N269" s="1" t="s">
        <v>6</v>
      </c>
      <c r="O269" s="1" t="s">
        <v>69</v>
      </c>
    </row>
    <row r="270" spans="1:15" x14ac:dyDescent="0.25">
      <c r="A270" s="1"/>
      <c r="B270" s="2" t="s">
        <v>913</v>
      </c>
      <c r="C270" s="2" t="s">
        <v>143</v>
      </c>
      <c r="D270" s="38">
        <v>42447</v>
      </c>
      <c r="E270" s="2" t="s">
        <v>70</v>
      </c>
      <c r="F270" s="1" t="s">
        <v>2321</v>
      </c>
      <c r="G270" s="2" t="s">
        <v>66</v>
      </c>
      <c r="H270" s="7" t="s">
        <v>2485</v>
      </c>
      <c r="I270" s="2" t="s">
        <v>454</v>
      </c>
      <c r="J270" s="2" t="s">
        <v>213</v>
      </c>
      <c r="K270" s="7" t="s">
        <v>2332</v>
      </c>
      <c r="L270" s="1" t="s">
        <v>2333</v>
      </c>
      <c r="M270" s="38">
        <v>42447</v>
      </c>
      <c r="N270" s="1" t="s">
        <v>6</v>
      </c>
      <c r="O270" s="1" t="s">
        <v>69</v>
      </c>
    </row>
    <row r="271" spans="1:15" ht="30" x14ac:dyDescent="0.25">
      <c r="A271" s="1"/>
      <c r="B271" s="2" t="s">
        <v>915</v>
      </c>
      <c r="C271" s="2" t="s">
        <v>41</v>
      </c>
      <c r="D271" s="38">
        <v>42447</v>
      </c>
      <c r="E271" s="2" t="s">
        <v>70</v>
      </c>
      <c r="F271" s="1" t="s">
        <v>2334</v>
      </c>
      <c r="G271" s="2" t="s">
        <v>66</v>
      </c>
      <c r="H271" s="7" t="s">
        <v>2486</v>
      </c>
      <c r="I271" s="2" t="s">
        <v>1117</v>
      </c>
      <c r="J271" s="2" t="s">
        <v>213</v>
      </c>
      <c r="K271" s="7" t="s">
        <v>2487</v>
      </c>
      <c r="L271" s="1" t="s">
        <v>215</v>
      </c>
      <c r="M271" s="38">
        <v>42447</v>
      </c>
      <c r="N271" s="1" t="s">
        <v>6</v>
      </c>
      <c r="O271" s="1" t="s">
        <v>69</v>
      </c>
    </row>
    <row r="272" spans="1:15" ht="75" x14ac:dyDescent="0.25">
      <c r="A272" s="1"/>
      <c r="B272" s="2" t="s">
        <v>917</v>
      </c>
      <c r="C272" s="2" t="s">
        <v>36</v>
      </c>
      <c r="D272" s="38">
        <v>42447</v>
      </c>
      <c r="E272" s="2" t="s">
        <v>70</v>
      </c>
      <c r="F272" s="1" t="s">
        <v>2335</v>
      </c>
      <c r="G272" s="2" t="s">
        <v>66</v>
      </c>
      <c r="H272" s="7" t="s">
        <v>2336</v>
      </c>
      <c r="I272" s="2" t="s">
        <v>171</v>
      </c>
      <c r="J272" s="2" t="s">
        <v>213</v>
      </c>
      <c r="K272" s="7" t="s">
        <v>2337</v>
      </c>
      <c r="L272" s="1" t="s">
        <v>2338</v>
      </c>
      <c r="M272" s="38">
        <v>42448</v>
      </c>
      <c r="N272" s="1" t="s">
        <v>6</v>
      </c>
      <c r="O272" s="1" t="s">
        <v>69</v>
      </c>
    </row>
    <row r="273" spans="1:15" x14ac:dyDescent="0.25">
      <c r="A273" s="1"/>
      <c r="B273" s="2" t="s">
        <v>697</v>
      </c>
      <c r="C273" s="2" t="s">
        <v>454</v>
      </c>
      <c r="D273" s="38">
        <v>42447</v>
      </c>
      <c r="E273" s="2" t="s">
        <v>34</v>
      </c>
      <c r="F273" s="1" t="s">
        <v>2339</v>
      </c>
      <c r="G273" s="2" t="s">
        <v>66</v>
      </c>
      <c r="H273" s="7" t="s">
        <v>2340</v>
      </c>
      <c r="I273" s="2" t="s">
        <v>124</v>
      </c>
      <c r="J273" s="2" t="s">
        <v>213</v>
      </c>
      <c r="K273" s="7" t="s">
        <v>2341</v>
      </c>
      <c r="L273" s="1" t="s">
        <v>2339</v>
      </c>
      <c r="M273" s="38">
        <v>42448</v>
      </c>
      <c r="N273" s="1" t="s">
        <v>6</v>
      </c>
      <c r="O273" s="1" t="s">
        <v>69</v>
      </c>
    </row>
    <row r="274" spans="1:15" ht="30" x14ac:dyDescent="0.25">
      <c r="A274" s="1"/>
      <c r="B274" s="2" t="s">
        <v>913</v>
      </c>
      <c r="C274" s="2" t="s">
        <v>454</v>
      </c>
      <c r="D274" s="38">
        <v>42447</v>
      </c>
      <c r="E274" s="2" t="s">
        <v>34</v>
      </c>
      <c r="F274" s="1" t="s">
        <v>2342</v>
      </c>
      <c r="G274" s="2" t="s">
        <v>66</v>
      </c>
      <c r="H274" s="7" t="s">
        <v>2343</v>
      </c>
      <c r="I274" s="2" t="s">
        <v>116</v>
      </c>
      <c r="J274" s="2" t="s">
        <v>213</v>
      </c>
      <c r="K274" s="7" t="s">
        <v>2488</v>
      </c>
      <c r="L274" s="1" t="s">
        <v>2342</v>
      </c>
      <c r="M274" s="38">
        <v>42448</v>
      </c>
      <c r="N274" s="1" t="s">
        <v>6</v>
      </c>
      <c r="O274" s="1" t="s">
        <v>69</v>
      </c>
    </row>
    <row r="275" spans="1:15" ht="45" x14ac:dyDescent="0.25">
      <c r="A275" s="1"/>
      <c r="B275" s="2" t="s">
        <v>697</v>
      </c>
      <c r="C275" s="2" t="s">
        <v>454</v>
      </c>
      <c r="D275" s="38">
        <v>42448</v>
      </c>
      <c r="E275" s="2" t="s">
        <v>34</v>
      </c>
      <c r="F275" s="1" t="s">
        <v>2301</v>
      </c>
      <c r="G275" s="2" t="s">
        <v>66</v>
      </c>
      <c r="H275" s="7" t="s">
        <v>2344</v>
      </c>
      <c r="I275" s="2" t="s">
        <v>124</v>
      </c>
      <c r="J275" s="2" t="s">
        <v>213</v>
      </c>
      <c r="K275" s="7" t="s">
        <v>2836</v>
      </c>
      <c r="L275" s="1" t="s">
        <v>2301</v>
      </c>
      <c r="M275" s="38">
        <v>42451</v>
      </c>
      <c r="N275" s="1" t="s">
        <v>6</v>
      </c>
      <c r="O275" s="1" t="s">
        <v>69</v>
      </c>
    </row>
    <row r="276" spans="1:15" x14ac:dyDescent="0.25">
      <c r="A276" s="1"/>
      <c r="B276" s="2" t="s">
        <v>915</v>
      </c>
      <c r="C276" s="2" t="s">
        <v>1469</v>
      </c>
      <c r="D276" s="38">
        <v>42450</v>
      </c>
      <c r="E276" s="2" t="s">
        <v>70</v>
      </c>
      <c r="F276" s="1" t="s">
        <v>2830</v>
      </c>
      <c r="G276" s="2" t="s">
        <v>71</v>
      </c>
      <c r="H276" s="7" t="s">
        <v>2831</v>
      </c>
      <c r="I276" s="2" t="s">
        <v>116</v>
      </c>
      <c r="J276" s="2" t="s">
        <v>213</v>
      </c>
      <c r="K276" s="7" t="s">
        <v>2832</v>
      </c>
      <c r="L276" s="1" t="s">
        <v>2833</v>
      </c>
      <c r="M276" s="38">
        <v>42451</v>
      </c>
      <c r="N276" s="1" t="s">
        <v>6</v>
      </c>
      <c r="O276" s="1" t="s">
        <v>69</v>
      </c>
    </row>
    <row r="277" spans="1:15" x14ac:dyDescent="0.25">
      <c r="A277" s="1"/>
      <c r="B277" s="2" t="s">
        <v>911</v>
      </c>
      <c r="C277" s="2" t="s">
        <v>1117</v>
      </c>
      <c r="D277" s="38">
        <v>42450</v>
      </c>
      <c r="E277" s="2" t="s">
        <v>87</v>
      </c>
      <c r="F277" s="1" t="s">
        <v>2834</v>
      </c>
      <c r="G277" s="2" t="s">
        <v>66</v>
      </c>
      <c r="H277" s="7" t="s">
        <v>2835</v>
      </c>
      <c r="I277" s="2" t="s">
        <v>1076</v>
      </c>
      <c r="J277" s="2" t="s">
        <v>213</v>
      </c>
      <c r="K277" s="7" t="s">
        <v>2837</v>
      </c>
      <c r="L277" s="1" t="s">
        <v>1951</v>
      </c>
      <c r="M277" s="38">
        <v>42451</v>
      </c>
      <c r="N277" s="1" t="s">
        <v>6</v>
      </c>
      <c r="O277" s="1" t="s">
        <v>69</v>
      </c>
    </row>
    <row r="278" spans="1:15" x14ac:dyDescent="0.25">
      <c r="A278" s="1"/>
      <c r="B278" s="2" t="s">
        <v>917</v>
      </c>
      <c r="C278" s="2" t="s">
        <v>36</v>
      </c>
      <c r="D278" s="38">
        <v>42451</v>
      </c>
      <c r="E278" s="2" t="s">
        <v>70</v>
      </c>
      <c r="F278" s="1" t="s">
        <v>3992</v>
      </c>
      <c r="G278" s="2" t="s">
        <v>71</v>
      </c>
      <c r="H278" s="7" t="s">
        <v>2115</v>
      </c>
      <c r="I278" s="2" t="s">
        <v>171</v>
      </c>
      <c r="J278" s="2" t="s">
        <v>213</v>
      </c>
      <c r="K278" s="7" t="s">
        <v>2267</v>
      </c>
      <c r="L278" s="1" t="s">
        <v>2267</v>
      </c>
      <c r="M278" s="38">
        <v>42451</v>
      </c>
      <c r="N278" s="1" t="s">
        <v>6</v>
      </c>
      <c r="O278" s="1" t="s">
        <v>69</v>
      </c>
    </row>
    <row r="279" spans="1:15" ht="30" x14ac:dyDescent="0.25">
      <c r="A279" s="1"/>
      <c r="B279" s="2" t="s">
        <v>913</v>
      </c>
      <c r="C279" s="2" t="s">
        <v>116</v>
      </c>
      <c r="D279" s="38">
        <v>42451</v>
      </c>
      <c r="E279" s="2" t="s">
        <v>70</v>
      </c>
      <c r="F279" s="1" t="s">
        <v>3993</v>
      </c>
      <c r="G279" s="2" t="s">
        <v>71</v>
      </c>
      <c r="H279" s="7" t="s">
        <v>4269</v>
      </c>
      <c r="I279" s="2" t="s">
        <v>36</v>
      </c>
      <c r="J279" s="2" t="s">
        <v>213</v>
      </c>
      <c r="K279" s="7" t="s">
        <v>4270</v>
      </c>
      <c r="L279" s="1" t="s">
        <v>3994</v>
      </c>
      <c r="M279" s="38">
        <v>42451</v>
      </c>
      <c r="N279" s="1" t="s">
        <v>6</v>
      </c>
      <c r="O279" s="1" t="s">
        <v>69</v>
      </c>
    </row>
    <row r="280" spans="1:15" x14ac:dyDescent="0.25">
      <c r="A280" s="1"/>
      <c r="B280" s="2" t="s">
        <v>911</v>
      </c>
      <c r="C280" s="2" t="s">
        <v>36</v>
      </c>
      <c r="D280" s="38">
        <v>42452</v>
      </c>
      <c r="E280" s="2" t="s">
        <v>70</v>
      </c>
      <c r="F280" s="1" t="s">
        <v>3995</v>
      </c>
      <c r="G280" s="2" t="s">
        <v>71</v>
      </c>
      <c r="H280" s="7" t="s">
        <v>3996</v>
      </c>
      <c r="I280" s="2" t="s">
        <v>144</v>
      </c>
      <c r="J280" s="2" t="s">
        <v>213</v>
      </c>
      <c r="K280" s="7" t="s">
        <v>3997</v>
      </c>
      <c r="L280" s="1" t="s">
        <v>3998</v>
      </c>
      <c r="M280" s="38">
        <v>42454</v>
      </c>
      <c r="N280" s="1" t="s">
        <v>6</v>
      </c>
      <c r="O280" s="1" t="s">
        <v>69</v>
      </c>
    </row>
    <row r="281" spans="1:15" ht="30" x14ac:dyDescent="0.25">
      <c r="A281" s="1"/>
      <c r="B281" s="2" t="s">
        <v>911</v>
      </c>
      <c r="C281" s="2" t="s">
        <v>36</v>
      </c>
      <c r="D281" s="38">
        <v>42452</v>
      </c>
      <c r="E281" s="2" t="s">
        <v>70</v>
      </c>
      <c r="F281" s="1" t="s">
        <v>3995</v>
      </c>
      <c r="G281" s="2" t="s">
        <v>66</v>
      </c>
      <c r="H281" s="7" t="s">
        <v>3999</v>
      </c>
      <c r="I281" s="2" t="s">
        <v>144</v>
      </c>
      <c r="J281" s="2" t="s">
        <v>213</v>
      </c>
      <c r="K281" s="7" t="s">
        <v>4000</v>
      </c>
      <c r="L281" s="1" t="s">
        <v>3998</v>
      </c>
      <c r="M281" s="38">
        <v>42454</v>
      </c>
      <c r="N281" s="1" t="s">
        <v>6</v>
      </c>
      <c r="O281" s="1" t="s">
        <v>69</v>
      </c>
    </row>
    <row r="282" spans="1:15" ht="30" x14ac:dyDescent="0.25">
      <c r="A282" s="1"/>
      <c r="B282" s="2" t="s">
        <v>911</v>
      </c>
      <c r="C282" s="2" t="s">
        <v>36</v>
      </c>
      <c r="D282" s="38">
        <v>42452</v>
      </c>
      <c r="E282" s="2" t="s">
        <v>70</v>
      </c>
      <c r="F282" s="1" t="s">
        <v>3995</v>
      </c>
      <c r="G282" s="2" t="s">
        <v>66</v>
      </c>
      <c r="H282" s="7" t="s">
        <v>4271</v>
      </c>
      <c r="I282" s="2" t="s">
        <v>144</v>
      </c>
      <c r="J282" s="2" t="s">
        <v>213</v>
      </c>
      <c r="K282" s="7" t="s">
        <v>4272</v>
      </c>
      <c r="L282" s="1" t="s">
        <v>3998</v>
      </c>
      <c r="M282" s="38">
        <v>42454</v>
      </c>
      <c r="N282" s="1" t="s">
        <v>6</v>
      </c>
      <c r="O282" s="1" t="s">
        <v>69</v>
      </c>
    </row>
    <row r="283" spans="1:15" x14ac:dyDescent="0.25">
      <c r="A283" s="1"/>
      <c r="B283" s="2" t="s">
        <v>911</v>
      </c>
      <c r="C283" s="2" t="s">
        <v>36</v>
      </c>
      <c r="D283" s="38">
        <v>42452</v>
      </c>
      <c r="E283" s="2" t="s">
        <v>70</v>
      </c>
      <c r="F283" s="1" t="s">
        <v>3995</v>
      </c>
      <c r="G283" s="2" t="s">
        <v>71</v>
      </c>
      <c r="H283" s="7" t="s">
        <v>4001</v>
      </c>
      <c r="I283" s="2" t="s">
        <v>144</v>
      </c>
      <c r="J283" s="2" t="s">
        <v>213</v>
      </c>
      <c r="K283" s="7" t="s">
        <v>4002</v>
      </c>
      <c r="L283" s="1" t="s">
        <v>3998</v>
      </c>
      <c r="M283" s="38">
        <v>42454</v>
      </c>
      <c r="N283" s="1" t="s">
        <v>6</v>
      </c>
      <c r="O283" s="1" t="s">
        <v>69</v>
      </c>
    </row>
    <row r="284" spans="1:15" x14ac:dyDescent="0.25">
      <c r="A284" s="1"/>
      <c r="B284" s="2" t="s">
        <v>911</v>
      </c>
      <c r="C284" s="2" t="s">
        <v>36</v>
      </c>
      <c r="D284" s="38">
        <v>42452</v>
      </c>
      <c r="E284" s="2" t="s">
        <v>70</v>
      </c>
      <c r="F284" s="1" t="s">
        <v>3995</v>
      </c>
      <c r="G284" s="2" t="s">
        <v>66</v>
      </c>
      <c r="H284" s="7" t="s">
        <v>4003</v>
      </c>
      <c r="I284" s="2" t="s">
        <v>144</v>
      </c>
      <c r="J284" s="2" t="s">
        <v>213</v>
      </c>
      <c r="K284" s="7" t="s">
        <v>4273</v>
      </c>
      <c r="L284" s="1" t="s">
        <v>3998</v>
      </c>
      <c r="M284" s="38">
        <v>42454</v>
      </c>
      <c r="N284" s="1" t="s">
        <v>6</v>
      </c>
      <c r="O284" s="1" t="s">
        <v>69</v>
      </c>
    </row>
    <row r="285" spans="1:15" x14ac:dyDescent="0.25">
      <c r="A285" s="1"/>
      <c r="B285" s="2" t="s">
        <v>911</v>
      </c>
      <c r="C285" s="2" t="s">
        <v>36</v>
      </c>
      <c r="D285" s="38">
        <v>42452</v>
      </c>
      <c r="E285" s="2" t="s">
        <v>70</v>
      </c>
      <c r="F285" s="1" t="s">
        <v>3995</v>
      </c>
      <c r="G285" s="2" t="s">
        <v>66</v>
      </c>
      <c r="H285" s="7" t="s">
        <v>4004</v>
      </c>
      <c r="I285" s="2" t="s">
        <v>144</v>
      </c>
      <c r="J285" s="2" t="s">
        <v>213</v>
      </c>
      <c r="K285" s="7" t="s">
        <v>4005</v>
      </c>
      <c r="L285" s="1" t="s">
        <v>3998</v>
      </c>
      <c r="M285" s="38">
        <v>42454</v>
      </c>
      <c r="N285" s="1" t="s">
        <v>6</v>
      </c>
      <c r="O285" s="1" t="s">
        <v>69</v>
      </c>
    </row>
    <row r="286" spans="1:15" x14ac:dyDescent="0.25">
      <c r="A286" s="1"/>
      <c r="B286" s="2" t="s">
        <v>697</v>
      </c>
      <c r="C286" s="2" t="s">
        <v>124</v>
      </c>
      <c r="D286" s="38">
        <v>42454</v>
      </c>
      <c r="E286" s="2" t="s">
        <v>70</v>
      </c>
      <c r="F286" s="1" t="s">
        <v>4006</v>
      </c>
      <c r="G286" s="2" t="s">
        <v>71</v>
      </c>
      <c r="H286" s="7" t="s">
        <v>4007</v>
      </c>
      <c r="I286" s="2" t="s">
        <v>143</v>
      </c>
      <c r="J286" s="2" t="s">
        <v>213</v>
      </c>
      <c r="K286" s="7"/>
      <c r="L286" s="1" t="s">
        <v>4008</v>
      </c>
      <c r="M286" s="38">
        <v>42454</v>
      </c>
      <c r="N286" s="1" t="s">
        <v>6</v>
      </c>
      <c r="O286" s="1" t="s">
        <v>69</v>
      </c>
    </row>
    <row r="287" spans="1:15" x14ac:dyDescent="0.25">
      <c r="A287" s="1" t="s">
        <v>4009</v>
      </c>
      <c r="B287" s="2" t="s">
        <v>2870</v>
      </c>
      <c r="C287" s="2" t="s">
        <v>41</v>
      </c>
      <c r="D287" s="38">
        <v>42455</v>
      </c>
      <c r="E287" s="2" t="s">
        <v>70</v>
      </c>
      <c r="F287" s="1" t="s">
        <v>4010</v>
      </c>
      <c r="G287" s="2" t="s">
        <v>66</v>
      </c>
      <c r="H287" s="7" t="s">
        <v>4011</v>
      </c>
      <c r="I287" s="2" t="s">
        <v>116</v>
      </c>
      <c r="J287" s="2" t="s">
        <v>213</v>
      </c>
      <c r="K287" s="7" t="s">
        <v>4012</v>
      </c>
      <c r="L287" s="1" t="s">
        <v>4013</v>
      </c>
      <c r="M287" s="38">
        <v>42458</v>
      </c>
      <c r="N287" s="1" t="s">
        <v>6</v>
      </c>
      <c r="O287" s="1" t="s">
        <v>69</v>
      </c>
    </row>
    <row r="288" spans="1:15" ht="30" x14ac:dyDescent="0.25">
      <c r="A288" s="1"/>
      <c r="B288" s="2" t="s">
        <v>911</v>
      </c>
      <c r="C288" s="2" t="s">
        <v>144</v>
      </c>
      <c r="D288" s="38">
        <v>42457</v>
      </c>
      <c r="E288" s="2" t="s">
        <v>34</v>
      </c>
      <c r="F288" s="1" t="s">
        <v>4014</v>
      </c>
      <c r="G288" s="2" t="s">
        <v>66</v>
      </c>
      <c r="H288" s="7" t="s">
        <v>4015</v>
      </c>
      <c r="I288" s="2" t="s">
        <v>1117</v>
      </c>
      <c r="J288" s="2" t="s">
        <v>213</v>
      </c>
      <c r="K288" s="7" t="s">
        <v>4016</v>
      </c>
      <c r="L288" s="1" t="s">
        <v>4017</v>
      </c>
      <c r="M288" s="38">
        <v>42457</v>
      </c>
      <c r="N288" s="1" t="s">
        <v>6</v>
      </c>
      <c r="O288" s="1" t="s">
        <v>69</v>
      </c>
    </row>
    <row r="289" spans="1:15" x14ac:dyDescent="0.25">
      <c r="A289" s="1"/>
      <c r="B289" s="2" t="s">
        <v>911</v>
      </c>
      <c r="C289" s="2" t="s">
        <v>36</v>
      </c>
      <c r="D289" s="38">
        <v>42457</v>
      </c>
      <c r="E289" s="2" t="s">
        <v>70</v>
      </c>
      <c r="F289" s="1" t="s">
        <v>4018</v>
      </c>
      <c r="G289" s="2" t="s">
        <v>71</v>
      </c>
      <c r="H289" s="7" t="s">
        <v>4019</v>
      </c>
      <c r="I289" s="2" t="s">
        <v>144</v>
      </c>
      <c r="J289" s="2" t="s">
        <v>213</v>
      </c>
      <c r="K289" s="7" t="s">
        <v>2267</v>
      </c>
      <c r="L289" s="1"/>
      <c r="M289" s="38"/>
      <c r="N289" s="1" t="s">
        <v>6</v>
      </c>
      <c r="O289" s="1" t="s">
        <v>69</v>
      </c>
    </row>
    <row r="290" spans="1:15" x14ac:dyDescent="0.25">
      <c r="A290" s="1"/>
      <c r="B290" s="2" t="s">
        <v>911</v>
      </c>
      <c r="C290" s="2" t="s">
        <v>41</v>
      </c>
      <c r="D290" s="38">
        <v>42457</v>
      </c>
      <c r="E290" s="2" t="s">
        <v>70</v>
      </c>
      <c r="F290" s="1" t="s">
        <v>4020</v>
      </c>
      <c r="G290" s="2" t="s">
        <v>71</v>
      </c>
      <c r="H290" s="7" t="s">
        <v>4021</v>
      </c>
      <c r="I290" s="2" t="s">
        <v>144</v>
      </c>
      <c r="J290" s="2" t="s">
        <v>213</v>
      </c>
      <c r="K290" s="7"/>
      <c r="L290" s="1"/>
      <c r="M290" s="38">
        <v>42457</v>
      </c>
      <c r="N290" s="1" t="s">
        <v>6</v>
      </c>
      <c r="O290" s="1" t="s">
        <v>69</v>
      </c>
    </row>
    <row r="291" spans="1:15" x14ac:dyDescent="0.25">
      <c r="A291" s="1"/>
      <c r="B291" s="2" t="s">
        <v>915</v>
      </c>
      <c r="C291" s="2" t="s">
        <v>924</v>
      </c>
      <c r="D291" s="38">
        <v>42458</v>
      </c>
      <c r="E291" s="2" t="s">
        <v>70</v>
      </c>
      <c r="F291" s="1" t="s">
        <v>4022</v>
      </c>
      <c r="G291" s="2" t="s">
        <v>66</v>
      </c>
      <c r="H291" s="7" t="s">
        <v>4023</v>
      </c>
      <c r="I291" s="2" t="s">
        <v>116</v>
      </c>
      <c r="J291" s="2" t="s">
        <v>213</v>
      </c>
      <c r="K291" s="7" t="s">
        <v>4024</v>
      </c>
      <c r="L291" s="1" t="s">
        <v>4025</v>
      </c>
      <c r="M291" s="38">
        <v>42460</v>
      </c>
      <c r="N291" s="1" t="s">
        <v>6</v>
      </c>
      <c r="O291" s="1" t="s">
        <v>69</v>
      </c>
    </row>
    <row r="292" spans="1:15" x14ac:dyDescent="0.25">
      <c r="A292" s="1"/>
      <c r="B292" s="2" t="s">
        <v>915</v>
      </c>
      <c r="C292" s="2" t="s">
        <v>924</v>
      </c>
      <c r="D292" s="38">
        <v>42458</v>
      </c>
      <c r="E292" s="2" t="s">
        <v>70</v>
      </c>
      <c r="F292" s="1" t="s">
        <v>4022</v>
      </c>
      <c r="G292" s="2" t="s">
        <v>71</v>
      </c>
      <c r="H292" s="7" t="s">
        <v>4274</v>
      </c>
      <c r="I292" s="2" t="s">
        <v>116</v>
      </c>
      <c r="J292" s="2" t="s">
        <v>213</v>
      </c>
      <c r="K292" s="7" t="s">
        <v>4026</v>
      </c>
      <c r="L292" s="1" t="s">
        <v>4022</v>
      </c>
      <c r="M292" s="38">
        <v>42460</v>
      </c>
      <c r="N292" s="1" t="s">
        <v>6</v>
      </c>
      <c r="O292" s="1" t="s">
        <v>69</v>
      </c>
    </row>
    <row r="293" spans="1:15" x14ac:dyDescent="0.25">
      <c r="A293" s="1"/>
      <c r="B293" s="2" t="s">
        <v>915</v>
      </c>
      <c r="C293" s="2" t="s">
        <v>924</v>
      </c>
      <c r="D293" s="38">
        <v>42458</v>
      </c>
      <c r="E293" s="2" t="s">
        <v>70</v>
      </c>
      <c r="F293" s="1" t="s">
        <v>4022</v>
      </c>
      <c r="G293" s="2" t="s">
        <v>71</v>
      </c>
      <c r="H293" s="7" t="s">
        <v>4027</v>
      </c>
      <c r="I293" s="2" t="s">
        <v>116</v>
      </c>
      <c r="J293" s="2" t="s">
        <v>213</v>
      </c>
      <c r="K293" s="7" t="s">
        <v>4028</v>
      </c>
      <c r="L293" s="1" t="s">
        <v>4025</v>
      </c>
      <c r="M293" s="38">
        <v>42460</v>
      </c>
      <c r="N293" s="1" t="s">
        <v>6</v>
      </c>
      <c r="O293" s="1" t="s">
        <v>69</v>
      </c>
    </row>
    <row r="294" spans="1:15" ht="30" x14ac:dyDescent="0.25">
      <c r="A294" s="1"/>
      <c r="B294" s="2" t="s">
        <v>697</v>
      </c>
      <c r="C294" s="2" t="s">
        <v>116</v>
      </c>
      <c r="D294" s="38">
        <v>42457</v>
      </c>
      <c r="E294" s="2" t="s">
        <v>70</v>
      </c>
      <c r="F294" s="1" t="s">
        <v>4029</v>
      </c>
      <c r="G294" s="2" t="s">
        <v>66</v>
      </c>
      <c r="H294" s="7" t="s">
        <v>4030</v>
      </c>
      <c r="I294" s="2" t="s">
        <v>124</v>
      </c>
      <c r="J294" s="2" t="s">
        <v>213</v>
      </c>
      <c r="K294" s="7" t="s">
        <v>4031</v>
      </c>
      <c r="L294" s="1" t="s">
        <v>4032</v>
      </c>
      <c r="M294" s="38">
        <v>42459</v>
      </c>
      <c r="N294" s="1" t="s">
        <v>6</v>
      </c>
      <c r="O294" s="1" t="s">
        <v>69</v>
      </c>
    </row>
    <row r="295" spans="1:15" x14ac:dyDescent="0.25">
      <c r="A295" s="1"/>
      <c r="B295" s="2" t="s">
        <v>911</v>
      </c>
      <c r="C295" s="2" t="s">
        <v>116</v>
      </c>
      <c r="D295" s="38">
        <v>42458</v>
      </c>
      <c r="E295" s="2" t="s">
        <v>70</v>
      </c>
      <c r="F295" s="1" t="s">
        <v>4033</v>
      </c>
      <c r="G295" s="2" t="s">
        <v>66</v>
      </c>
      <c r="H295" s="7" t="s">
        <v>4034</v>
      </c>
      <c r="I295" s="2" t="s">
        <v>41</v>
      </c>
      <c r="J295" s="2" t="s">
        <v>213</v>
      </c>
      <c r="K295" s="7" t="s">
        <v>4035</v>
      </c>
      <c r="L295" s="1" t="s">
        <v>4036</v>
      </c>
      <c r="M295" s="38">
        <v>42458</v>
      </c>
      <c r="N295" s="1" t="s">
        <v>6</v>
      </c>
      <c r="O295" s="1" t="s">
        <v>69</v>
      </c>
    </row>
    <row r="296" spans="1:15" x14ac:dyDescent="0.25">
      <c r="A296" s="1"/>
      <c r="B296" s="2" t="s">
        <v>911</v>
      </c>
      <c r="C296" s="2" t="s">
        <v>116</v>
      </c>
      <c r="D296" s="38">
        <v>42458</v>
      </c>
      <c r="E296" s="2" t="s">
        <v>70</v>
      </c>
      <c r="F296" s="1" t="s">
        <v>4033</v>
      </c>
      <c r="G296" s="2" t="s">
        <v>71</v>
      </c>
      <c r="H296" s="7" t="s">
        <v>4037</v>
      </c>
      <c r="I296" s="2" t="s">
        <v>41</v>
      </c>
      <c r="J296" s="2" t="s">
        <v>213</v>
      </c>
      <c r="K296" s="7"/>
      <c r="L296" s="1"/>
      <c r="M296" s="38">
        <v>42458</v>
      </c>
      <c r="N296" s="1" t="s">
        <v>6</v>
      </c>
      <c r="O296" s="1" t="s">
        <v>69</v>
      </c>
    </row>
    <row r="297" spans="1:15" x14ac:dyDescent="0.25">
      <c r="A297" s="1"/>
      <c r="B297" s="2" t="s">
        <v>917</v>
      </c>
      <c r="C297" s="2" t="s">
        <v>124</v>
      </c>
      <c r="D297" s="38">
        <v>42460</v>
      </c>
      <c r="E297" s="2" t="s">
        <v>70</v>
      </c>
      <c r="F297" s="1" t="s">
        <v>4038</v>
      </c>
      <c r="G297" s="2" t="s">
        <v>71</v>
      </c>
      <c r="H297" s="7" t="s">
        <v>4275</v>
      </c>
      <c r="I297" s="2" t="s">
        <v>36</v>
      </c>
      <c r="J297" s="2" t="s">
        <v>213</v>
      </c>
      <c r="K297" s="7" t="s">
        <v>4039</v>
      </c>
      <c r="L297" s="1" t="s">
        <v>4040</v>
      </c>
      <c r="M297" s="38">
        <v>42460</v>
      </c>
      <c r="N297" s="1" t="s">
        <v>6</v>
      </c>
      <c r="O297" s="1" t="s">
        <v>69</v>
      </c>
    </row>
    <row r="298" spans="1:15" x14ac:dyDescent="0.25">
      <c r="A298" s="1"/>
      <c r="B298" s="2" t="s">
        <v>917</v>
      </c>
      <c r="C298" s="2" t="s">
        <v>124</v>
      </c>
      <c r="D298" s="38">
        <v>42460</v>
      </c>
      <c r="E298" s="2" t="s">
        <v>70</v>
      </c>
      <c r="F298" s="1" t="s">
        <v>4038</v>
      </c>
      <c r="G298" s="2" t="s">
        <v>66</v>
      </c>
      <c r="H298" s="7" t="s">
        <v>4276</v>
      </c>
      <c r="I298" s="2" t="s">
        <v>36</v>
      </c>
      <c r="J298" s="2" t="s">
        <v>213</v>
      </c>
      <c r="K298" s="7" t="s">
        <v>4041</v>
      </c>
      <c r="L298" s="1" t="s">
        <v>4040</v>
      </c>
      <c r="M298" s="38">
        <v>42460</v>
      </c>
      <c r="N298" s="1" t="s">
        <v>6</v>
      </c>
      <c r="O298" s="1" t="s">
        <v>69</v>
      </c>
    </row>
    <row r="299" spans="1:15" x14ac:dyDescent="0.25">
      <c r="A299" s="1"/>
      <c r="B299" s="2" t="s">
        <v>917</v>
      </c>
      <c r="C299" s="2" t="s">
        <v>124</v>
      </c>
      <c r="D299" s="38">
        <v>42460</v>
      </c>
      <c r="E299" s="2" t="s">
        <v>70</v>
      </c>
      <c r="F299" s="1" t="s">
        <v>4042</v>
      </c>
      <c r="G299" s="2" t="s">
        <v>66</v>
      </c>
      <c r="H299" s="7" t="s">
        <v>4277</v>
      </c>
      <c r="I299" s="2" t="s">
        <v>36</v>
      </c>
      <c r="J299" s="2" t="s">
        <v>213</v>
      </c>
      <c r="K299" s="7" t="s">
        <v>4043</v>
      </c>
      <c r="L299" s="1" t="s">
        <v>4044</v>
      </c>
      <c r="M299" s="38">
        <v>42460</v>
      </c>
      <c r="N299" s="1" t="s">
        <v>6</v>
      </c>
      <c r="O299" s="1" t="s">
        <v>69</v>
      </c>
    </row>
    <row r="300" spans="1:15" x14ac:dyDescent="0.25">
      <c r="A300" s="1"/>
      <c r="B300" s="2" t="s">
        <v>917</v>
      </c>
      <c r="C300" s="2" t="s">
        <v>124</v>
      </c>
      <c r="D300" s="38">
        <v>42460</v>
      </c>
      <c r="E300" s="2" t="s">
        <v>70</v>
      </c>
      <c r="F300" s="1" t="s">
        <v>4038</v>
      </c>
      <c r="G300" s="2" t="s">
        <v>66</v>
      </c>
      <c r="H300" s="7" t="s">
        <v>4278</v>
      </c>
      <c r="I300" s="2" t="s">
        <v>36</v>
      </c>
      <c r="J300" s="2" t="s">
        <v>213</v>
      </c>
      <c r="K300" s="7" t="s">
        <v>4045</v>
      </c>
      <c r="L300" s="1" t="s">
        <v>4040</v>
      </c>
      <c r="M300" s="38">
        <v>42460</v>
      </c>
      <c r="N300" s="1" t="s">
        <v>6</v>
      </c>
      <c r="O300" s="1" t="s">
        <v>69</v>
      </c>
    </row>
    <row r="301" spans="1:15" x14ac:dyDescent="0.25">
      <c r="A301" s="1"/>
      <c r="B301" s="2" t="s">
        <v>917</v>
      </c>
      <c r="C301" s="2" t="s">
        <v>36</v>
      </c>
      <c r="D301" s="38">
        <v>42460</v>
      </c>
      <c r="E301" s="2" t="s">
        <v>70</v>
      </c>
      <c r="F301" s="1" t="s">
        <v>4046</v>
      </c>
      <c r="G301" s="2" t="s">
        <v>71</v>
      </c>
      <c r="H301" s="7" t="s">
        <v>2208</v>
      </c>
      <c r="I301" s="2" t="s">
        <v>171</v>
      </c>
      <c r="J301" s="2" t="s">
        <v>213</v>
      </c>
      <c r="K301" s="7"/>
      <c r="L301" s="1"/>
      <c r="M301" s="38"/>
      <c r="N301" s="1" t="s">
        <v>6</v>
      </c>
      <c r="O301" s="1" t="s">
        <v>69</v>
      </c>
    </row>
    <row r="302" spans="1:15" ht="30" x14ac:dyDescent="0.25">
      <c r="A302" s="1"/>
      <c r="B302" s="2" t="s">
        <v>915</v>
      </c>
      <c r="C302" s="2" t="s">
        <v>1117</v>
      </c>
      <c r="D302" s="38">
        <v>42460</v>
      </c>
      <c r="E302" s="2" t="s">
        <v>64</v>
      </c>
      <c r="F302" s="1" t="s">
        <v>4047</v>
      </c>
      <c r="G302" s="2" t="s">
        <v>66</v>
      </c>
      <c r="H302" s="7" t="s">
        <v>4048</v>
      </c>
      <c r="I302" s="2" t="s">
        <v>116</v>
      </c>
      <c r="J302" s="2" t="s">
        <v>213</v>
      </c>
      <c r="K302" s="7" t="s">
        <v>4279</v>
      </c>
      <c r="L302" s="1" t="s">
        <v>2116</v>
      </c>
      <c r="M302" s="38">
        <v>42460</v>
      </c>
      <c r="N302" s="1" t="s">
        <v>6</v>
      </c>
      <c r="O302" s="1" t="s">
        <v>69</v>
      </c>
    </row>
    <row r="303" spans="1:15" x14ac:dyDescent="0.25">
      <c r="A303" s="1"/>
      <c r="B303" s="2" t="s">
        <v>917</v>
      </c>
      <c r="C303" s="2" t="s">
        <v>124</v>
      </c>
      <c r="D303" s="38">
        <v>42461</v>
      </c>
      <c r="E303" s="2" t="s">
        <v>70</v>
      </c>
      <c r="F303" s="1" t="s">
        <v>4049</v>
      </c>
      <c r="G303" s="2" t="s">
        <v>71</v>
      </c>
      <c r="H303" s="7" t="s">
        <v>4019</v>
      </c>
      <c r="I303" s="2" t="s">
        <v>36</v>
      </c>
      <c r="J303" s="2" t="s">
        <v>213</v>
      </c>
      <c r="K303" s="7" t="s">
        <v>2267</v>
      </c>
      <c r="L303" s="1" t="s">
        <v>4049</v>
      </c>
      <c r="M303" s="38">
        <v>42461</v>
      </c>
      <c r="N303" s="1" t="s">
        <v>6</v>
      </c>
      <c r="O303" s="1" t="s">
        <v>69</v>
      </c>
    </row>
    <row r="304" spans="1:15" x14ac:dyDescent="0.25">
      <c r="A304" s="1"/>
      <c r="B304" s="2" t="s">
        <v>915</v>
      </c>
      <c r="C304" s="2" t="s">
        <v>43</v>
      </c>
      <c r="D304" s="38">
        <v>42461</v>
      </c>
      <c r="E304" s="2" t="s">
        <v>70</v>
      </c>
      <c r="F304" s="1" t="s">
        <v>4050</v>
      </c>
      <c r="G304" s="2" t="s">
        <v>71</v>
      </c>
      <c r="H304" s="7" t="s">
        <v>4051</v>
      </c>
      <c r="I304" s="2" t="s">
        <v>118</v>
      </c>
      <c r="J304" s="2" t="s">
        <v>213</v>
      </c>
      <c r="K304" s="7"/>
      <c r="L304" s="1" t="s">
        <v>2254</v>
      </c>
      <c r="M304" s="38">
        <v>42460</v>
      </c>
      <c r="N304" s="1" t="s">
        <v>6</v>
      </c>
      <c r="O304" s="1" t="s">
        <v>69</v>
      </c>
    </row>
    <row r="305" spans="1:15" x14ac:dyDescent="0.25">
      <c r="A305" s="1"/>
      <c r="B305" s="2" t="s">
        <v>917</v>
      </c>
      <c r="C305" s="2" t="s">
        <v>124</v>
      </c>
      <c r="D305" s="38">
        <v>42460</v>
      </c>
      <c r="E305" s="2" t="s">
        <v>70</v>
      </c>
      <c r="F305" s="1" t="s">
        <v>4052</v>
      </c>
      <c r="G305" s="2" t="s">
        <v>66</v>
      </c>
      <c r="H305" s="7" t="s">
        <v>4053</v>
      </c>
      <c r="I305" s="2" t="s">
        <v>36</v>
      </c>
      <c r="J305" s="2" t="s">
        <v>213</v>
      </c>
      <c r="K305" s="7" t="s">
        <v>4054</v>
      </c>
      <c r="L305" s="1" t="s">
        <v>4055</v>
      </c>
      <c r="M305" s="38">
        <v>42460</v>
      </c>
      <c r="N305" s="1" t="s">
        <v>6</v>
      </c>
      <c r="O305" s="1" t="s">
        <v>69</v>
      </c>
    </row>
    <row r="306" spans="1:15" x14ac:dyDescent="0.25">
      <c r="A306" s="1"/>
      <c r="B306" s="2" t="s">
        <v>915</v>
      </c>
      <c r="C306" s="2" t="s">
        <v>78</v>
      </c>
      <c r="D306" s="38">
        <v>42462</v>
      </c>
      <c r="E306" s="2" t="s">
        <v>70</v>
      </c>
      <c r="F306" s="1" t="s">
        <v>4056</v>
      </c>
      <c r="G306" s="2" t="s">
        <v>66</v>
      </c>
      <c r="H306" s="7" t="s">
        <v>4280</v>
      </c>
      <c r="I306" s="2" t="s">
        <v>1117</v>
      </c>
      <c r="J306" s="2" t="s">
        <v>213</v>
      </c>
      <c r="K306" s="7" t="s">
        <v>4281</v>
      </c>
      <c r="L306" s="1" t="s">
        <v>4057</v>
      </c>
      <c r="M306" s="38">
        <v>42462</v>
      </c>
      <c r="N306" s="1" t="s">
        <v>6</v>
      </c>
      <c r="O306" s="1" t="s">
        <v>69</v>
      </c>
    </row>
    <row r="307" spans="1:15" x14ac:dyDescent="0.25">
      <c r="A307" s="1"/>
      <c r="B307" s="2" t="s">
        <v>2870</v>
      </c>
      <c r="C307" s="2" t="s">
        <v>116</v>
      </c>
      <c r="D307" s="38">
        <v>42462</v>
      </c>
      <c r="E307" s="2" t="s">
        <v>70</v>
      </c>
      <c r="F307" s="1" t="s">
        <v>4058</v>
      </c>
      <c r="G307" s="2" t="s">
        <v>66</v>
      </c>
      <c r="H307" s="7" t="s">
        <v>4059</v>
      </c>
      <c r="I307" s="2" t="s">
        <v>41</v>
      </c>
      <c r="J307" s="2" t="s">
        <v>213</v>
      </c>
      <c r="K307" s="7" t="s">
        <v>4282</v>
      </c>
      <c r="L307" s="1" t="s">
        <v>2040</v>
      </c>
      <c r="M307" s="38"/>
      <c r="N307" s="1" t="s">
        <v>6</v>
      </c>
      <c r="O307" s="1" t="s">
        <v>69</v>
      </c>
    </row>
    <row r="308" spans="1:15" x14ac:dyDescent="0.25">
      <c r="A308" s="1"/>
      <c r="B308" s="2" t="s">
        <v>2870</v>
      </c>
      <c r="C308" s="2" t="s">
        <v>116</v>
      </c>
      <c r="D308" s="38">
        <v>42462</v>
      </c>
      <c r="E308" s="2" t="s">
        <v>70</v>
      </c>
      <c r="F308" s="1" t="s">
        <v>4058</v>
      </c>
      <c r="G308" s="2" t="s">
        <v>66</v>
      </c>
      <c r="H308" s="7" t="s">
        <v>4060</v>
      </c>
      <c r="I308" s="2" t="s">
        <v>41</v>
      </c>
      <c r="J308" s="2" t="s">
        <v>213</v>
      </c>
      <c r="K308" s="7" t="s">
        <v>4061</v>
      </c>
      <c r="L308" s="1" t="s">
        <v>2040</v>
      </c>
      <c r="M308" s="38"/>
      <c r="N308" s="1" t="s">
        <v>6</v>
      </c>
      <c r="O308" s="1" t="s">
        <v>69</v>
      </c>
    </row>
    <row r="309" spans="1:15" x14ac:dyDescent="0.25">
      <c r="A309" s="1"/>
      <c r="B309" s="2" t="s">
        <v>2870</v>
      </c>
      <c r="C309" s="2" t="s">
        <v>116</v>
      </c>
      <c r="D309" s="38">
        <v>42462</v>
      </c>
      <c r="E309" s="2" t="s">
        <v>70</v>
      </c>
      <c r="F309" s="1" t="s">
        <v>4058</v>
      </c>
      <c r="G309" s="2" t="s">
        <v>66</v>
      </c>
      <c r="H309" s="7" t="s">
        <v>4283</v>
      </c>
      <c r="I309" s="2" t="s">
        <v>41</v>
      </c>
      <c r="J309" s="2" t="s">
        <v>213</v>
      </c>
      <c r="K309" s="7" t="s">
        <v>4284</v>
      </c>
      <c r="L309" s="1" t="s">
        <v>2040</v>
      </c>
      <c r="M309" s="38"/>
      <c r="N309" s="1" t="s">
        <v>6</v>
      </c>
      <c r="O309" s="1" t="s">
        <v>69</v>
      </c>
    </row>
    <row r="310" spans="1:15" ht="30" x14ac:dyDescent="0.25">
      <c r="A310" s="1"/>
      <c r="B310" s="2" t="s">
        <v>2870</v>
      </c>
      <c r="C310" s="2" t="s">
        <v>116</v>
      </c>
      <c r="D310" s="38">
        <v>42462</v>
      </c>
      <c r="E310" s="2" t="s">
        <v>70</v>
      </c>
      <c r="F310" s="1" t="s">
        <v>4058</v>
      </c>
      <c r="G310" s="2" t="s">
        <v>66</v>
      </c>
      <c r="H310" s="7" t="s">
        <v>4285</v>
      </c>
      <c r="I310" s="2" t="s">
        <v>41</v>
      </c>
      <c r="J310" s="2" t="s">
        <v>213</v>
      </c>
      <c r="K310" s="7" t="s">
        <v>4286</v>
      </c>
      <c r="L310" s="1" t="s">
        <v>2040</v>
      </c>
      <c r="M310" s="38"/>
      <c r="N310" s="1" t="s">
        <v>6</v>
      </c>
      <c r="O310" s="1" t="s">
        <v>69</v>
      </c>
    </row>
    <row r="311" spans="1:15" x14ac:dyDescent="0.25">
      <c r="A311" s="1"/>
      <c r="B311" s="2" t="s">
        <v>2870</v>
      </c>
      <c r="C311" s="2" t="s">
        <v>116</v>
      </c>
      <c r="D311" s="38">
        <v>42462</v>
      </c>
      <c r="E311" s="2" t="s">
        <v>70</v>
      </c>
      <c r="F311" s="1" t="s">
        <v>4058</v>
      </c>
      <c r="G311" s="2" t="s">
        <v>66</v>
      </c>
      <c r="H311" s="7" t="s">
        <v>4287</v>
      </c>
      <c r="I311" s="2" t="s">
        <v>41</v>
      </c>
      <c r="J311" s="2" t="s">
        <v>213</v>
      </c>
      <c r="K311" s="7" t="s">
        <v>4288</v>
      </c>
      <c r="L311" s="1" t="s">
        <v>2040</v>
      </c>
      <c r="M311" s="38"/>
      <c r="N311" s="1" t="s">
        <v>6</v>
      </c>
      <c r="O311" s="1" t="s">
        <v>69</v>
      </c>
    </row>
    <row r="312" spans="1:15" x14ac:dyDescent="0.25">
      <c r="A312" s="1"/>
      <c r="B312" s="2" t="s">
        <v>917</v>
      </c>
      <c r="C312" s="2" t="s">
        <v>36</v>
      </c>
      <c r="D312" s="38">
        <v>42464</v>
      </c>
      <c r="E312" s="2" t="s">
        <v>70</v>
      </c>
      <c r="F312" s="1" t="s">
        <v>4062</v>
      </c>
      <c r="G312" s="2" t="s">
        <v>71</v>
      </c>
      <c r="H312" s="7" t="s">
        <v>4019</v>
      </c>
      <c r="I312" s="2" t="s">
        <v>36</v>
      </c>
      <c r="J312" s="2" t="s">
        <v>213</v>
      </c>
      <c r="K312" s="7" t="s">
        <v>4063</v>
      </c>
      <c r="L312" s="1" t="s">
        <v>4062</v>
      </c>
      <c r="M312" s="38">
        <v>42433</v>
      </c>
      <c r="N312" s="1" t="s">
        <v>6</v>
      </c>
      <c r="O312" s="1" t="s">
        <v>69</v>
      </c>
    </row>
    <row r="313" spans="1:15" x14ac:dyDescent="0.25">
      <c r="A313" s="1"/>
      <c r="B313" s="2" t="s">
        <v>915</v>
      </c>
      <c r="C313" s="2" t="s">
        <v>78</v>
      </c>
      <c r="D313" s="38">
        <v>42466</v>
      </c>
      <c r="E313" s="2" t="s">
        <v>70</v>
      </c>
      <c r="F313" s="1" t="s">
        <v>4064</v>
      </c>
      <c r="G313" s="2" t="s">
        <v>71</v>
      </c>
      <c r="H313" s="7" t="s">
        <v>4289</v>
      </c>
      <c r="I313" s="2" t="s">
        <v>171</v>
      </c>
      <c r="J313" s="2" t="s">
        <v>213</v>
      </c>
      <c r="K313" s="7" t="s">
        <v>4290</v>
      </c>
      <c r="L313" s="1" t="s">
        <v>4065</v>
      </c>
      <c r="M313" s="38">
        <v>42466</v>
      </c>
      <c r="N313" s="1" t="s">
        <v>6</v>
      </c>
      <c r="O313" s="1" t="s">
        <v>69</v>
      </c>
    </row>
    <row r="314" spans="1:15" x14ac:dyDescent="0.25">
      <c r="A314" s="1"/>
      <c r="B314" s="2" t="s">
        <v>917</v>
      </c>
      <c r="C314" s="2" t="s">
        <v>43</v>
      </c>
      <c r="D314" s="38">
        <v>42466</v>
      </c>
      <c r="E314" s="2" t="s">
        <v>70</v>
      </c>
      <c r="F314" s="1" t="s">
        <v>4066</v>
      </c>
      <c r="G314" s="2" t="s">
        <v>71</v>
      </c>
      <c r="H314" s="7" t="s">
        <v>4051</v>
      </c>
      <c r="I314" s="2" t="s">
        <v>118</v>
      </c>
      <c r="J314" s="2" t="s">
        <v>213</v>
      </c>
      <c r="K314" s="7"/>
      <c r="L314" s="1" t="s">
        <v>4066</v>
      </c>
      <c r="M314" s="38">
        <v>42466</v>
      </c>
      <c r="N314" s="1" t="s">
        <v>6</v>
      </c>
      <c r="O314" s="1" t="s">
        <v>69</v>
      </c>
    </row>
    <row r="315" spans="1:15" x14ac:dyDescent="0.25">
      <c r="A315" s="1"/>
      <c r="B315" s="2" t="s">
        <v>915</v>
      </c>
      <c r="C315" s="2" t="s">
        <v>78</v>
      </c>
      <c r="D315" s="38">
        <v>42466</v>
      </c>
      <c r="E315" s="2" t="s">
        <v>70</v>
      </c>
      <c r="F315" s="1" t="s">
        <v>4067</v>
      </c>
      <c r="G315" s="2" t="s">
        <v>71</v>
      </c>
      <c r="H315" s="7" t="s">
        <v>4291</v>
      </c>
      <c r="I315" s="2" t="s">
        <v>171</v>
      </c>
      <c r="J315" s="2" t="s">
        <v>213</v>
      </c>
      <c r="K315" s="7" t="s">
        <v>4292</v>
      </c>
      <c r="L315" s="1" t="s">
        <v>4065</v>
      </c>
      <c r="M315" s="38">
        <v>42466</v>
      </c>
      <c r="N315" s="1" t="s">
        <v>6</v>
      </c>
      <c r="O315" s="1" t="s">
        <v>69</v>
      </c>
    </row>
    <row r="316" spans="1:15" ht="60" x14ac:dyDescent="0.25">
      <c r="A316" s="1"/>
      <c r="B316" s="2" t="s">
        <v>917</v>
      </c>
      <c r="C316" s="2" t="s">
        <v>78</v>
      </c>
      <c r="D316" s="38">
        <v>42466</v>
      </c>
      <c r="E316" s="2" t="s">
        <v>70</v>
      </c>
      <c r="F316" s="1" t="s">
        <v>4068</v>
      </c>
      <c r="G316" s="2" t="s">
        <v>66</v>
      </c>
      <c r="H316" s="7" t="s">
        <v>4293</v>
      </c>
      <c r="I316" s="2" t="s">
        <v>171</v>
      </c>
      <c r="J316" s="2" t="s">
        <v>213</v>
      </c>
      <c r="K316" s="7" t="s">
        <v>4294</v>
      </c>
      <c r="L316" s="1" t="s">
        <v>4065</v>
      </c>
      <c r="M316" s="38">
        <v>42466</v>
      </c>
      <c r="N316" s="1" t="s">
        <v>6</v>
      </c>
      <c r="O316" s="1" t="s">
        <v>69</v>
      </c>
    </row>
    <row r="317" spans="1:15" x14ac:dyDescent="0.25">
      <c r="A317" s="1"/>
      <c r="B317" s="2" t="s">
        <v>915</v>
      </c>
      <c r="C317" s="2" t="s">
        <v>116</v>
      </c>
      <c r="D317" s="38">
        <v>42466</v>
      </c>
      <c r="E317" s="2" t="s">
        <v>70</v>
      </c>
      <c r="F317" s="1" t="s">
        <v>4069</v>
      </c>
      <c r="G317" s="2" t="s">
        <v>66</v>
      </c>
      <c r="H317" s="7" t="s">
        <v>4070</v>
      </c>
      <c r="I317" s="2" t="s">
        <v>171</v>
      </c>
      <c r="J317" s="2" t="s">
        <v>213</v>
      </c>
      <c r="K317" s="7" t="s">
        <v>4071</v>
      </c>
      <c r="L317" s="1" t="s">
        <v>4072</v>
      </c>
      <c r="M317" s="38">
        <v>42466</v>
      </c>
      <c r="N317" s="1" t="s">
        <v>6</v>
      </c>
      <c r="O317" s="1" t="s">
        <v>69</v>
      </c>
    </row>
    <row r="318" spans="1:15" x14ac:dyDescent="0.25">
      <c r="A318" s="1"/>
      <c r="B318" s="2" t="s">
        <v>917</v>
      </c>
      <c r="C318" s="2" t="s">
        <v>36</v>
      </c>
      <c r="D318" s="38">
        <v>42467</v>
      </c>
      <c r="E318" s="2" t="s">
        <v>70</v>
      </c>
      <c r="F318" s="1" t="s">
        <v>4073</v>
      </c>
      <c r="G318" s="2" t="s">
        <v>71</v>
      </c>
      <c r="H318" s="7" t="s">
        <v>4019</v>
      </c>
      <c r="I318" s="2" t="s">
        <v>36</v>
      </c>
      <c r="J318" s="2" t="s">
        <v>213</v>
      </c>
      <c r="K318" s="7" t="s">
        <v>2267</v>
      </c>
      <c r="L318" s="1" t="s">
        <v>4073</v>
      </c>
      <c r="M318" s="38">
        <v>42467</v>
      </c>
      <c r="N318" s="1" t="s">
        <v>6</v>
      </c>
      <c r="O318" s="1" t="s">
        <v>69</v>
      </c>
    </row>
    <row r="319" spans="1:15" ht="30" x14ac:dyDescent="0.25">
      <c r="A319" s="1"/>
      <c r="B319" s="2" t="s">
        <v>581</v>
      </c>
      <c r="C319" s="2" t="s">
        <v>171</v>
      </c>
      <c r="D319" s="38">
        <v>42467</v>
      </c>
      <c r="E319" s="2" t="s">
        <v>64</v>
      </c>
      <c r="F319" s="1" t="s">
        <v>4074</v>
      </c>
      <c r="G319" s="2" t="s">
        <v>71</v>
      </c>
      <c r="H319" s="7" t="s">
        <v>4295</v>
      </c>
      <c r="I319" s="2" t="s">
        <v>176</v>
      </c>
      <c r="J319" s="2" t="s">
        <v>213</v>
      </c>
      <c r="K319" s="7"/>
      <c r="L319" s="1"/>
      <c r="M319" s="38">
        <v>42467</v>
      </c>
      <c r="N319" s="1" t="s">
        <v>6</v>
      </c>
      <c r="O319" s="1" t="s">
        <v>69</v>
      </c>
    </row>
    <row r="320" spans="1:15" x14ac:dyDescent="0.25">
      <c r="A320" s="1"/>
      <c r="B320" s="2" t="s">
        <v>2872</v>
      </c>
      <c r="C320" s="2" t="s">
        <v>41</v>
      </c>
      <c r="D320" s="38">
        <v>42467</v>
      </c>
      <c r="E320" s="2" t="s">
        <v>70</v>
      </c>
      <c r="F320" s="1" t="s">
        <v>4075</v>
      </c>
      <c r="G320" s="2" t="s">
        <v>66</v>
      </c>
      <c r="H320" s="7" t="s">
        <v>4076</v>
      </c>
      <c r="I320" s="2" t="s">
        <v>1061</v>
      </c>
      <c r="J320" s="2" t="s">
        <v>213</v>
      </c>
      <c r="K320" s="7" t="s">
        <v>4296</v>
      </c>
      <c r="L320" s="1" t="s">
        <v>2116</v>
      </c>
      <c r="M320" s="38">
        <v>42467</v>
      </c>
      <c r="N320" s="1" t="s">
        <v>6</v>
      </c>
      <c r="O320" s="1" t="s">
        <v>69</v>
      </c>
    </row>
    <row r="321" spans="1:15" x14ac:dyDescent="0.25">
      <c r="A321" s="1"/>
      <c r="B321" s="2" t="s">
        <v>2872</v>
      </c>
      <c r="C321" s="2" t="s">
        <v>41</v>
      </c>
      <c r="D321" s="38">
        <v>42467</v>
      </c>
      <c r="E321" s="2" t="s">
        <v>70</v>
      </c>
      <c r="F321" s="1" t="s">
        <v>4077</v>
      </c>
      <c r="G321" s="2" t="s">
        <v>66</v>
      </c>
      <c r="H321" s="7" t="s">
        <v>4297</v>
      </c>
      <c r="I321" s="2" t="s">
        <v>1061</v>
      </c>
      <c r="J321" s="2" t="s">
        <v>213</v>
      </c>
      <c r="K321" s="7" t="s">
        <v>4078</v>
      </c>
      <c r="L321" s="1" t="s">
        <v>2116</v>
      </c>
      <c r="M321" s="38">
        <v>42467</v>
      </c>
      <c r="N321" s="1" t="s">
        <v>6</v>
      </c>
      <c r="O321" s="1" t="s">
        <v>69</v>
      </c>
    </row>
    <row r="322" spans="1:15" x14ac:dyDescent="0.25">
      <c r="A322" s="1"/>
      <c r="B322" s="2" t="s">
        <v>2872</v>
      </c>
      <c r="C322" s="2" t="s">
        <v>41</v>
      </c>
      <c r="D322" s="38">
        <v>42467</v>
      </c>
      <c r="E322" s="2" t="s">
        <v>70</v>
      </c>
      <c r="F322" s="1" t="s">
        <v>4079</v>
      </c>
      <c r="G322" s="2" t="s">
        <v>71</v>
      </c>
      <c r="H322" s="7" t="s">
        <v>1419</v>
      </c>
      <c r="I322" s="2" t="s">
        <v>1469</v>
      </c>
      <c r="J322" s="2" t="s">
        <v>213</v>
      </c>
      <c r="K322" s="7"/>
      <c r="L322" s="1" t="s">
        <v>4080</v>
      </c>
      <c r="M322" s="38">
        <v>42467</v>
      </c>
      <c r="N322" s="1" t="s">
        <v>6</v>
      </c>
      <c r="O322" s="1" t="s">
        <v>69</v>
      </c>
    </row>
    <row r="323" spans="1:15" ht="30" x14ac:dyDescent="0.25">
      <c r="A323" s="1"/>
      <c r="B323" s="2" t="s">
        <v>917</v>
      </c>
      <c r="C323" s="2" t="s">
        <v>116</v>
      </c>
      <c r="D323" s="38">
        <v>42467</v>
      </c>
      <c r="E323" s="2" t="s">
        <v>70</v>
      </c>
      <c r="F323" s="1" t="s">
        <v>4081</v>
      </c>
      <c r="G323" s="2" t="s">
        <v>66</v>
      </c>
      <c r="H323" s="7" t="s">
        <v>4298</v>
      </c>
      <c r="I323" s="2" t="s">
        <v>116</v>
      </c>
      <c r="J323" s="2" t="s">
        <v>213</v>
      </c>
      <c r="K323" s="7" t="s">
        <v>4082</v>
      </c>
      <c r="L323" s="1" t="s">
        <v>4083</v>
      </c>
      <c r="M323" s="38">
        <v>42468</v>
      </c>
      <c r="N323" s="1" t="s">
        <v>6</v>
      </c>
      <c r="O323" s="1" t="s">
        <v>69</v>
      </c>
    </row>
    <row r="324" spans="1:15" ht="45" x14ac:dyDescent="0.25">
      <c r="A324" s="1"/>
      <c r="B324" s="2" t="s">
        <v>917</v>
      </c>
      <c r="C324" s="2" t="s">
        <v>116</v>
      </c>
      <c r="D324" s="38">
        <v>42467</v>
      </c>
      <c r="E324" s="2" t="s">
        <v>70</v>
      </c>
      <c r="F324" s="1" t="s">
        <v>4081</v>
      </c>
      <c r="G324" s="2" t="s">
        <v>71</v>
      </c>
      <c r="H324" s="7" t="s">
        <v>4299</v>
      </c>
      <c r="I324" s="2" t="s">
        <v>116</v>
      </c>
      <c r="J324" s="2" t="s">
        <v>213</v>
      </c>
      <c r="K324" s="7" t="s">
        <v>4084</v>
      </c>
      <c r="L324" s="1" t="s">
        <v>4083</v>
      </c>
      <c r="M324" s="38">
        <v>42468</v>
      </c>
      <c r="N324" s="1" t="s">
        <v>6</v>
      </c>
      <c r="O324" s="1" t="s">
        <v>69</v>
      </c>
    </row>
    <row r="325" spans="1:15" ht="30" x14ac:dyDescent="0.25">
      <c r="A325" s="1"/>
      <c r="B325" s="2" t="s">
        <v>2870</v>
      </c>
      <c r="C325" s="2" t="s">
        <v>116</v>
      </c>
      <c r="D325" s="38">
        <v>42467</v>
      </c>
      <c r="E325" s="2" t="s">
        <v>70</v>
      </c>
      <c r="F325" s="1" t="s">
        <v>4085</v>
      </c>
      <c r="G325" s="2" t="s">
        <v>66</v>
      </c>
      <c r="H325" s="7" t="s">
        <v>4086</v>
      </c>
      <c r="I325" s="2" t="s">
        <v>116</v>
      </c>
      <c r="J325" s="2" t="s">
        <v>213</v>
      </c>
      <c r="K325" s="7" t="s">
        <v>4087</v>
      </c>
      <c r="L325" s="1" t="s">
        <v>4088</v>
      </c>
      <c r="M325" s="38">
        <v>42468</v>
      </c>
      <c r="N325" s="1" t="s">
        <v>6</v>
      </c>
      <c r="O325" s="1" t="s">
        <v>69</v>
      </c>
    </row>
    <row r="326" spans="1:15" ht="30" x14ac:dyDescent="0.25">
      <c r="A326" s="1"/>
      <c r="B326" s="2" t="s">
        <v>2870</v>
      </c>
      <c r="C326" s="2" t="s">
        <v>116</v>
      </c>
      <c r="D326" s="38">
        <v>42467</v>
      </c>
      <c r="E326" s="2" t="s">
        <v>70</v>
      </c>
      <c r="F326" s="1" t="s">
        <v>4085</v>
      </c>
      <c r="G326" s="2" t="s">
        <v>71</v>
      </c>
      <c r="H326" s="7" t="s">
        <v>4300</v>
      </c>
      <c r="I326" s="2" t="s">
        <v>116</v>
      </c>
      <c r="J326" s="2" t="s">
        <v>213</v>
      </c>
      <c r="K326" s="7" t="s">
        <v>4301</v>
      </c>
      <c r="L326" s="1" t="s">
        <v>4088</v>
      </c>
      <c r="M326" s="38">
        <v>42468</v>
      </c>
      <c r="N326" s="1" t="s">
        <v>6</v>
      </c>
      <c r="O326" s="1" t="s">
        <v>69</v>
      </c>
    </row>
    <row r="327" spans="1:15" ht="45" x14ac:dyDescent="0.25">
      <c r="A327" s="1"/>
      <c r="B327" s="2" t="s">
        <v>915</v>
      </c>
      <c r="C327" s="2" t="s">
        <v>171</v>
      </c>
      <c r="D327" s="38">
        <v>42467</v>
      </c>
      <c r="E327" s="2" t="s">
        <v>64</v>
      </c>
      <c r="F327" s="1" t="s">
        <v>4089</v>
      </c>
      <c r="G327" s="2" t="s">
        <v>71</v>
      </c>
      <c r="H327" s="7" t="s">
        <v>4302</v>
      </c>
      <c r="I327" s="2" t="s">
        <v>176</v>
      </c>
      <c r="J327" s="2" t="s">
        <v>213</v>
      </c>
      <c r="K327" s="7"/>
      <c r="L327" s="1"/>
      <c r="M327" s="38">
        <v>42555</v>
      </c>
      <c r="N327" s="1" t="s">
        <v>6</v>
      </c>
      <c r="O327" s="1" t="s">
        <v>69</v>
      </c>
    </row>
    <row r="328" spans="1:15" x14ac:dyDescent="0.25">
      <c r="A328" s="1"/>
      <c r="B328" s="2" t="s">
        <v>917</v>
      </c>
      <c r="C328" s="2" t="s">
        <v>36</v>
      </c>
      <c r="D328" s="38">
        <v>42468</v>
      </c>
      <c r="E328" s="2" t="s">
        <v>70</v>
      </c>
      <c r="F328" s="1" t="s">
        <v>4090</v>
      </c>
      <c r="G328" s="2" t="s">
        <v>71</v>
      </c>
      <c r="H328" s="7" t="s">
        <v>2115</v>
      </c>
      <c r="I328" s="2" t="s">
        <v>36</v>
      </c>
      <c r="J328" s="2" t="s">
        <v>213</v>
      </c>
      <c r="K328" s="7" t="s">
        <v>2267</v>
      </c>
      <c r="L328" s="1" t="s">
        <v>4090</v>
      </c>
      <c r="M328" s="38">
        <v>42468</v>
      </c>
      <c r="N328" s="1" t="s">
        <v>6</v>
      </c>
      <c r="O328" s="1" t="s">
        <v>69</v>
      </c>
    </row>
    <row r="329" spans="1:15" x14ac:dyDescent="0.25">
      <c r="A329" s="1"/>
      <c r="B329" s="2" t="s">
        <v>917</v>
      </c>
      <c r="C329" s="2" t="s">
        <v>78</v>
      </c>
      <c r="D329" s="38">
        <v>42468</v>
      </c>
      <c r="E329" s="2" t="s">
        <v>70</v>
      </c>
      <c r="F329" s="1" t="s">
        <v>4091</v>
      </c>
      <c r="G329" s="2" t="s">
        <v>66</v>
      </c>
      <c r="H329" s="7" t="s">
        <v>4092</v>
      </c>
      <c r="I329" s="2" t="s">
        <v>171</v>
      </c>
      <c r="J329" s="2" t="s">
        <v>213</v>
      </c>
      <c r="K329" s="7" t="s">
        <v>4303</v>
      </c>
      <c r="L329" s="1" t="s">
        <v>4065</v>
      </c>
      <c r="M329" s="38">
        <v>42468</v>
      </c>
      <c r="N329" s="1" t="s">
        <v>6</v>
      </c>
      <c r="O329" s="1" t="s">
        <v>69</v>
      </c>
    </row>
    <row r="330" spans="1:15" ht="45" x14ac:dyDescent="0.25">
      <c r="A330" s="1"/>
      <c r="B330" s="2" t="s">
        <v>917</v>
      </c>
      <c r="C330" s="2" t="s">
        <v>78</v>
      </c>
      <c r="D330" s="38">
        <v>42468</v>
      </c>
      <c r="E330" s="2" t="s">
        <v>70</v>
      </c>
      <c r="F330" s="1" t="s">
        <v>4093</v>
      </c>
      <c r="G330" s="2" t="s">
        <v>66</v>
      </c>
      <c r="H330" s="7" t="s">
        <v>4094</v>
      </c>
      <c r="I330" s="2" t="s">
        <v>171</v>
      </c>
      <c r="J330" s="2" t="s">
        <v>213</v>
      </c>
      <c r="K330" s="7" t="s">
        <v>4304</v>
      </c>
      <c r="L330" s="1" t="s">
        <v>4065</v>
      </c>
      <c r="M330" s="38">
        <v>42468</v>
      </c>
      <c r="N330" s="1" t="s">
        <v>6</v>
      </c>
      <c r="O330" s="1" t="s">
        <v>69</v>
      </c>
    </row>
    <row r="331" spans="1:15" x14ac:dyDescent="0.25">
      <c r="A331" s="1"/>
      <c r="B331" s="2" t="s">
        <v>2870</v>
      </c>
      <c r="C331" s="2" t="s">
        <v>78</v>
      </c>
      <c r="D331" s="38">
        <v>42468</v>
      </c>
      <c r="E331" s="2" t="s">
        <v>70</v>
      </c>
      <c r="F331" s="1" t="s">
        <v>4095</v>
      </c>
      <c r="G331" s="2" t="s">
        <v>66</v>
      </c>
      <c r="H331" s="7" t="s">
        <v>4096</v>
      </c>
      <c r="I331" s="2" t="s">
        <v>41</v>
      </c>
      <c r="J331" s="2" t="s">
        <v>213</v>
      </c>
      <c r="K331" s="7" t="s">
        <v>4097</v>
      </c>
      <c r="L331" s="1" t="s">
        <v>4098</v>
      </c>
      <c r="M331" s="38">
        <v>42469</v>
      </c>
      <c r="N331" s="1" t="s">
        <v>6</v>
      </c>
      <c r="O331" s="1" t="s">
        <v>69</v>
      </c>
    </row>
    <row r="332" spans="1:15" ht="45" x14ac:dyDescent="0.25">
      <c r="A332" s="1"/>
      <c r="B332" s="2" t="s">
        <v>2870</v>
      </c>
      <c r="C332" s="2" t="s">
        <v>78</v>
      </c>
      <c r="D332" s="38">
        <v>42468</v>
      </c>
      <c r="E332" s="2" t="s">
        <v>70</v>
      </c>
      <c r="F332" s="1" t="s">
        <v>4095</v>
      </c>
      <c r="G332" s="2" t="s">
        <v>71</v>
      </c>
      <c r="H332" s="7" t="s">
        <v>4305</v>
      </c>
      <c r="I332" s="2" t="s">
        <v>41</v>
      </c>
      <c r="J332" s="2" t="s">
        <v>213</v>
      </c>
      <c r="K332" s="7" t="s">
        <v>4099</v>
      </c>
      <c r="L332" s="1" t="s">
        <v>4098</v>
      </c>
      <c r="M332" s="38">
        <v>42469</v>
      </c>
      <c r="N332" s="1" t="s">
        <v>6</v>
      </c>
      <c r="O332" s="1" t="s">
        <v>69</v>
      </c>
    </row>
    <row r="333" spans="1:15" x14ac:dyDescent="0.25">
      <c r="A333" s="1"/>
      <c r="B333" s="2" t="s">
        <v>915</v>
      </c>
      <c r="C333" s="2" t="s">
        <v>41</v>
      </c>
      <c r="D333" s="38">
        <v>42469</v>
      </c>
      <c r="E333" s="2" t="s">
        <v>70</v>
      </c>
      <c r="F333" s="1" t="s">
        <v>4100</v>
      </c>
      <c r="G333" s="2" t="s">
        <v>71</v>
      </c>
      <c r="H333" s="7" t="s">
        <v>4101</v>
      </c>
      <c r="I333" s="2" t="s">
        <v>1117</v>
      </c>
      <c r="J333" s="2" t="s">
        <v>213</v>
      </c>
      <c r="K333" s="7"/>
      <c r="L333" s="1" t="s">
        <v>2254</v>
      </c>
      <c r="M333" s="38">
        <v>42469</v>
      </c>
      <c r="N333" s="1" t="s">
        <v>6</v>
      </c>
      <c r="O333" s="1" t="s">
        <v>69</v>
      </c>
    </row>
    <row r="334" spans="1:15" x14ac:dyDescent="0.25">
      <c r="A334" s="1"/>
      <c r="B334" s="2" t="s">
        <v>915</v>
      </c>
      <c r="C334" s="2" t="s">
        <v>41</v>
      </c>
      <c r="D334" s="38">
        <v>42469</v>
      </c>
      <c r="E334" s="2" t="s">
        <v>70</v>
      </c>
      <c r="F334" s="1" t="s">
        <v>4102</v>
      </c>
      <c r="G334" s="2" t="s">
        <v>66</v>
      </c>
      <c r="H334" s="7" t="s">
        <v>4103</v>
      </c>
      <c r="I334" s="2" t="s">
        <v>1117</v>
      </c>
      <c r="J334" s="2" t="s">
        <v>213</v>
      </c>
      <c r="K334" s="7" t="s">
        <v>4104</v>
      </c>
      <c r="L334" s="1" t="s">
        <v>4013</v>
      </c>
      <c r="M334" s="38">
        <v>42469</v>
      </c>
      <c r="N334" s="1" t="s">
        <v>6</v>
      </c>
      <c r="O334" s="1" t="s">
        <v>69</v>
      </c>
    </row>
    <row r="335" spans="1:15" x14ac:dyDescent="0.25">
      <c r="A335" s="1"/>
      <c r="B335" s="2" t="s">
        <v>915</v>
      </c>
      <c r="C335" s="2" t="s">
        <v>41</v>
      </c>
      <c r="D335" s="38">
        <v>42469</v>
      </c>
      <c r="E335" s="2" t="s">
        <v>70</v>
      </c>
      <c r="F335" s="1" t="s">
        <v>4105</v>
      </c>
      <c r="G335" s="2" t="s">
        <v>66</v>
      </c>
      <c r="H335" s="7" t="s">
        <v>4306</v>
      </c>
      <c r="I335" s="2" t="s">
        <v>1117</v>
      </c>
      <c r="J335" s="2" t="s">
        <v>213</v>
      </c>
      <c r="K335" s="7" t="s">
        <v>4106</v>
      </c>
      <c r="L335" s="1" t="s">
        <v>4013</v>
      </c>
      <c r="M335" s="38">
        <v>42469</v>
      </c>
      <c r="N335" s="1" t="s">
        <v>6</v>
      </c>
      <c r="O335" s="1" t="s">
        <v>69</v>
      </c>
    </row>
    <row r="336" spans="1:15" x14ac:dyDescent="0.25">
      <c r="A336" s="1"/>
      <c r="B336" s="2" t="s">
        <v>915</v>
      </c>
      <c r="C336" s="2" t="s">
        <v>36</v>
      </c>
      <c r="D336" s="38">
        <v>42469</v>
      </c>
      <c r="E336" s="2" t="s">
        <v>70</v>
      </c>
      <c r="F336" s="1" t="s">
        <v>4107</v>
      </c>
      <c r="G336" s="2" t="s">
        <v>66</v>
      </c>
      <c r="H336" s="7" t="s">
        <v>4108</v>
      </c>
      <c r="I336" s="2" t="s">
        <v>116</v>
      </c>
      <c r="J336" s="2" t="s">
        <v>213</v>
      </c>
      <c r="K336" s="7" t="s">
        <v>4109</v>
      </c>
      <c r="L336" s="1" t="s">
        <v>4110</v>
      </c>
      <c r="M336" s="38">
        <v>42472</v>
      </c>
      <c r="N336" s="1" t="s">
        <v>6</v>
      </c>
      <c r="O336" s="1" t="s">
        <v>69</v>
      </c>
    </row>
    <row r="337" spans="1:15" ht="30" x14ac:dyDescent="0.25">
      <c r="A337" s="1"/>
      <c r="B337" s="2" t="s">
        <v>915</v>
      </c>
      <c r="C337" s="2" t="s">
        <v>36</v>
      </c>
      <c r="D337" s="38">
        <v>42469</v>
      </c>
      <c r="E337" s="2" t="s">
        <v>70</v>
      </c>
      <c r="F337" s="1" t="s">
        <v>4107</v>
      </c>
      <c r="G337" s="2" t="s">
        <v>66</v>
      </c>
      <c r="H337" s="7" t="s">
        <v>4111</v>
      </c>
      <c r="I337" s="2" t="s">
        <v>116</v>
      </c>
      <c r="J337" s="2" t="s">
        <v>213</v>
      </c>
      <c r="K337" s="7" t="s">
        <v>4307</v>
      </c>
      <c r="L337" s="1" t="s">
        <v>4110</v>
      </c>
      <c r="M337" s="38">
        <v>42472</v>
      </c>
      <c r="N337" s="1" t="s">
        <v>6</v>
      </c>
      <c r="O337" s="1" t="s">
        <v>69</v>
      </c>
    </row>
    <row r="338" spans="1:15" x14ac:dyDescent="0.25">
      <c r="A338" s="1"/>
      <c r="B338" s="2" t="s">
        <v>915</v>
      </c>
      <c r="C338" s="2" t="s">
        <v>36</v>
      </c>
      <c r="D338" s="38">
        <v>42469</v>
      </c>
      <c r="E338" s="2" t="s">
        <v>70</v>
      </c>
      <c r="F338" s="1" t="s">
        <v>4107</v>
      </c>
      <c r="G338" s="2" t="s">
        <v>66</v>
      </c>
      <c r="H338" s="7" t="s">
        <v>4112</v>
      </c>
      <c r="I338" s="2" t="s">
        <v>116</v>
      </c>
      <c r="J338" s="2" t="s">
        <v>213</v>
      </c>
      <c r="K338" s="7" t="s">
        <v>4113</v>
      </c>
      <c r="L338" s="1" t="s">
        <v>4110</v>
      </c>
      <c r="M338" s="38">
        <v>42472</v>
      </c>
      <c r="N338" s="1" t="s">
        <v>6</v>
      </c>
      <c r="O338" s="1" t="s">
        <v>69</v>
      </c>
    </row>
    <row r="339" spans="1:15" ht="30" x14ac:dyDescent="0.25">
      <c r="A339" s="1"/>
      <c r="B339" s="2" t="s">
        <v>915</v>
      </c>
      <c r="C339" s="2" t="s">
        <v>36</v>
      </c>
      <c r="D339" s="38">
        <v>42469</v>
      </c>
      <c r="E339" s="2" t="s">
        <v>70</v>
      </c>
      <c r="F339" s="1" t="s">
        <v>4107</v>
      </c>
      <c r="G339" s="2" t="s">
        <v>66</v>
      </c>
      <c r="H339" s="7" t="s">
        <v>4114</v>
      </c>
      <c r="I339" s="2" t="s">
        <v>116</v>
      </c>
      <c r="J339" s="2" t="s">
        <v>213</v>
      </c>
      <c r="K339" s="7" t="s">
        <v>4115</v>
      </c>
      <c r="L339" s="1" t="s">
        <v>4110</v>
      </c>
      <c r="M339" s="38">
        <v>42472</v>
      </c>
      <c r="N339" s="1" t="s">
        <v>6</v>
      </c>
      <c r="O339" s="1" t="s">
        <v>69</v>
      </c>
    </row>
    <row r="340" spans="1:15" ht="30" x14ac:dyDescent="0.25">
      <c r="A340" s="1"/>
      <c r="B340" s="2" t="s">
        <v>915</v>
      </c>
      <c r="C340" s="2" t="s">
        <v>36</v>
      </c>
      <c r="D340" s="38">
        <v>42469</v>
      </c>
      <c r="E340" s="2" t="s">
        <v>70</v>
      </c>
      <c r="F340" s="1" t="s">
        <v>4107</v>
      </c>
      <c r="G340" s="2" t="s">
        <v>66</v>
      </c>
      <c r="H340" s="7" t="s">
        <v>4116</v>
      </c>
      <c r="I340" s="2" t="s">
        <v>116</v>
      </c>
      <c r="J340" s="2" t="s">
        <v>213</v>
      </c>
      <c r="K340" s="7" t="s">
        <v>4117</v>
      </c>
      <c r="L340" s="1" t="s">
        <v>4110</v>
      </c>
      <c r="M340" s="38">
        <v>42472</v>
      </c>
      <c r="N340" s="1" t="s">
        <v>6</v>
      </c>
      <c r="O340" s="1" t="s">
        <v>69</v>
      </c>
    </row>
    <row r="341" spans="1:15" x14ac:dyDescent="0.25">
      <c r="A341" s="1"/>
      <c r="B341" s="2" t="s">
        <v>2870</v>
      </c>
      <c r="C341" s="2" t="s">
        <v>78</v>
      </c>
      <c r="D341" s="38">
        <v>42469</v>
      </c>
      <c r="E341" s="2" t="s">
        <v>70</v>
      </c>
      <c r="F341" s="1" t="s">
        <v>4118</v>
      </c>
      <c r="G341" s="2" t="s">
        <v>71</v>
      </c>
      <c r="H341" s="7" t="s">
        <v>4119</v>
      </c>
      <c r="I341" s="2" t="s">
        <v>41</v>
      </c>
      <c r="J341" s="2" t="s">
        <v>213</v>
      </c>
      <c r="K341" s="7"/>
      <c r="L341" s="1" t="s">
        <v>4120</v>
      </c>
      <c r="M341" s="38">
        <v>42469</v>
      </c>
      <c r="N341" s="1" t="s">
        <v>6</v>
      </c>
      <c r="O341" s="1" t="s">
        <v>69</v>
      </c>
    </row>
    <row r="342" spans="1:15" x14ac:dyDescent="0.25">
      <c r="A342" s="1"/>
      <c r="B342" s="2" t="s">
        <v>917</v>
      </c>
      <c r="C342" s="2" t="s">
        <v>41</v>
      </c>
      <c r="D342" s="38">
        <v>42469</v>
      </c>
      <c r="E342" s="2" t="s">
        <v>70</v>
      </c>
      <c r="F342" s="1" t="s">
        <v>4121</v>
      </c>
      <c r="G342" s="2" t="s">
        <v>71</v>
      </c>
      <c r="H342" s="7" t="s">
        <v>4308</v>
      </c>
      <c r="I342" s="2" t="s">
        <v>171</v>
      </c>
      <c r="J342" s="2" t="s">
        <v>213</v>
      </c>
      <c r="K342" s="7"/>
      <c r="L342" s="1" t="s">
        <v>2254</v>
      </c>
      <c r="M342" s="38">
        <v>42469</v>
      </c>
      <c r="N342" s="1" t="s">
        <v>6</v>
      </c>
      <c r="O342" s="1" t="s">
        <v>69</v>
      </c>
    </row>
    <row r="343" spans="1:15" x14ac:dyDescent="0.25">
      <c r="A343" s="1"/>
      <c r="B343" s="2" t="s">
        <v>917</v>
      </c>
      <c r="C343" s="2" t="s">
        <v>41</v>
      </c>
      <c r="D343" s="38">
        <v>42469</v>
      </c>
      <c r="E343" s="2" t="s">
        <v>70</v>
      </c>
      <c r="F343" s="1" t="s">
        <v>4122</v>
      </c>
      <c r="G343" s="2" t="s">
        <v>71</v>
      </c>
      <c r="H343" s="7" t="s">
        <v>4309</v>
      </c>
      <c r="I343" s="2" t="s">
        <v>171</v>
      </c>
      <c r="J343" s="2" t="s">
        <v>213</v>
      </c>
      <c r="K343" s="7"/>
      <c r="L343" s="1" t="s">
        <v>2254</v>
      </c>
      <c r="M343" s="38">
        <v>42469</v>
      </c>
      <c r="N343" s="1" t="s">
        <v>6</v>
      </c>
      <c r="O343" s="1" t="s">
        <v>69</v>
      </c>
    </row>
    <row r="344" spans="1:15" x14ac:dyDescent="0.25">
      <c r="A344" s="1"/>
      <c r="B344" s="2" t="s">
        <v>917</v>
      </c>
      <c r="C344" s="2" t="s">
        <v>41</v>
      </c>
      <c r="D344" s="38">
        <v>42469</v>
      </c>
      <c r="E344" s="2" t="s">
        <v>70</v>
      </c>
      <c r="F344" s="1" t="s">
        <v>4123</v>
      </c>
      <c r="G344" s="2" t="s">
        <v>66</v>
      </c>
      <c r="H344" s="7" t="s">
        <v>4310</v>
      </c>
      <c r="I344" s="2" t="s">
        <v>171</v>
      </c>
      <c r="J344" s="2" t="s">
        <v>213</v>
      </c>
      <c r="K344" s="7" t="s">
        <v>4311</v>
      </c>
      <c r="L344" s="1" t="s">
        <v>215</v>
      </c>
      <c r="M344" s="38">
        <v>42469</v>
      </c>
      <c r="N344" s="1" t="s">
        <v>6</v>
      </c>
      <c r="O344" s="1" t="s">
        <v>69</v>
      </c>
    </row>
    <row r="345" spans="1:15" x14ac:dyDescent="0.25">
      <c r="A345" s="1"/>
      <c r="B345" s="2" t="s">
        <v>917</v>
      </c>
      <c r="C345" s="2" t="s">
        <v>116</v>
      </c>
      <c r="D345" s="38">
        <v>42470</v>
      </c>
      <c r="E345" s="2" t="s">
        <v>70</v>
      </c>
      <c r="F345" s="1" t="s">
        <v>4124</v>
      </c>
      <c r="G345" s="2" t="s">
        <v>71</v>
      </c>
      <c r="H345" s="7" t="s">
        <v>4125</v>
      </c>
      <c r="I345" s="2" t="s">
        <v>116</v>
      </c>
      <c r="J345" s="2" t="s">
        <v>213</v>
      </c>
      <c r="K345" s="7"/>
      <c r="L345" s="1"/>
      <c r="M345" s="38">
        <v>42470</v>
      </c>
      <c r="N345" s="1" t="s">
        <v>6</v>
      </c>
      <c r="O345" s="1" t="s">
        <v>69</v>
      </c>
    </row>
    <row r="346" spans="1:15" ht="30" x14ac:dyDescent="0.25">
      <c r="A346" s="1"/>
      <c r="B346" s="2" t="s">
        <v>2870</v>
      </c>
      <c r="C346" s="2" t="s">
        <v>116</v>
      </c>
      <c r="D346" s="38">
        <v>42470</v>
      </c>
      <c r="E346" s="2" t="s">
        <v>70</v>
      </c>
      <c r="F346" s="1" t="s">
        <v>4126</v>
      </c>
      <c r="G346" s="2" t="s">
        <v>71</v>
      </c>
      <c r="H346" s="7" t="s">
        <v>4127</v>
      </c>
      <c r="I346" s="2" t="s">
        <v>116</v>
      </c>
      <c r="J346" s="2" t="s">
        <v>213</v>
      </c>
      <c r="K346" s="7"/>
      <c r="L346" s="1"/>
      <c r="M346" s="38">
        <v>42470</v>
      </c>
      <c r="N346" s="1" t="s">
        <v>6</v>
      </c>
      <c r="O346" s="1" t="s">
        <v>69</v>
      </c>
    </row>
    <row r="347" spans="1:15" x14ac:dyDescent="0.25">
      <c r="A347" s="1"/>
      <c r="B347" s="2" t="s">
        <v>917</v>
      </c>
      <c r="C347" s="2" t="s">
        <v>43</v>
      </c>
      <c r="D347" s="38">
        <v>42471</v>
      </c>
      <c r="E347" s="2" t="s">
        <v>70</v>
      </c>
      <c r="F347" s="1" t="s">
        <v>4128</v>
      </c>
      <c r="G347" s="2" t="s">
        <v>71</v>
      </c>
      <c r="H347" s="7" t="s">
        <v>4312</v>
      </c>
      <c r="I347" s="2" t="s">
        <v>118</v>
      </c>
      <c r="J347" s="2" t="s">
        <v>213</v>
      </c>
      <c r="K347" s="7" t="s">
        <v>4129</v>
      </c>
      <c r="L347" s="1" t="s">
        <v>4130</v>
      </c>
      <c r="M347" s="38">
        <v>42471</v>
      </c>
      <c r="N347" s="1" t="s">
        <v>6</v>
      </c>
      <c r="O347" s="1" t="s">
        <v>69</v>
      </c>
    </row>
    <row r="348" spans="1:15" x14ac:dyDescent="0.25">
      <c r="A348" s="1"/>
      <c r="B348" s="2" t="s">
        <v>917</v>
      </c>
      <c r="C348" s="2" t="s">
        <v>41</v>
      </c>
      <c r="D348" s="38">
        <v>42472</v>
      </c>
      <c r="E348" s="2" t="s">
        <v>70</v>
      </c>
      <c r="F348" s="1" t="s">
        <v>4123</v>
      </c>
      <c r="G348" s="2" t="s">
        <v>71</v>
      </c>
      <c r="H348" s="7" t="s">
        <v>4021</v>
      </c>
      <c r="I348" s="2" t="s">
        <v>171</v>
      </c>
      <c r="J348" s="2" t="s">
        <v>213</v>
      </c>
      <c r="K348" s="7"/>
      <c r="L348" s="1" t="s">
        <v>2116</v>
      </c>
      <c r="M348" s="38">
        <v>42472</v>
      </c>
      <c r="N348" s="1" t="s">
        <v>6</v>
      </c>
      <c r="O348" s="1" t="s">
        <v>69</v>
      </c>
    </row>
    <row r="349" spans="1:15" x14ac:dyDescent="0.25">
      <c r="A349" s="1"/>
      <c r="B349" s="2" t="s">
        <v>2874</v>
      </c>
      <c r="C349" s="2" t="s">
        <v>116</v>
      </c>
      <c r="D349" s="38">
        <v>42473</v>
      </c>
      <c r="E349" s="2" t="s">
        <v>70</v>
      </c>
      <c r="F349" s="1" t="s">
        <v>4131</v>
      </c>
      <c r="G349" s="2" t="s">
        <v>66</v>
      </c>
      <c r="H349" s="7" t="s">
        <v>4313</v>
      </c>
      <c r="I349" s="2" t="s">
        <v>43</v>
      </c>
      <c r="J349" s="2" t="s">
        <v>213</v>
      </c>
      <c r="K349" s="7" t="s">
        <v>4132</v>
      </c>
      <c r="L349" s="1" t="s">
        <v>215</v>
      </c>
      <c r="M349" s="38">
        <v>42473</v>
      </c>
      <c r="N349" s="1" t="s">
        <v>6</v>
      </c>
      <c r="O349" s="1" t="s">
        <v>69</v>
      </c>
    </row>
    <row r="350" spans="1:15" x14ac:dyDescent="0.25">
      <c r="A350" s="1"/>
      <c r="B350" s="2" t="s">
        <v>2874</v>
      </c>
      <c r="C350" s="2" t="s">
        <v>116</v>
      </c>
      <c r="D350" s="38">
        <v>42473</v>
      </c>
      <c r="E350" s="2" t="s">
        <v>70</v>
      </c>
      <c r="F350" s="1" t="s">
        <v>4131</v>
      </c>
      <c r="G350" s="2" t="s">
        <v>66</v>
      </c>
      <c r="H350" s="7" t="s">
        <v>4314</v>
      </c>
      <c r="I350" s="2" t="s">
        <v>43</v>
      </c>
      <c r="J350" s="2" t="s">
        <v>213</v>
      </c>
      <c r="K350" s="7" t="s">
        <v>4133</v>
      </c>
      <c r="L350" s="1" t="s">
        <v>215</v>
      </c>
      <c r="M350" s="38">
        <v>42473</v>
      </c>
      <c r="N350" s="1" t="s">
        <v>6</v>
      </c>
      <c r="O350" s="1" t="s">
        <v>69</v>
      </c>
    </row>
    <row r="351" spans="1:15" x14ac:dyDescent="0.25">
      <c r="A351" s="1"/>
      <c r="B351" s="2" t="s">
        <v>2874</v>
      </c>
      <c r="C351" s="2" t="s">
        <v>116</v>
      </c>
      <c r="D351" s="38">
        <v>42473</v>
      </c>
      <c r="E351" s="2" t="s">
        <v>70</v>
      </c>
      <c r="F351" s="1" t="s">
        <v>4131</v>
      </c>
      <c r="G351" s="2" t="s">
        <v>71</v>
      </c>
      <c r="H351" s="7" t="s">
        <v>4134</v>
      </c>
      <c r="I351" s="2" t="s">
        <v>43</v>
      </c>
      <c r="J351" s="2" t="s">
        <v>213</v>
      </c>
      <c r="K351" s="7" t="s">
        <v>4315</v>
      </c>
      <c r="L351" s="1" t="s">
        <v>215</v>
      </c>
      <c r="M351" s="38">
        <v>42473</v>
      </c>
      <c r="N351" s="1" t="s">
        <v>6</v>
      </c>
      <c r="O351" s="1" t="s">
        <v>69</v>
      </c>
    </row>
    <row r="352" spans="1:15" x14ac:dyDescent="0.25">
      <c r="A352" s="1"/>
      <c r="B352" s="2" t="s">
        <v>2874</v>
      </c>
      <c r="C352" s="2" t="s">
        <v>116</v>
      </c>
      <c r="D352" s="38">
        <v>42473</v>
      </c>
      <c r="E352" s="2" t="s">
        <v>70</v>
      </c>
      <c r="F352" s="1" t="s">
        <v>4135</v>
      </c>
      <c r="G352" s="2" t="s">
        <v>71</v>
      </c>
      <c r="H352" s="7" t="s">
        <v>4051</v>
      </c>
      <c r="I352" s="2" t="s">
        <v>43</v>
      </c>
      <c r="J352" s="2" t="s">
        <v>213</v>
      </c>
      <c r="K352" s="7"/>
      <c r="L352" s="1" t="s">
        <v>2254</v>
      </c>
      <c r="M352" s="38">
        <v>42473</v>
      </c>
      <c r="N352" s="1" t="s">
        <v>6</v>
      </c>
      <c r="O352" s="1" t="s">
        <v>69</v>
      </c>
    </row>
    <row r="353" spans="1:15" ht="30" x14ac:dyDescent="0.25">
      <c r="A353" s="1"/>
      <c r="B353" s="2" t="s">
        <v>2874</v>
      </c>
      <c r="C353" s="2" t="s">
        <v>116</v>
      </c>
      <c r="D353" s="38">
        <v>42473</v>
      </c>
      <c r="E353" s="2" t="s">
        <v>70</v>
      </c>
      <c r="F353" s="1" t="s">
        <v>4131</v>
      </c>
      <c r="G353" s="2" t="s">
        <v>66</v>
      </c>
      <c r="H353" s="7" t="s">
        <v>4316</v>
      </c>
      <c r="I353" s="2" t="s">
        <v>43</v>
      </c>
      <c r="J353" s="2" t="s">
        <v>213</v>
      </c>
      <c r="K353" s="7" t="s">
        <v>4136</v>
      </c>
      <c r="L353" s="1" t="s">
        <v>215</v>
      </c>
      <c r="M353" s="38">
        <v>42473</v>
      </c>
      <c r="N353" s="1" t="s">
        <v>6</v>
      </c>
      <c r="O353" s="1" t="s">
        <v>69</v>
      </c>
    </row>
    <row r="354" spans="1:15" x14ac:dyDescent="0.25">
      <c r="A354" s="1"/>
      <c r="B354" s="2" t="s">
        <v>917</v>
      </c>
      <c r="C354" s="2" t="s">
        <v>43</v>
      </c>
      <c r="D354" s="38">
        <v>42469</v>
      </c>
      <c r="E354" s="2" t="s">
        <v>70</v>
      </c>
      <c r="F354" s="1" t="s">
        <v>4137</v>
      </c>
      <c r="G354" s="2" t="s">
        <v>71</v>
      </c>
      <c r="H354" s="7" t="s">
        <v>4019</v>
      </c>
      <c r="I354" s="2" t="s">
        <v>118</v>
      </c>
      <c r="J354" s="2" t="s">
        <v>213</v>
      </c>
      <c r="K354" s="7" t="s">
        <v>2267</v>
      </c>
      <c r="L354" s="1" t="s">
        <v>4137</v>
      </c>
      <c r="M354" s="38">
        <v>42469</v>
      </c>
      <c r="N354" s="1" t="s">
        <v>6</v>
      </c>
      <c r="O354" s="1" t="s">
        <v>69</v>
      </c>
    </row>
    <row r="355" spans="1:15" ht="30" x14ac:dyDescent="0.25">
      <c r="A355" s="1"/>
      <c r="B355" s="2" t="s">
        <v>915</v>
      </c>
      <c r="C355" s="2" t="s">
        <v>116</v>
      </c>
      <c r="D355" s="38">
        <v>42474</v>
      </c>
      <c r="E355" s="2" t="s">
        <v>34</v>
      </c>
      <c r="F355" s="1" t="s">
        <v>4138</v>
      </c>
      <c r="G355" s="2" t="s">
        <v>66</v>
      </c>
      <c r="H355" s="7" t="s">
        <v>4317</v>
      </c>
      <c r="I355" s="2" t="s">
        <v>116</v>
      </c>
      <c r="J355" s="2" t="s">
        <v>213</v>
      </c>
      <c r="K355" s="7" t="s">
        <v>4318</v>
      </c>
      <c r="L355" s="1" t="s">
        <v>4139</v>
      </c>
      <c r="M355" s="38">
        <v>42475</v>
      </c>
      <c r="N355" s="1" t="s">
        <v>6</v>
      </c>
      <c r="O355" s="1" t="s">
        <v>69</v>
      </c>
    </row>
    <row r="356" spans="1:15" ht="30" x14ac:dyDescent="0.25">
      <c r="A356" s="1"/>
      <c r="B356" s="2" t="s">
        <v>915</v>
      </c>
      <c r="C356" s="2" t="s">
        <v>116</v>
      </c>
      <c r="D356" s="38">
        <v>42474</v>
      </c>
      <c r="E356" s="2" t="s">
        <v>34</v>
      </c>
      <c r="F356" s="1" t="s">
        <v>4140</v>
      </c>
      <c r="G356" s="2" t="s">
        <v>66</v>
      </c>
      <c r="H356" s="7" t="s">
        <v>4141</v>
      </c>
      <c r="I356" s="2" t="s">
        <v>1117</v>
      </c>
      <c r="J356" s="2" t="s">
        <v>213</v>
      </c>
      <c r="K356" s="7" t="s">
        <v>4319</v>
      </c>
      <c r="L356" s="1" t="s">
        <v>4140</v>
      </c>
      <c r="M356" s="38">
        <v>42474</v>
      </c>
      <c r="N356" s="1" t="s">
        <v>6</v>
      </c>
      <c r="O356" s="1" t="s">
        <v>69</v>
      </c>
    </row>
    <row r="357" spans="1:15" ht="30" x14ac:dyDescent="0.25">
      <c r="A357" s="1"/>
      <c r="B357" s="2" t="s">
        <v>917</v>
      </c>
      <c r="C357" s="2" t="s">
        <v>116</v>
      </c>
      <c r="D357" s="38">
        <v>42474</v>
      </c>
      <c r="E357" s="2" t="s">
        <v>70</v>
      </c>
      <c r="F357" s="1" t="s">
        <v>4142</v>
      </c>
      <c r="G357" s="2" t="s">
        <v>66</v>
      </c>
      <c r="H357" s="7" t="s">
        <v>4143</v>
      </c>
      <c r="I357" s="2" t="s">
        <v>116</v>
      </c>
      <c r="J357" s="2" t="s">
        <v>213</v>
      </c>
      <c r="K357" s="7" t="s">
        <v>4320</v>
      </c>
      <c r="L357" s="1" t="s">
        <v>4144</v>
      </c>
      <c r="M357" s="38">
        <v>42474</v>
      </c>
      <c r="N357" s="1" t="s">
        <v>6</v>
      </c>
      <c r="O357" s="1" t="s">
        <v>69</v>
      </c>
    </row>
    <row r="358" spans="1:15" ht="45" x14ac:dyDescent="0.25">
      <c r="A358" s="1"/>
      <c r="B358" s="2" t="s">
        <v>915</v>
      </c>
      <c r="C358" s="2" t="s">
        <v>116</v>
      </c>
      <c r="D358" s="38">
        <v>42474</v>
      </c>
      <c r="E358" s="2" t="s">
        <v>34</v>
      </c>
      <c r="F358" s="1" t="s">
        <v>4145</v>
      </c>
      <c r="G358" s="2" t="s">
        <v>66</v>
      </c>
      <c r="H358" s="7" t="s">
        <v>4146</v>
      </c>
      <c r="I358" s="2" t="s">
        <v>1117</v>
      </c>
      <c r="J358" s="2" t="s">
        <v>213</v>
      </c>
      <c r="K358" s="7" t="s">
        <v>4147</v>
      </c>
      <c r="L358" s="1" t="s">
        <v>4145</v>
      </c>
      <c r="M358" s="38">
        <v>42474</v>
      </c>
      <c r="N358" s="1" t="s">
        <v>6</v>
      </c>
      <c r="O358" s="1" t="s">
        <v>69</v>
      </c>
    </row>
    <row r="359" spans="1:15" ht="30" x14ac:dyDescent="0.25">
      <c r="A359" s="1"/>
      <c r="B359" s="2" t="s">
        <v>917</v>
      </c>
      <c r="C359" s="2" t="s">
        <v>116</v>
      </c>
      <c r="D359" s="38">
        <v>42474</v>
      </c>
      <c r="E359" s="2" t="s">
        <v>70</v>
      </c>
      <c r="F359" s="1" t="s">
        <v>4142</v>
      </c>
      <c r="G359" s="2" t="s">
        <v>71</v>
      </c>
      <c r="H359" s="7" t="s">
        <v>4321</v>
      </c>
      <c r="I359" s="2" t="s">
        <v>116</v>
      </c>
      <c r="J359" s="2" t="s">
        <v>213</v>
      </c>
      <c r="K359" s="7"/>
      <c r="L359" s="1"/>
      <c r="M359" s="38">
        <v>42474</v>
      </c>
      <c r="N359" s="1" t="s">
        <v>6</v>
      </c>
      <c r="O359" s="1" t="s">
        <v>69</v>
      </c>
    </row>
    <row r="360" spans="1:15" ht="45" x14ac:dyDescent="0.25">
      <c r="A360" s="1"/>
      <c r="B360" s="2" t="s">
        <v>917</v>
      </c>
      <c r="C360" s="2" t="s">
        <v>1503</v>
      </c>
      <c r="D360" s="38">
        <v>42474</v>
      </c>
      <c r="E360" s="2" t="s">
        <v>64</v>
      </c>
      <c r="F360" s="1" t="s">
        <v>4148</v>
      </c>
      <c r="G360" s="2" t="s">
        <v>66</v>
      </c>
      <c r="H360" s="7" t="s">
        <v>4322</v>
      </c>
      <c r="I360" s="2" t="s">
        <v>171</v>
      </c>
      <c r="J360" s="2" t="s">
        <v>213</v>
      </c>
      <c r="K360" s="7" t="s">
        <v>4149</v>
      </c>
      <c r="L360" s="1" t="s">
        <v>4150</v>
      </c>
      <c r="M360" s="38">
        <v>42475</v>
      </c>
      <c r="N360" s="1" t="s">
        <v>6</v>
      </c>
      <c r="O360" s="1" t="s">
        <v>69</v>
      </c>
    </row>
    <row r="361" spans="1:15" ht="30" x14ac:dyDescent="0.25">
      <c r="A361" s="1"/>
      <c r="B361" s="2" t="s">
        <v>917</v>
      </c>
      <c r="C361" s="2" t="s">
        <v>1503</v>
      </c>
      <c r="D361" s="38">
        <v>42474</v>
      </c>
      <c r="E361" s="2" t="s">
        <v>64</v>
      </c>
      <c r="F361" s="1" t="s">
        <v>4151</v>
      </c>
      <c r="G361" s="2" t="s">
        <v>66</v>
      </c>
      <c r="H361" s="7" t="s">
        <v>4152</v>
      </c>
      <c r="I361" s="2" t="s">
        <v>171</v>
      </c>
      <c r="J361" s="2" t="s">
        <v>213</v>
      </c>
      <c r="K361" s="7" t="s">
        <v>4153</v>
      </c>
      <c r="L361" s="1" t="s">
        <v>4154</v>
      </c>
      <c r="M361" s="38">
        <v>42475</v>
      </c>
      <c r="N361" s="1" t="s">
        <v>6</v>
      </c>
      <c r="O361" s="1" t="s">
        <v>69</v>
      </c>
    </row>
    <row r="362" spans="1:15" ht="30" x14ac:dyDescent="0.25">
      <c r="A362" s="1"/>
      <c r="B362" s="2" t="s">
        <v>917</v>
      </c>
      <c r="C362" s="2" t="s">
        <v>1503</v>
      </c>
      <c r="D362" s="38">
        <v>42475</v>
      </c>
      <c r="E362" s="2" t="s">
        <v>64</v>
      </c>
      <c r="F362" s="1" t="s">
        <v>4155</v>
      </c>
      <c r="G362" s="2" t="s">
        <v>71</v>
      </c>
      <c r="H362" s="7" t="s">
        <v>4156</v>
      </c>
      <c r="I362" s="2" t="s">
        <v>118</v>
      </c>
      <c r="J362" s="2" t="s">
        <v>213</v>
      </c>
      <c r="K362" s="7" t="s">
        <v>4157</v>
      </c>
      <c r="L362" s="1" t="s">
        <v>4155</v>
      </c>
      <c r="M362" s="38">
        <v>42475</v>
      </c>
      <c r="N362" s="1" t="s">
        <v>6</v>
      </c>
      <c r="O362" s="1" t="s">
        <v>69</v>
      </c>
    </row>
    <row r="363" spans="1:15" x14ac:dyDescent="0.25">
      <c r="A363" s="1"/>
      <c r="B363" s="2" t="s">
        <v>915</v>
      </c>
      <c r="C363" s="2" t="s">
        <v>116</v>
      </c>
      <c r="D363" s="38">
        <v>42475</v>
      </c>
      <c r="E363" s="2" t="s">
        <v>34</v>
      </c>
      <c r="F363" s="1" t="s">
        <v>4158</v>
      </c>
      <c r="G363" s="2" t="s">
        <v>71</v>
      </c>
      <c r="H363" s="7" t="s">
        <v>4159</v>
      </c>
      <c r="I363" s="2" t="s">
        <v>1117</v>
      </c>
      <c r="J363" s="2" t="s">
        <v>213</v>
      </c>
      <c r="K363" s="7" t="s">
        <v>4160</v>
      </c>
      <c r="L363" s="1" t="s">
        <v>4161</v>
      </c>
      <c r="M363" s="38">
        <v>42476</v>
      </c>
      <c r="N363" s="1" t="s">
        <v>6</v>
      </c>
      <c r="O363" s="1" t="s">
        <v>69</v>
      </c>
    </row>
    <row r="364" spans="1:15" x14ac:dyDescent="0.25">
      <c r="A364" s="1"/>
      <c r="B364" s="2" t="s">
        <v>915</v>
      </c>
      <c r="C364" s="2" t="s">
        <v>116</v>
      </c>
      <c r="D364" s="38">
        <v>42475</v>
      </c>
      <c r="E364" s="2" t="s">
        <v>34</v>
      </c>
      <c r="F364" s="1" t="s">
        <v>4158</v>
      </c>
      <c r="G364" s="2" t="s">
        <v>71</v>
      </c>
      <c r="H364" s="7" t="s">
        <v>4162</v>
      </c>
      <c r="I364" s="2" t="s">
        <v>1117</v>
      </c>
      <c r="J364" s="2" t="s">
        <v>213</v>
      </c>
      <c r="K364" s="7" t="s">
        <v>474</v>
      </c>
      <c r="L364" s="1" t="s">
        <v>4161</v>
      </c>
      <c r="M364" s="38">
        <v>42476</v>
      </c>
      <c r="N364" s="1" t="s">
        <v>6</v>
      </c>
      <c r="O364" s="1" t="s">
        <v>69</v>
      </c>
    </row>
    <row r="365" spans="1:15" x14ac:dyDescent="0.25">
      <c r="A365" s="1"/>
      <c r="B365" s="2" t="s">
        <v>915</v>
      </c>
      <c r="C365" s="2" t="s">
        <v>116</v>
      </c>
      <c r="D365" s="38">
        <v>42475</v>
      </c>
      <c r="E365" s="2" t="s">
        <v>34</v>
      </c>
      <c r="F365" s="1" t="s">
        <v>4163</v>
      </c>
      <c r="G365" s="2" t="s">
        <v>71</v>
      </c>
      <c r="H365" s="7" t="s">
        <v>4164</v>
      </c>
      <c r="I365" s="2" t="s">
        <v>1117</v>
      </c>
      <c r="J365" s="2" t="s">
        <v>213</v>
      </c>
      <c r="K365" s="7" t="s">
        <v>4165</v>
      </c>
      <c r="L365" s="1" t="s">
        <v>4166</v>
      </c>
      <c r="M365" s="38">
        <v>42476</v>
      </c>
      <c r="N365" s="1" t="s">
        <v>6</v>
      </c>
      <c r="O365" s="1" t="s">
        <v>69</v>
      </c>
    </row>
    <row r="366" spans="1:15" x14ac:dyDescent="0.25">
      <c r="A366" s="1"/>
      <c r="B366" s="2" t="s">
        <v>915</v>
      </c>
      <c r="C366" s="2" t="s">
        <v>116</v>
      </c>
      <c r="D366" s="38">
        <v>42475</v>
      </c>
      <c r="E366" s="2" t="s">
        <v>34</v>
      </c>
      <c r="F366" s="1" t="s">
        <v>4167</v>
      </c>
      <c r="G366" s="2" t="s">
        <v>71</v>
      </c>
      <c r="H366" s="7" t="s">
        <v>4323</v>
      </c>
      <c r="I366" s="2" t="s">
        <v>1117</v>
      </c>
      <c r="J366" s="2" t="s">
        <v>213</v>
      </c>
      <c r="K366" s="7" t="s">
        <v>4165</v>
      </c>
      <c r="L366" s="1" t="s">
        <v>4168</v>
      </c>
      <c r="M366" s="38">
        <v>42476</v>
      </c>
      <c r="N366" s="1" t="s">
        <v>6</v>
      </c>
      <c r="O366" s="1" t="s">
        <v>69</v>
      </c>
    </row>
    <row r="367" spans="1:15" x14ac:dyDescent="0.25">
      <c r="A367" s="1"/>
      <c r="B367" s="2" t="s">
        <v>2870</v>
      </c>
      <c r="C367" s="2" t="s">
        <v>1117</v>
      </c>
      <c r="D367" s="38">
        <v>42475</v>
      </c>
      <c r="E367" s="2" t="s">
        <v>70</v>
      </c>
      <c r="F367" s="1" t="s">
        <v>4169</v>
      </c>
      <c r="G367" s="2" t="s">
        <v>71</v>
      </c>
      <c r="H367" s="7" t="s">
        <v>4170</v>
      </c>
      <c r="I367" s="2" t="s">
        <v>41</v>
      </c>
      <c r="J367" s="2" t="s">
        <v>213</v>
      </c>
      <c r="K367" s="7" t="s">
        <v>4171</v>
      </c>
      <c r="L367" s="1" t="s">
        <v>215</v>
      </c>
      <c r="M367" s="38">
        <v>42476</v>
      </c>
      <c r="N367" s="1" t="s">
        <v>6</v>
      </c>
      <c r="O367" s="1" t="s">
        <v>69</v>
      </c>
    </row>
    <row r="368" spans="1:15" x14ac:dyDescent="0.25">
      <c r="A368" s="1"/>
      <c r="B368" s="2" t="s">
        <v>2870</v>
      </c>
      <c r="C368" s="2" t="s">
        <v>1117</v>
      </c>
      <c r="D368" s="38">
        <v>42475</v>
      </c>
      <c r="E368" s="2" t="s">
        <v>70</v>
      </c>
      <c r="F368" s="1" t="s">
        <v>4172</v>
      </c>
      <c r="G368" s="2" t="s">
        <v>66</v>
      </c>
      <c r="H368" s="7" t="s">
        <v>4173</v>
      </c>
      <c r="I368" s="2" t="s">
        <v>41</v>
      </c>
      <c r="J368" s="2" t="s">
        <v>213</v>
      </c>
      <c r="K368" s="7" t="s">
        <v>4324</v>
      </c>
      <c r="L368" s="1" t="s">
        <v>215</v>
      </c>
      <c r="M368" s="38">
        <v>42476</v>
      </c>
      <c r="N368" s="1" t="s">
        <v>6</v>
      </c>
      <c r="O368" s="1" t="s">
        <v>69</v>
      </c>
    </row>
    <row r="369" spans="1:15" x14ac:dyDescent="0.25">
      <c r="A369" s="1"/>
      <c r="B369" s="2" t="s">
        <v>2870</v>
      </c>
      <c r="C369" s="2" t="s">
        <v>1117</v>
      </c>
      <c r="D369" s="38">
        <v>42475</v>
      </c>
      <c r="E369" s="2" t="s">
        <v>70</v>
      </c>
      <c r="F369" s="1" t="s">
        <v>4172</v>
      </c>
      <c r="G369" s="2" t="s">
        <v>66</v>
      </c>
      <c r="H369" s="7" t="s">
        <v>4174</v>
      </c>
      <c r="I369" s="2" t="s">
        <v>41</v>
      </c>
      <c r="J369" s="2" t="s">
        <v>213</v>
      </c>
      <c r="K369" s="7" t="s">
        <v>4175</v>
      </c>
      <c r="L369" s="1" t="s">
        <v>215</v>
      </c>
      <c r="M369" s="38">
        <v>42476</v>
      </c>
      <c r="N369" s="1" t="s">
        <v>6</v>
      </c>
      <c r="O369" s="1" t="s">
        <v>69</v>
      </c>
    </row>
    <row r="370" spans="1:15" x14ac:dyDescent="0.25">
      <c r="A370" s="1"/>
      <c r="B370" s="2" t="s">
        <v>2870</v>
      </c>
      <c r="C370" s="2" t="s">
        <v>1117</v>
      </c>
      <c r="D370" s="38">
        <v>42475</v>
      </c>
      <c r="E370" s="2" t="s">
        <v>70</v>
      </c>
      <c r="F370" s="1" t="s">
        <v>4172</v>
      </c>
      <c r="G370" s="2" t="s">
        <v>66</v>
      </c>
      <c r="H370" s="7" t="s">
        <v>4176</v>
      </c>
      <c r="I370" s="2" t="s">
        <v>41</v>
      </c>
      <c r="J370" s="2" t="s">
        <v>213</v>
      </c>
      <c r="K370" s="7" t="s">
        <v>4177</v>
      </c>
      <c r="L370" s="1" t="s">
        <v>215</v>
      </c>
      <c r="M370" s="38">
        <v>42476</v>
      </c>
      <c r="N370" s="1" t="s">
        <v>6</v>
      </c>
      <c r="O370" s="1" t="s">
        <v>69</v>
      </c>
    </row>
    <row r="371" spans="1:15" x14ac:dyDescent="0.25">
      <c r="A371" s="1"/>
      <c r="B371" s="2" t="s">
        <v>2870</v>
      </c>
      <c r="C371" s="2" t="s">
        <v>1117</v>
      </c>
      <c r="D371" s="38">
        <v>42475</v>
      </c>
      <c r="E371" s="2" t="s">
        <v>70</v>
      </c>
      <c r="F371" s="1" t="s">
        <v>4172</v>
      </c>
      <c r="G371" s="2" t="s">
        <v>66</v>
      </c>
      <c r="H371" s="7" t="s">
        <v>4178</v>
      </c>
      <c r="I371" s="2" t="s">
        <v>41</v>
      </c>
      <c r="J371" s="2" t="s">
        <v>213</v>
      </c>
      <c r="K371" s="7" t="s">
        <v>4179</v>
      </c>
      <c r="L371" s="1" t="s">
        <v>215</v>
      </c>
      <c r="M371" s="38">
        <v>42476</v>
      </c>
      <c r="N371" s="1" t="s">
        <v>6</v>
      </c>
      <c r="O371" s="1" t="s">
        <v>69</v>
      </c>
    </row>
    <row r="372" spans="1:15" x14ac:dyDescent="0.25">
      <c r="A372" s="1"/>
      <c r="B372" s="2" t="s">
        <v>2870</v>
      </c>
      <c r="C372" s="2" t="s">
        <v>1117</v>
      </c>
      <c r="D372" s="38">
        <v>42475</v>
      </c>
      <c r="E372" s="2" t="s">
        <v>70</v>
      </c>
      <c r="F372" s="1" t="s">
        <v>4172</v>
      </c>
      <c r="G372" s="2" t="s">
        <v>66</v>
      </c>
      <c r="H372" s="7" t="s">
        <v>4180</v>
      </c>
      <c r="I372" s="2" t="s">
        <v>41</v>
      </c>
      <c r="J372" s="2" t="s">
        <v>213</v>
      </c>
      <c r="K372" s="7" t="s">
        <v>4181</v>
      </c>
      <c r="L372" s="1" t="s">
        <v>215</v>
      </c>
      <c r="M372" s="38">
        <v>42476</v>
      </c>
      <c r="N372" s="1" t="s">
        <v>6</v>
      </c>
      <c r="O372" s="1" t="s">
        <v>69</v>
      </c>
    </row>
    <row r="373" spans="1:15" x14ac:dyDescent="0.25">
      <c r="A373" s="1"/>
      <c r="B373" s="2" t="s">
        <v>2870</v>
      </c>
      <c r="C373" s="2" t="s">
        <v>1117</v>
      </c>
      <c r="D373" s="38">
        <v>42475</v>
      </c>
      <c r="E373" s="2" t="s">
        <v>70</v>
      </c>
      <c r="F373" s="1" t="s">
        <v>4172</v>
      </c>
      <c r="G373" s="2" t="s">
        <v>71</v>
      </c>
      <c r="H373" s="7" t="s">
        <v>4182</v>
      </c>
      <c r="I373" s="2" t="s">
        <v>41</v>
      </c>
      <c r="J373" s="2" t="s">
        <v>213</v>
      </c>
      <c r="K373" s="7" t="s">
        <v>4183</v>
      </c>
      <c r="L373" s="1" t="s">
        <v>215</v>
      </c>
      <c r="M373" s="38">
        <v>42476</v>
      </c>
      <c r="N373" s="1" t="s">
        <v>6</v>
      </c>
      <c r="O373" s="1" t="s">
        <v>69</v>
      </c>
    </row>
    <row r="374" spans="1:15" x14ac:dyDescent="0.25">
      <c r="A374" s="1"/>
      <c r="B374" s="2" t="s">
        <v>917</v>
      </c>
      <c r="C374" s="2" t="s">
        <v>1503</v>
      </c>
      <c r="D374" s="38">
        <v>42476</v>
      </c>
      <c r="E374" s="2" t="s">
        <v>64</v>
      </c>
      <c r="F374" s="1" t="s">
        <v>4184</v>
      </c>
      <c r="G374" s="2" t="s">
        <v>66</v>
      </c>
      <c r="H374" s="7" t="s">
        <v>4325</v>
      </c>
      <c r="I374" s="2" t="s">
        <v>171</v>
      </c>
      <c r="J374" s="2" t="s">
        <v>213</v>
      </c>
      <c r="K374" s="7" t="s">
        <v>4326</v>
      </c>
      <c r="L374" s="1" t="s">
        <v>4185</v>
      </c>
      <c r="M374" s="38">
        <v>42476</v>
      </c>
      <c r="N374" s="1" t="s">
        <v>6</v>
      </c>
      <c r="O374" s="1" t="s">
        <v>69</v>
      </c>
    </row>
    <row r="375" spans="1:15" x14ac:dyDescent="0.25">
      <c r="A375" s="1"/>
      <c r="B375" s="2" t="s">
        <v>917</v>
      </c>
      <c r="C375" s="2" t="s">
        <v>1503</v>
      </c>
      <c r="D375" s="38">
        <v>42476</v>
      </c>
      <c r="E375" s="2" t="s">
        <v>64</v>
      </c>
      <c r="F375" s="1" t="s">
        <v>4186</v>
      </c>
      <c r="G375" s="2" t="s">
        <v>71</v>
      </c>
      <c r="H375" s="7" t="s">
        <v>4187</v>
      </c>
      <c r="I375" s="2" t="s">
        <v>116</v>
      </c>
      <c r="J375" s="2" t="s">
        <v>213</v>
      </c>
      <c r="K375" s="7" t="s">
        <v>2267</v>
      </c>
      <c r="L375" s="1" t="s">
        <v>4186</v>
      </c>
      <c r="M375" s="38">
        <v>42476</v>
      </c>
      <c r="N375" s="1" t="s">
        <v>6</v>
      </c>
      <c r="O375" s="1" t="s">
        <v>69</v>
      </c>
    </row>
    <row r="376" spans="1:15" x14ac:dyDescent="0.25">
      <c r="A376" s="1"/>
      <c r="B376" s="2" t="s">
        <v>917</v>
      </c>
      <c r="C376" s="2" t="s">
        <v>36</v>
      </c>
      <c r="D376" s="38">
        <v>42476</v>
      </c>
      <c r="E376" s="2" t="s">
        <v>70</v>
      </c>
      <c r="F376" s="1" t="s">
        <v>4188</v>
      </c>
      <c r="G376" s="2" t="s">
        <v>71</v>
      </c>
      <c r="H376" s="7" t="s">
        <v>4189</v>
      </c>
      <c r="I376" s="2" t="s">
        <v>118</v>
      </c>
      <c r="J376" s="2" t="s">
        <v>213</v>
      </c>
      <c r="K376" s="7" t="s">
        <v>4190</v>
      </c>
      <c r="L376" s="1" t="s">
        <v>4191</v>
      </c>
      <c r="M376" s="38">
        <v>42476</v>
      </c>
      <c r="N376" s="1" t="s">
        <v>6</v>
      </c>
      <c r="O376" s="1" t="s">
        <v>69</v>
      </c>
    </row>
    <row r="377" spans="1:15" x14ac:dyDescent="0.25">
      <c r="A377" s="1"/>
      <c r="B377" s="2" t="s">
        <v>915</v>
      </c>
      <c r="C377" s="2" t="s">
        <v>36</v>
      </c>
      <c r="D377" s="38">
        <v>42476</v>
      </c>
      <c r="E377" s="2" t="s">
        <v>70</v>
      </c>
      <c r="F377" s="1" t="s">
        <v>4192</v>
      </c>
      <c r="G377" s="2" t="s">
        <v>71</v>
      </c>
      <c r="H377" s="7" t="s">
        <v>4187</v>
      </c>
      <c r="I377" s="2" t="s">
        <v>116</v>
      </c>
      <c r="J377" s="2" t="s">
        <v>213</v>
      </c>
      <c r="K377" s="7" t="s">
        <v>2267</v>
      </c>
      <c r="L377" s="1" t="s">
        <v>4192</v>
      </c>
      <c r="M377" s="38">
        <v>42476</v>
      </c>
      <c r="N377" s="1" t="s">
        <v>6</v>
      </c>
      <c r="O377" s="1" t="s">
        <v>69</v>
      </c>
    </row>
    <row r="378" spans="1:15" x14ac:dyDescent="0.25">
      <c r="A378" s="1"/>
      <c r="B378" s="2" t="s">
        <v>915</v>
      </c>
      <c r="C378" s="2" t="s">
        <v>454</v>
      </c>
      <c r="D378" s="38">
        <v>42478</v>
      </c>
      <c r="E378" s="2" t="s">
        <v>34</v>
      </c>
      <c r="F378" s="1" t="s">
        <v>4193</v>
      </c>
      <c r="G378" s="2" t="s">
        <v>71</v>
      </c>
      <c r="H378" s="7" t="s">
        <v>233</v>
      </c>
      <c r="I378" s="2" t="s">
        <v>116</v>
      </c>
      <c r="J378" s="2" t="s">
        <v>213</v>
      </c>
      <c r="K378" s="7"/>
      <c r="L378" s="1" t="s">
        <v>4193</v>
      </c>
      <c r="M378" s="38">
        <v>42478</v>
      </c>
      <c r="N378" s="1" t="s">
        <v>6</v>
      </c>
      <c r="O378" s="1" t="s">
        <v>69</v>
      </c>
    </row>
    <row r="379" spans="1:15" x14ac:dyDescent="0.25">
      <c r="A379" s="1"/>
      <c r="B379" s="2" t="s">
        <v>915</v>
      </c>
      <c r="C379" s="2" t="s">
        <v>454</v>
      </c>
      <c r="D379" s="38">
        <v>42478</v>
      </c>
      <c r="E379" s="2" t="s">
        <v>34</v>
      </c>
      <c r="F379" s="1" t="s">
        <v>4194</v>
      </c>
      <c r="G379" s="2" t="s">
        <v>71</v>
      </c>
      <c r="H379" s="7" t="s">
        <v>233</v>
      </c>
      <c r="I379" s="2" t="s">
        <v>116</v>
      </c>
      <c r="J379" s="2" t="s">
        <v>213</v>
      </c>
      <c r="K379" s="7"/>
      <c r="L379" s="1" t="s">
        <v>4194</v>
      </c>
      <c r="M379" s="38">
        <v>42478</v>
      </c>
      <c r="N379" s="1" t="s">
        <v>6</v>
      </c>
      <c r="O379" s="1" t="s">
        <v>69</v>
      </c>
    </row>
    <row r="380" spans="1:15" x14ac:dyDescent="0.25">
      <c r="A380" s="1"/>
      <c r="B380" s="2" t="s">
        <v>915</v>
      </c>
      <c r="C380" s="2" t="s">
        <v>454</v>
      </c>
      <c r="D380" s="38">
        <v>42478</v>
      </c>
      <c r="E380" s="2" t="s">
        <v>34</v>
      </c>
      <c r="F380" s="1" t="s">
        <v>4195</v>
      </c>
      <c r="G380" s="2" t="s">
        <v>71</v>
      </c>
      <c r="H380" s="7" t="s">
        <v>233</v>
      </c>
      <c r="I380" s="2" t="s">
        <v>116</v>
      </c>
      <c r="J380" s="2" t="s">
        <v>213</v>
      </c>
      <c r="K380" s="7"/>
      <c r="L380" s="1" t="s">
        <v>4195</v>
      </c>
      <c r="M380" s="38">
        <v>42478</v>
      </c>
      <c r="N380" s="1" t="s">
        <v>6</v>
      </c>
      <c r="O380" s="1" t="s">
        <v>69</v>
      </c>
    </row>
    <row r="381" spans="1:15" ht="30" x14ac:dyDescent="0.25">
      <c r="A381" s="1"/>
      <c r="B381" s="2" t="s">
        <v>917</v>
      </c>
      <c r="C381" s="2" t="s">
        <v>1503</v>
      </c>
      <c r="D381" s="38">
        <v>42478</v>
      </c>
      <c r="E381" s="2" t="s">
        <v>87</v>
      </c>
      <c r="F381" s="1" t="s">
        <v>4137</v>
      </c>
      <c r="G381" s="2" t="s">
        <v>71</v>
      </c>
      <c r="H381" s="7" t="s">
        <v>4196</v>
      </c>
      <c r="I381" s="2" t="s">
        <v>118</v>
      </c>
      <c r="J381" s="2" t="s">
        <v>213</v>
      </c>
      <c r="K381" s="7" t="s">
        <v>4197</v>
      </c>
      <c r="L381" s="1" t="s">
        <v>4137</v>
      </c>
      <c r="M381" s="38">
        <v>42479</v>
      </c>
      <c r="N381" s="1" t="s">
        <v>6</v>
      </c>
      <c r="O381" s="1" t="s">
        <v>69</v>
      </c>
    </row>
    <row r="382" spans="1:15" ht="30" x14ac:dyDescent="0.25">
      <c r="A382" s="1"/>
      <c r="B382" s="2" t="s">
        <v>917</v>
      </c>
      <c r="C382" s="2" t="s">
        <v>1503</v>
      </c>
      <c r="D382" s="38">
        <v>42478</v>
      </c>
      <c r="E382" s="2" t="s">
        <v>87</v>
      </c>
      <c r="F382" s="1" t="s">
        <v>4198</v>
      </c>
      <c r="G382" s="2" t="s">
        <v>66</v>
      </c>
      <c r="H382" s="7" t="s">
        <v>4327</v>
      </c>
      <c r="I382" s="2" t="s">
        <v>171</v>
      </c>
      <c r="J382" s="2" t="s">
        <v>213</v>
      </c>
      <c r="K382" s="7" t="s">
        <v>4199</v>
      </c>
      <c r="L382" s="1" t="s">
        <v>4200</v>
      </c>
      <c r="M382" s="38">
        <v>42479</v>
      </c>
      <c r="N382" s="1" t="s">
        <v>6</v>
      </c>
      <c r="O382" s="1" t="s">
        <v>69</v>
      </c>
    </row>
    <row r="383" spans="1:15" x14ac:dyDescent="0.25">
      <c r="A383" s="1"/>
      <c r="B383" s="2" t="s">
        <v>2870</v>
      </c>
      <c r="C383" s="2" t="s">
        <v>116</v>
      </c>
      <c r="D383" s="38">
        <v>42478</v>
      </c>
      <c r="E383" s="2" t="s">
        <v>64</v>
      </c>
      <c r="F383" s="1" t="s">
        <v>4201</v>
      </c>
      <c r="G383" s="2" t="s">
        <v>71</v>
      </c>
      <c r="H383" s="7" t="s">
        <v>4202</v>
      </c>
      <c r="I383" s="2" t="s">
        <v>41</v>
      </c>
      <c r="J383" s="2" t="s">
        <v>213</v>
      </c>
      <c r="K383" s="7"/>
      <c r="L383" s="1" t="s">
        <v>4203</v>
      </c>
      <c r="M383" s="38">
        <v>42478</v>
      </c>
      <c r="N383" s="1" t="s">
        <v>6</v>
      </c>
      <c r="O383" s="1" t="s">
        <v>69</v>
      </c>
    </row>
    <row r="384" spans="1:15" x14ac:dyDescent="0.25">
      <c r="A384" s="1"/>
      <c r="B384" s="2" t="s">
        <v>917</v>
      </c>
      <c r="C384" s="2" t="s">
        <v>36</v>
      </c>
      <c r="D384" s="38">
        <v>42479</v>
      </c>
      <c r="E384" s="2" t="s">
        <v>70</v>
      </c>
      <c r="F384" s="1" t="s">
        <v>4204</v>
      </c>
      <c r="G384" s="2" t="s">
        <v>71</v>
      </c>
      <c r="H384" s="7" t="s">
        <v>2115</v>
      </c>
      <c r="I384" s="2" t="s">
        <v>36</v>
      </c>
      <c r="J384" s="2" t="s">
        <v>213</v>
      </c>
      <c r="K384" s="7" t="s">
        <v>2267</v>
      </c>
      <c r="L384" s="1" t="s">
        <v>4204</v>
      </c>
      <c r="M384" s="38">
        <v>42479</v>
      </c>
      <c r="N384" s="1" t="s">
        <v>6</v>
      </c>
      <c r="O384" s="1" t="s">
        <v>69</v>
      </c>
    </row>
    <row r="385" spans="1:15" ht="30" x14ac:dyDescent="0.25">
      <c r="A385" s="1"/>
      <c r="B385" s="2" t="s">
        <v>2870</v>
      </c>
      <c r="C385" s="2" t="s">
        <v>116</v>
      </c>
      <c r="D385" s="38">
        <v>42479</v>
      </c>
      <c r="E385" s="2" t="s">
        <v>64</v>
      </c>
      <c r="F385" s="1" t="s">
        <v>4205</v>
      </c>
      <c r="G385" s="2" t="s">
        <v>66</v>
      </c>
      <c r="H385" s="7" t="s">
        <v>4328</v>
      </c>
      <c r="I385" s="2" t="s">
        <v>116</v>
      </c>
      <c r="J385" s="2" t="s">
        <v>213</v>
      </c>
      <c r="K385" s="7" t="s">
        <v>4206</v>
      </c>
      <c r="L385" s="1" t="s">
        <v>4207</v>
      </c>
      <c r="M385" s="38">
        <v>42480</v>
      </c>
      <c r="N385" s="1" t="s">
        <v>6</v>
      </c>
      <c r="O385" s="1" t="s">
        <v>69</v>
      </c>
    </row>
    <row r="386" spans="1:15" x14ac:dyDescent="0.25">
      <c r="A386" s="1"/>
      <c r="B386" s="2" t="s">
        <v>917</v>
      </c>
      <c r="C386" s="2" t="s">
        <v>36</v>
      </c>
      <c r="D386" s="38">
        <v>42479</v>
      </c>
      <c r="E386" s="2" t="s">
        <v>70</v>
      </c>
      <c r="F386" s="1" t="s">
        <v>4208</v>
      </c>
      <c r="G386" s="2" t="s">
        <v>71</v>
      </c>
      <c r="H386" s="7" t="s">
        <v>4019</v>
      </c>
      <c r="I386" s="2" t="s">
        <v>36</v>
      </c>
      <c r="J386" s="2" t="s">
        <v>213</v>
      </c>
      <c r="K386" s="7" t="s">
        <v>2267</v>
      </c>
      <c r="L386" s="1" t="s">
        <v>4208</v>
      </c>
      <c r="M386" s="38">
        <v>42479</v>
      </c>
      <c r="N386" s="1" t="s">
        <v>6</v>
      </c>
      <c r="O386" s="1" t="s">
        <v>69</v>
      </c>
    </row>
    <row r="387" spans="1:15" x14ac:dyDescent="0.25">
      <c r="A387" s="1"/>
      <c r="B387" s="2" t="s">
        <v>917</v>
      </c>
      <c r="C387" s="2" t="s">
        <v>36</v>
      </c>
      <c r="D387" s="38">
        <v>42480</v>
      </c>
      <c r="E387" s="2" t="s">
        <v>70</v>
      </c>
      <c r="F387" s="1" t="s">
        <v>4209</v>
      </c>
      <c r="G387" s="2" t="s">
        <v>71</v>
      </c>
      <c r="H387" s="7" t="s">
        <v>4187</v>
      </c>
      <c r="I387" s="2" t="s">
        <v>36</v>
      </c>
      <c r="J387" s="2" t="s">
        <v>213</v>
      </c>
      <c r="K387" s="7" t="s">
        <v>2267</v>
      </c>
      <c r="L387" s="1" t="s">
        <v>4209</v>
      </c>
      <c r="M387" s="38">
        <v>42480</v>
      </c>
      <c r="N387" s="1" t="s">
        <v>6</v>
      </c>
      <c r="O387" s="1" t="s">
        <v>69</v>
      </c>
    </row>
    <row r="388" spans="1:15" x14ac:dyDescent="0.25">
      <c r="A388" s="1"/>
      <c r="B388" s="2" t="s">
        <v>2870</v>
      </c>
      <c r="C388" s="2" t="s">
        <v>116</v>
      </c>
      <c r="D388" s="38">
        <v>42480</v>
      </c>
      <c r="E388" s="2" t="s">
        <v>64</v>
      </c>
      <c r="F388" s="1" t="s">
        <v>4210</v>
      </c>
      <c r="G388" s="2" t="s">
        <v>71</v>
      </c>
      <c r="H388" s="7" t="s">
        <v>4202</v>
      </c>
      <c r="I388" s="2" t="s">
        <v>116</v>
      </c>
      <c r="J388" s="2" t="s">
        <v>213</v>
      </c>
      <c r="K388" s="7"/>
      <c r="L388" s="1" t="s">
        <v>4210</v>
      </c>
      <c r="M388" s="38">
        <v>42480</v>
      </c>
      <c r="N388" s="1" t="s">
        <v>6</v>
      </c>
      <c r="O388" s="1" t="s">
        <v>69</v>
      </c>
    </row>
    <row r="389" spans="1:15" x14ac:dyDescent="0.25">
      <c r="A389" s="1"/>
      <c r="B389" s="2" t="s">
        <v>2870</v>
      </c>
      <c r="C389" s="2" t="s">
        <v>41</v>
      </c>
      <c r="D389" s="38">
        <v>42480</v>
      </c>
      <c r="E389" s="2" t="s">
        <v>70</v>
      </c>
      <c r="F389" s="1" t="s">
        <v>4211</v>
      </c>
      <c r="G389" s="2" t="s">
        <v>71</v>
      </c>
      <c r="H389" s="7" t="s">
        <v>4329</v>
      </c>
      <c r="I389" s="2" t="s">
        <v>116</v>
      </c>
      <c r="J389" s="2" t="s">
        <v>213</v>
      </c>
      <c r="K389" s="7"/>
      <c r="L389" s="1" t="s">
        <v>4211</v>
      </c>
      <c r="M389" s="38">
        <v>42480</v>
      </c>
      <c r="N389" s="1" t="s">
        <v>6</v>
      </c>
      <c r="O389" s="1" t="s">
        <v>69</v>
      </c>
    </row>
    <row r="390" spans="1:15" ht="30" x14ac:dyDescent="0.25">
      <c r="A390" s="1"/>
      <c r="B390" s="2" t="s">
        <v>915</v>
      </c>
      <c r="C390" s="2" t="s">
        <v>116</v>
      </c>
      <c r="D390" s="38">
        <v>42481</v>
      </c>
      <c r="E390" s="2" t="s">
        <v>70</v>
      </c>
      <c r="F390" s="1" t="s">
        <v>4212</v>
      </c>
      <c r="G390" s="2" t="s">
        <v>71</v>
      </c>
      <c r="H390" s="7" t="s">
        <v>4330</v>
      </c>
      <c r="I390" s="2" t="s">
        <v>116</v>
      </c>
      <c r="J390" s="2" t="s">
        <v>213</v>
      </c>
      <c r="K390" s="7"/>
      <c r="L390" s="1"/>
      <c r="M390" s="38">
        <v>42481</v>
      </c>
      <c r="N390" s="1" t="s">
        <v>6</v>
      </c>
      <c r="O390" s="1" t="s">
        <v>69</v>
      </c>
    </row>
    <row r="391" spans="1:15" x14ac:dyDescent="0.25">
      <c r="A391" s="1"/>
      <c r="B391" s="2" t="s">
        <v>915</v>
      </c>
      <c r="C391" s="2" t="s">
        <v>116</v>
      </c>
      <c r="D391" s="38">
        <v>42481</v>
      </c>
      <c r="E391" s="2" t="s">
        <v>70</v>
      </c>
      <c r="F391" s="1" t="s">
        <v>4213</v>
      </c>
      <c r="G391" s="2" t="s">
        <v>71</v>
      </c>
      <c r="H391" s="7" t="s">
        <v>4214</v>
      </c>
      <c r="I391" s="2" t="s">
        <v>116</v>
      </c>
      <c r="J391" s="2" t="s">
        <v>213</v>
      </c>
      <c r="K391" s="7"/>
      <c r="L391" s="1" t="s">
        <v>4215</v>
      </c>
      <c r="M391" s="38"/>
      <c r="N391" s="1" t="s">
        <v>6</v>
      </c>
      <c r="O391" s="1" t="s">
        <v>69</v>
      </c>
    </row>
    <row r="392" spans="1:15" x14ac:dyDescent="0.25">
      <c r="A392" s="1"/>
      <c r="B392" s="2" t="s">
        <v>917</v>
      </c>
      <c r="C392" s="2" t="s">
        <v>143</v>
      </c>
      <c r="D392" s="38">
        <v>42481</v>
      </c>
      <c r="E392" s="2" t="s">
        <v>70</v>
      </c>
      <c r="F392" s="1" t="s">
        <v>4216</v>
      </c>
      <c r="G392" s="2" t="s">
        <v>66</v>
      </c>
      <c r="H392" s="7" t="s">
        <v>4217</v>
      </c>
      <c r="I392" s="2" t="s">
        <v>144</v>
      </c>
      <c r="J392" s="2" t="s">
        <v>213</v>
      </c>
      <c r="K392" s="7" t="s">
        <v>4218</v>
      </c>
      <c r="L392" s="1" t="s">
        <v>4219</v>
      </c>
      <c r="M392" s="38">
        <v>42482</v>
      </c>
      <c r="N392" s="1" t="s">
        <v>6</v>
      </c>
      <c r="O392" s="1" t="s">
        <v>69</v>
      </c>
    </row>
    <row r="393" spans="1:15" x14ac:dyDescent="0.25">
      <c r="A393" s="1"/>
      <c r="B393" s="2" t="s">
        <v>917</v>
      </c>
      <c r="C393" s="2" t="s">
        <v>143</v>
      </c>
      <c r="D393" s="38">
        <v>42481</v>
      </c>
      <c r="E393" s="2" t="s">
        <v>70</v>
      </c>
      <c r="F393" s="1" t="s">
        <v>4216</v>
      </c>
      <c r="G393" s="2" t="s">
        <v>66</v>
      </c>
      <c r="H393" s="7" t="s">
        <v>4220</v>
      </c>
      <c r="I393" s="2" t="s">
        <v>144</v>
      </c>
      <c r="J393" s="2" t="s">
        <v>213</v>
      </c>
      <c r="K393" s="7" t="s">
        <v>4221</v>
      </c>
      <c r="L393" s="1" t="s">
        <v>4219</v>
      </c>
      <c r="M393" s="38">
        <v>42482</v>
      </c>
      <c r="N393" s="1" t="s">
        <v>6</v>
      </c>
      <c r="O393" s="1" t="s">
        <v>69</v>
      </c>
    </row>
    <row r="394" spans="1:15" x14ac:dyDescent="0.25">
      <c r="A394" s="1"/>
      <c r="B394" s="2" t="s">
        <v>917</v>
      </c>
      <c r="C394" s="2" t="s">
        <v>143</v>
      </c>
      <c r="D394" s="38">
        <v>42481</v>
      </c>
      <c r="E394" s="2" t="s">
        <v>70</v>
      </c>
      <c r="F394" s="1" t="s">
        <v>4216</v>
      </c>
      <c r="G394" s="2" t="s">
        <v>66</v>
      </c>
      <c r="H394" s="7" t="s">
        <v>4222</v>
      </c>
      <c r="I394" s="2" t="s">
        <v>144</v>
      </c>
      <c r="J394" s="2" t="s">
        <v>213</v>
      </c>
      <c r="K394" s="7" t="s">
        <v>4223</v>
      </c>
      <c r="L394" s="1" t="s">
        <v>4219</v>
      </c>
      <c r="M394" s="38">
        <v>42482</v>
      </c>
      <c r="N394" s="1" t="s">
        <v>6</v>
      </c>
      <c r="O394" s="1" t="s">
        <v>69</v>
      </c>
    </row>
    <row r="395" spans="1:15" x14ac:dyDescent="0.25">
      <c r="A395" s="1"/>
      <c r="B395" s="2" t="s">
        <v>917</v>
      </c>
      <c r="C395" s="2" t="s">
        <v>143</v>
      </c>
      <c r="D395" s="38">
        <v>42482</v>
      </c>
      <c r="E395" s="2" t="s">
        <v>70</v>
      </c>
      <c r="F395" s="1" t="s">
        <v>4224</v>
      </c>
      <c r="G395" s="2" t="s">
        <v>66</v>
      </c>
      <c r="H395" s="7" t="s">
        <v>4331</v>
      </c>
      <c r="I395" s="2" t="s">
        <v>144</v>
      </c>
      <c r="J395" s="2" t="s">
        <v>213</v>
      </c>
      <c r="K395" s="7" t="s">
        <v>4332</v>
      </c>
      <c r="L395" s="1" t="s">
        <v>4219</v>
      </c>
      <c r="M395" s="38">
        <v>42482</v>
      </c>
      <c r="N395" s="1" t="s">
        <v>6</v>
      </c>
      <c r="O395" s="1" t="s">
        <v>69</v>
      </c>
    </row>
    <row r="396" spans="1:15" x14ac:dyDescent="0.25">
      <c r="A396" s="1" t="s">
        <v>4225</v>
      </c>
      <c r="B396" s="2" t="s">
        <v>917</v>
      </c>
      <c r="C396" s="2" t="s">
        <v>143</v>
      </c>
      <c r="D396" s="38">
        <v>42482</v>
      </c>
      <c r="E396" s="2" t="s">
        <v>70</v>
      </c>
      <c r="F396" s="1" t="s">
        <v>4224</v>
      </c>
      <c r="G396" s="2" t="s">
        <v>66</v>
      </c>
      <c r="H396" s="7" t="s">
        <v>4333</v>
      </c>
      <c r="I396" s="2" t="s">
        <v>144</v>
      </c>
      <c r="J396" s="2" t="s">
        <v>213</v>
      </c>
      <c r="K396" s="7" t="s">
        <v>4226</v>
      </c>
      <c r="L396" s="1" t="s">
        <v>4219</v>
      </c>
      <c r="M396" s="38">
        <v>42482</v>
      </c>
      <c r="N396" s="1" t="s">
        <v>6</v>
      </c>
      <c r="O396" s="1" t="s">
        <v>69</v>
      </c>
    </row>
    <row r="397" spans="1:15" x14ac:dyDescent="0.25">
      <c r="A397" s="1"/>
      <c r="B397" s="2" t="s">
        <v>917</v>
      </c>
      <c r="C397" s="2" t="s">
        <v>143</v>
      </c>
      <c r="D397" s="38">
        <v>42482</v>
      </c>
      <c r="E397" s="2" t="s">
        <v>70</v>
      </c>
      <c r="F397" s="1" t="s">
        <v>4224</v>
      </c>
      <c r="G397" s="2" t="s">
        <v>66</v>
      </c>
      <c r="H397" s="7" t="s">
        <v>4227</v>
      </c>
      <c r="I397" s="2" t="s">
        <v>144</v>
      </c>
      <c r="J397" s="2" t="s">
        <v>213</v>
      </c>
      <c r="K397" s="7" t="s">
        <v>4334</v>
      </c>
      <c r="L397" s="1" t="s">
        <v>4219</v>
      </c>
      <c r="M397" s="38">
        <v>42482</v>
      </c>
      <c r="N397" s="1" t="s">
        <v>6</v>
      </c>
      <c r="O397" s="1" t="s">
        <v>69</v>
      </c>
    </row>
    <row r="398" spans="1:15" x14ac:dyDescent="0.25">
      <c r="A398" s="1"/>
      <c r="B398" s="2" t="s">
        <v>917</v>
      </c>
      <c r="C398" s="2" t="s">
        <v>143</v>
      </c>
      <c r="D398" s="38">
        <v>42482</v>
      </c>
      <c r="E398" s="2" t="s">
        <v>70</v>
      </c>
      <c r="F398" s="1" t="s">
        <v>4224</v>
      </c>
      <c r="G398" s="2" t="s">
        <v>66</v>
      </c>
      <c r="H398" s="7" t="s">
        <v>4335</v>
      </c>
      <c r="I398" s="2" t="s">
        <v>144</v>
      </c>
      <c r="J398" s="2" t="s">
        <v>213</v>
      </c>
      <c r="K398" s="7" t="s">
        <v>4228</v>
      </c>
      <c r="L398" s="1" t="s">
        <v>4219</v>
      </c>
      <c r="M398" s="38">
        <v>42482</v>
      </c>
      <c r="N398" s="1" t="s">
        <v>6</v>
      </c>
      <c r="O398" s="1" t="s">
        <v>69</v>
      </c>
    </row>
    <row r="399" spans="1:15" x14ac:dyDescent="0.25">
      <c r="A399" s="1"/>
      <c r="B399" s="2" t="s">
        <v>917</v>
      </c>
      <c r="C399" s="2" t="s">
        <v>143</v>
      </c>
      <c r="D399" s="38">
        <v>42482</v>
      </c>
      <c r="E399" s="2" t="s">
        <v>70</v>
      </c>
      <c r="F399" s="1" t="s">
        <v>4224</v>
      </c>
      <c r="G399" s="2" t="s">
        <v>66</v>
      </c>
      <c r="H399" s="7" t="s">
        <v>4229</v>
      </c>
      <c r="I399" s="2" t="s">
        <v>144</v>
      </c>
      <c r="J399" s="2" t="s">
        <v>213</v>
      </c>
      <c r="K399" s="7" t="s">
        <v>4230</v>
      </c>
      <c r="L399" s="1" t="s">
        <v>4219</v>
      </c>
      <c r="M399" s="38">
        <v>42482</v>
      </c>
      <c r="N399" s="1" t="s">
        <v>6</v>
      </c>
      <c r="O399" s="1" t="s">
        <v>69</v>
      </c>
    </row>
    <row r="400" spans="1:15" x14ac:dyDescent="0.25">
      <c r="A400" s="1"/>
      <c r="B400" s="2" t="s">
        <v>917</v>
      </c>
      <c r="C400" s="2" t="s">
        <v>143</v>
      </c>
      <c r="D400" s="38">
        <v>42482</v>
      </c>
      <c r="E400" s="2" t="s">
        <v>70</v>
      </c>
      <c r="F400" s="1" t="s">
        <v>4219</v>
      </c>
      <c r="G400" s="2" t="s">
        <v>66</v>
      </c>
      <c r="H400" s="7" t="s">
        <v>4336</v>
      </c>
      <c r="I400" s="2" t="s">
        <v>144</v>
      </c>
      <c r="J400" s="2" t="s">
        <v>213</v>
      </c>
      <c r="K400" s="7" t="s">
        <v>4231</v>
      </c>
      <c r="L400" s="1" t="s">
        <v>4232</v>
      </c>
      <c r="M400" s="38">
        <v>42482</v>
      </c>
      <c r="N400" s="1" t="s">
        <v>6</v>
      </c>
      <c r="O400" s="1" t="s">
        <v>69</v>
      </c>
    </row>
    <row r="401" spans="1:15" x14ac:dyDescent="0.25">
      <c r="A401" s="1"/>
      <c r="B401" s="2" t="s">
        <v>917</v>
      </c>
      <c r="C401" s="2" t="s">
        <v>143</v>
      </c>
      <c r="D401" s="38">
        <v>42482</v>
      </c>
      <c r="E401" s="2" t="s">
        <v>70</v>
      </c>
      <c r="F401" s="1" t="s">
        <v>4219</v>
      </c>
      <c r="G401" s="2" t="s">
        <v>66</v>
      </c>
      <c r="H401" s="7" t="s">
        <v>4233</v>
      </c>
      <c r="I401" s="2" t="s">
        <v>144</v>
      </c>
      <c r="J401" s="2" t="s">
        <v>213</v>
      </c>
      <c r="K401" s="7" t="s">
        <v>4234</v>
      </c>
      <c r="L401" s="1" t="s">
        <v>4232</v>
      </c>
      <c r="M401" s="38">
        <v>42482</v>
      </c>
      <c r="N401" s="1" t="s">
        <v>6</v>
      </c>
      <c r="O401" s="1" t="s">
        <v>69</v>
      </c>
    </row>
    <row r="402" spans="1:15" ht="30" x14ac:dyDescent="0.25">
      <c r="A402" s="1"/>
      <c r="B402" s="2" t="s">
        <v>917</v>
      </c>
      <c r="C402" s="2" t="s">
        <v>144</v>
      </c>
      <c r="D402" s="38">
        <v>42483</v>
      </c>
      <c r="E402" s="2" t="s">
        <v>34</v>
      </c>
      <c r="F402" s="1" t="s">
        <v>4235</v>
      </c>
      <c r="G402" s="2" t="s">
        <v>66</v>
      </c>
      <c r="H402" s="7" t="s">
        <v>4236</v>
      </c>
      <c r="I402" s="2" t="s">
        <v>116</v>
      </c>
      <c r="J402" s="2" t="s">
        <v>213</v>
      </c>
      <c r="K402" s="7" t="s">
        <v>4337</v>
      </c>
      <c r="L402" s="1" t="s">
        <v>4237</v>
      </c>
      <c r="M402" s="38">
        <v>42485</v>
      </c>
      <c r="N402" s="1" t="s">
        <v>6</v>
      </c>
      <c r="O402" s="1" t="s">
        <v>69</v>
      </c>
    </row>
    <row r="403" spans="1:15" ht="45" x14ac:dyDescent="0.25">
      <c r="A403" s="1"/>
      <c r="B403" s="2" t="s">
        <v>917</v>
      </c>
      <c r="C403" s="2" t="s">
        <v>144</v>
      </c>
      <c r="D403" s="38">
        <v>42483</v>
      </c>
      <c r="E403" s="2" t="s">
        <v>34</v>
      </c>
      <c r="F403" s="1" t="s">
        <v>4235</v>
      </c>
      <c r="G403" s="2" t="s">
        <v>66</v>
      </c>
      <c r="H403" s="7" t="s">
        <v>4238</v>
      </c>
      <c r="I403" s="2" t="s">
        <v>116</v>
      </c>
      <c r="J403" s="2" t="s">
        <v>213</v>
      </c>
      <c r="K403" s="7" t="s">
        <v>4338</v>
      </c>
      <c r="L403" s="1" t="s">
        <v>4237</v>
      </c>
      <c r="M403" s="38">
        <v>42485</v>
      </c>
      <c r="N403" s="1" t="s">
        <v>6</v>
      </c>
      <c r="O403" s="1" t="s">
        <v>69</v>
      </c>
    </row>
    <row r="404" spans="1:15" x14ac:dyDescent="0.25">
      <c r="A404" s="1"/>
      <c r="B404" s="2" t="s">
        <v>917</v>
      </c>
      <c r="C404" s="2" t="s">
        <v>36</v>
      </c>
      <c r="D404" s="38">
        <v>42486</v>
      </c>
      <c r="E404" s="2" t="s">
        <v>70</v>
      </c>
      <c r="F404" s="1" t="s">
        <v>4239</v>
      </c>
      <c r="G404" s="2" t="s">
        <v>71</v>
      </c>
      <c r="H404" s="7" t="s">
        <v>233</v>
      </c>
      <c r="I404" s="2" t="s">
        <v>144</v>
      </c>
      <c r="J404" s="2" t="s">
        <v>213</v>
      </c>
      <c r="K404" s="7" t="s">
        <v>2267</v>
      </c>
      <c r="L404" s="1" t="s">
        <v>4239</v>
      </c>
      <c r="M404" s="38">
        <v>42486</v>
      </c>
      <c r="N404" s="1" t="s">
        <v>6</v>
      </c>
      <c r="O404" s="1" t="s">
        <v>69</v>
      </c>
    </row>
    <row r="405" spans="1:15" ht="45" x14ac:dyDescent="0.25">
      <c r="A405" s="1"/>
      <c r="B405" s="2" t="s">
        <v>917</v>
      </c>
      <c r="C405" s="2" t="s">
        <v>116</v>
      </c>
      <c r="D405" s="38">
        <v>42488</v>
      </c>
      <c r="E405" s="2" t="s">
        <v>70</v>
      </c>
      <c r="F405" s="1" t="s">
        <v>4240</v>
      </c>
      <c r="G405" s="2" t="s">
        <v>71</v>
      </c>
      <c r="H405" s="7" t="s">
        <v>4339</v>
      </c>
      <c r="I405" s="2" t="s">
        <v>36</v>
      </c>
      <c r="J405" s="2" t="s">
        <v>213</v>
      </c>
      <c r="K405" s="7"/>
      <c r="L405" s="1"/>
      <c r="M405" s="38">
        <v>42488</v>
      </c>
      <c r="N405" s="1" t="s">
        <v>6</v>
      </c>
      <c r="O405" s="1" t="s">
        <v>69</v>
      </c>
    </row>
    <row r="406" spans="1:15" ht="45" x14ac:dyDescent="0.25">
      <c r="A406" s="1"/>
      <c r="B406" s="2" t="s">
        <v>2880</v>
      </c>
      <c r="C406" s="2" t="s">
        <v>36</v>
      </c>
      <c r="D406" s="38">
        <v>42594</v>
      </c>
      <c r="E406" s="2" t="s">
        <v>70</v>
      </c>
      <c r="F406" s="1" t="s">
        <v>4241</v>
      </c>
      <c r="G406" s="2" t="s">
        <v>66</v>
      </c>
      <c r="H406" s="7" t="s">
        <v>4242</v>
      </c>
      <c r="I406" s="2" t="s">
        <v>116</v>
      </c>
      <c r="J406" s="2" t="s">
        <v>213</v>
      </c>
      <c r="K406" s="7" t="s">
        <v>4243</v>
      </c>
      <c r="L406" s="1" t="s">
        <v>4065</v>
      </c>
      <c r="M406" s="38">
        <v>42601</v>
      </c>
      <c r="N406" s="1" t="s">
        <v>6</v>
      </c>
      <c r="O406" s="1" t="s">
        <v>69</v>
      </c>
    </row>
    <row r="407" spans="1:15" ht="45" x14ac:dyDescent="0.25">
      <c r="A407" s="1"/>
      <c r="B407" s="2" t="s">
        <v>2880</v>
      </c>
      <c r="C407" s="2" t="s">
        <v>36</v>
      </c>
      <c r="D407" s="38">
        <v>42594</v>
      </c>
      <c r="E407" s="2" t="s">
        <v>70</v>
      </c>
      <c r="F407" s="1" t="s">
        <v>4241</v>
      </c>
      <c r="G407" s="2" t="s">
        <v>66</v>
      </c>
      <c r="H407" s="7" t="s">
        <v>4244</v>
      </c>
      <c r="I407" s="2" t="s">
        <v>116</v>
      </c>
      <c r="J407" s="2" t="s">
        <v>213</v>
      </c>
      <c r="K407" s="7" t="s">
        <v>4245</v>
      </c>
      <c r="L407" s="1" t="s">
        <v>4065</v>
      </c>
      <c r="M407" s="38">
        <v>42601</v>
      </c>
      <c r="N407" s="1" t="s">
        <v>6</v>
      </c>
      <c r="O407" s="1" t="s">
        <v>69</v>
      </c>
    </row>
    <row r="408" spans="1:15" x14ac:dyDescent="0.25">
      <c r="A408" s="1"/>
      <c r="B408" s="2" t="s">
        <v>2880</v>
      </c>
      <c r="C408" s="2" t="s">
        <v>36</v>
      </c>
      <c r="D408" s="38">
        <v>42594</v>
      </c>
      <c r="E408" s="2" t="s">
        <v>70</v>
      </c>
      <c r="F408" s="1" t="s">
        <v>4241</v>
      </c>
      <c r="G408" s="2" t="s">
        <v>71</v>
      </c>
      <c r="H408" s="7" t="s">
        <v>4246</v>
      </c>
      <c r="I408" s="2" t="s">
        <v>116</v>
      </c>
      <c r="J408" s="2" t="s">
        <v>213</v>
      </c>
      <c r="K408" s="7" t="s">
        <v>4247</v>
      </c>
      <c r="L408" s="1" t="s">
        <v>4065</v>
      </c>
      <c r="M408" s="38">
        <v>42601</v>
      </c>
      <c r="N408" s="1" t="s">
        <v>6</v>
      </c>
      <c r="O408" s="1" t="s">
        <v>69</v>
      </c>
    </row>
    <row r="409" spans="1:15" ht="30" x14ac:dyDescent="0.25">
      <c r="A409" s="1"/>
      <c r="B409" s="2" t="s">
        <v>2880</v>
      </c>
      <c r="C409" s="2" t="s">
        <v>36</v>
      </c>
      <c r="D409" s="38">
        <v>42601</v>
      </c>
      <c r="E409" s="2" t="s">
        <v>70</v>
      </c>
      <c r="F409" s="1" t="s">
        <v>4248</v>
      </c>
      <c r="G409" s="2" t="s">
        <v>66</v>
      </c>
      <c r="H409" s="7" t="s">
        <v>4340</v>
      </c>
      <c r="I409" s="2" t="s">
        <v>116</v>
      </c>
      <c r="J409" s="2" t="s">
        <v>213</v>
      </c>
      <c r="K409" s="7" t="s">
        <v>4249</v>
      </c>
      <c r="L409" s="1" t="s">
        <v>4250</v>
      </c>
      <c r="M409" s="38">
        <v>42604</v>
      </c>
      <c r="N409" s="1" t="s">
        <v>6</v>
      </c>
      <c r="O409" s="1" t="s">
        <v>69</v>
      </c>
    </row>
    <row r="410" spans="1:15" ht="30" x14ac:dyDescent="0.25">
      <c r="A410" s="1"/>
      <c r="B410" s="2" t="s">
        <v>2880</v>
      </c>
      <c r="C410" s="2" t="s">
        <v>36</v>
      </c>
      <c r="D410" s="38">
        <v>42601</v>
      </c>
      <c r="E410" s="2" t="s">
        <v>70</v>
      </c>
      <c r="F410" s="1" t="s">
        <v>4248</v>
      </c>
      <c r="G410" s="2" t="s">
        <v>66</v>
      </c>
      <c r="H410" s="7" t="s">
        <v>4341</v>
      </c>
      <c r="I410" s="2" t="s">
        <v>116</v>
      </c>
      <c r="J410" s="2" t="s">
        <v>213</v>
      </c>
      <c r="K410" s="7" t="s">
        <v>4251</v>
      </c>
      <c r="L410" s="1" t="s">
        <v>4250</v>
      </c>
      <c r="M410" s="38">
        <v>42604</v>
      </c>
      <c r="N410" s="1" t="s">
        <v>6</v>
      </c>
      <c r="O410" s="1" t="s">
        <v>69</v>
      </c>
    </row>
    <row r="411" spans="1:15" ht="30" x14ac:dyDescent="0.25">
      <c r="A411" s="1"/>
      <c r="B411" s="2" t="s">
        <v>2880</v>
      </c>
      <c r="C411" s="2" t="s">
        <v>36</v>
      </c>
      <c r="D411" s="38">
        <v>42601</v>
      </c>
      <c r="E411" s="2" t="s">
        <v>70</v>
      </c>
      <c r="F411" s="1" t="s">
        <v>4252</v>
      </c>
      <c r="G411" s="2" t="s">
        <v>66</v>
      </c>
      <c r="H411" s="7" t="s">
        <v>4253</v>
      </c>
      <c r="I411" s="2" t="s">
        <v>116</v>
      </c>
      <c r="J411" s="2" t="s">
        <v>213</v>
      </c>
      <c r="K411" s="7" t="s">
        <v>4254</v>
      </c>
      <c r="L411" s="1" t="s">
        <v>4250</v>
      </c>
      <c r="M411" s="38">
        <v>42604</v>
      </c>
      <c r="N411" s="1" t="s">
        <v>6</v>
      </c>
      <c r="O411" s="1" t="s">
        <v>69</v>
      </c>
    </row>
    <row r="412" spans="1:15" x14ac:dyDescent="0.25">
      <c r="A412" s="1"/>
      <c r="B412" s="2" t="s">
        <v>2882</v>
      </c>
      <c r="C412" s="2" t="s">
        <v>36</v>
      </c>
      <c r="D412" s="38">
        <v>42607</v>
      </c>
      <c r="E412" s="2" t="s">
        <v>70</v>
      </c>
      <c r="F412" s="1" t="s">
        <v>4255</v>
      </c>
      <c r="G412" s="2" t="s">
        <v>71</v>
      </c>
      <c r="H412" s="7" t="s">
        <v>233</v>
      </c>
      <c r="I412" s="2" t="s">
        <v>116</v>
      </c>
      <c r="J412" s="2" t="s">
        <v>213</v>
      </c>
      <c r="K412" s="7" t="s">
        <v>2267</v>
      </c>
      <c r="L412" s="1" t="s">
        <v>4255</v>
      </c>
      <c r="M412" s="38">
        <v>42607</v>
      </c>
      <c r="N412" s="1" t="s">
        <v>6</v>
      </c>
      <c r="O412" s="1" t="s">
        <v>69</v>
      </c>
    </row>
    <row r="413" spans="1:15" ht="30" x14ac:dyDescent="0.25">
      <c r="A413" s="1"/>
      <c r="B413" s="2" t="s">
        <v>2882</v>
      </c>
      <c r="C413" s="2" t="s">
        <v>36</v>
      </c>
      <c r="D413" s="38">
        <v>42611</v>
      </c>
      <c r="E413" s="2" t="s">
        <v>70</v>
      </c>
      <c r="F413" s="1" t="s">
        <v>4256</v>
      </c>
      <c r="G413" s="2" t="s">
        <v>66</v>
      </c>
      <c r="H413" s="7" t="s">
        <v>4257</v>
      </c>
      <c r="I413" s="2" t="s">
        <v>116</v>
      </c>
      <c r="J413" s="2" t="s">
        <v>213</v>
      </c>
      <c r="K413" s="7" t="s">
        <v>659</v>
      </c>
      <c r="L413" s="1" t="s">
        <v>4258</v>
      </c>
      <c r="M413" s="38">
        <v>42612</v>
      </c>
      <c r="N413" s="1" t="s">
        <v>6</v>
      </c>
      <c r="O413" s="1" t="s">
        <v>69</v>
      </c>
    </row>
    <row r="414" spans="1:15" x14ac:dyDescent="0.25">
      <c r="A414" s="1"/>
      <c r="B414" s="2" t="s">
        <v>2882</v>
      </c>
      <c r="C414" s="2" t="s">
        <v>36</v>
      </c>
      <c r="D414" s="38">
        <v>42611</v>
      </c>
      <c r="E414" s="2" t="s">
        <v>70</v>
      </c>
      <c r="F414" s="1" t="s">
        <v>4256</v>
      </c>
      <c r="G414" s="2" t="s">
        <v>71</v>
      </c>
      <c r="H414" s="7" t="s">
        <v>4259</v>
      </c>
      <c r="I414" s="2" t="s">
        <v>116</v>
      </c>
      <c r="J414" s="2" t="s">
        <v>213</v>
      </c>
      <c r="K414" s="7" t="s">
        <v>659</v>
      </c>
      <c r="L414" s="1" t="s">
        <v>4258</v>
      </c>
      <c r="M414" s="38">
        <v>42612</v>
      </c>
      <c r="N414" s="1" t="s">
        <v>6</v>
      </c>
      <c r="O414" s="1" t="s">
        <v>69</v>
      </c>
    </row>
    <row r="415" spans="1:15" ht="30" x14ac:dyDescent="0.25">
      <c r="A415" s="1"/>
      <c r="B415" s="2" t="s">
        <v>2882</v>
      </c>
      <c r="C415" s="2" t="s">
        <v>36</v>
      </c>
      <c r="D415" s="38">
        <v>42612</v>
      </c>
      <c r="E415" s="2" t="s">
        <v>70</v>
      </c>
      <c r="F415" s="1" t="s">
        <v>4260</v>
      </c>
      <c r="G415" s="2" t="s">
        <v>66</v>
      </c>
      <c r="H415" s="7" t="s">
        <v>4342</v>
      </c>
      <c r="I415" s="2" t="s">
        <v>116</v>
      </c>
      <c r="J415" s="2" t="s">
        <v>213</v>
      </c>
      <c r="K415" s="7" t="s">
        <v>4261</v>
      </c>
      <c r="L415" s="1" t="s">
        <v>4262</v>
      </c>
      <c r="M415" s="38">
        <v>42613</v>
      </c>
      <c r="N415" s="1" t="s">
        <v>6</v>
      </c>
      <c r="O415" s="1" t="s">
        <v>69</v>
      </c>
    </row>
    <row r="416" spans="1:15" ht="30" x14ac:dyDescent="0.25">
      <c r="A416" s="1"/>
      <c r="B416" s="2" t="s">
        <v>2882</v>
      </c>
      <c r="C416" s="2" t="s">
        <v>36</v>
      </c>
      <c r="D416" s="38">
        <v>42612</v>
      </c>
      <c r="E416" s="2" t="s">
        <v>70</v>
      </c>
      <c r="F416" s="1" t="s">
        <v>4260</v>
      </c>
      <c r="G416" s="2" t="s">
        <v>66</v>
      </c>
      <c r="H416" s="7" t="s">
        <v>4343</v>
      </c>
      <c r="I416" s="2" t="s">
        <v>116</v>
      </c>
      <c r="J416" s="2" t="s">
        <v>213</v>
      </c>
      <c r="K416" s="7" t="s">
        <v>4261</v>
      </c>
      <c r="L416" s="1" t="s">
        <v>4262</v>
      </c>
      <c r="M416" s="38">
        <v>42613</v>
      </c>
      <c r="N416" s="1" t="s">
        <v>6</v>
      </c>
      <c r="O416" s="1" t="s">
        <v>69</v>
      </c>
    </row>
    <row r="417" spans="1:15" ht="30" x14ac:dyDescent="0.25">
      <c r="A417" s="1"/>
      <c r="B417" s="2" t="s">
        <v>2882</v>
      </c>
      <c r="C417" s="2" t="s">
        <v>36</v>
      </c>
      <c r="D417" s="38">
        <v>42612</v>
      </c>
      <c r="E417" s="2" t="s">
        <v>70</v>
      </c>
      <c r="F417" s="1" t="s">
        <v>4260</v>
      </c>
      <c r="G417" s="2" t="s">
        <v>66</v>
      </c>
      <c r="H417" s="7" t="s">
        <v>4263</v>
      </c>
      <c r="I417" s="2" t="s">
        <v>116</v>
      </c>
      <c r="J417" s="2" t="s">
        <v>213</v>
      </c>
      <c r="K417" s="7" t="s">
        <v>4261</v>
      </c>
      <c r="L417" s="1" t="s">
        <v>4262</v>
      </c>
      <c r="M417" s="38">
        <v>42613</v>
      </c>
      <c r="N417" s="1" t="s">
        <v>6</v>
      </c>
      <c r="O417" s="1" t="s">
        <v>69</v>
      </c>
    </row>
    <row r="418" spans="1:15" x14ac:dyDescent="0.25">
      <c r="A418" s="1"/>
      <c r="B418" s="2" t="s">
        <v>2882</v>
      </c>
      <c r="C418" s="2" t="s">
        <v>36</v>
      </c>
      <c r="D418" s="38">
        <v>42616</v>
      </c>
      <c r="E418" s="2" t="s">
        <v>70</v>
      </c>
      <c r="F418" s="1" t="s">
        <v>4264</v>
      </c>
      <c r="G418" s="2" t="s">
        <v>71</v>
      </c>
      <c r="H418" s="7" t="s">
        <v>4019</v>
      </c>
      <c r="I418" s="2" t="s">
        <v>36</v>
      </c>
      <c r="J418" s="2" t="s">
        <v>213</v>
      </c>
      <c r="K418" s="7" t="s">
        <v>2267</v>
      </c>
      <c r="L418" s="1" t="s">
        <v>4264</v>
      </c>
      <c r="M418" s="38">
        <v>42616</v>
      </c>
      <c r="N418" s="1" t="s">
        <v>6</v>
      </c>
      <c r="O418" s="1" t="s">
        <v>69</v>
      </c>
    </row>
    <row r="419" spans="1:15" x14ac:dyDescent="0.25">
      <c r="A419" s="1"/>
      <c r="B419" s="2" t="s">
        <v>2882</v>
      </c>
      <c r="C419" s="2" t="s">
        <v>36</v>
      </c>
      <c r="D419" s="38">
        <v>42630</v>
      </c>
      <c r="E419" s="2" t="s">
        <v>70</v>
      </c>
      <c r="F419" s="1" t="s">
        <v>4265</v>
      </c>
      <c r="G419" s="2" t="s">
        <v>71</v>
      </c>
      <c r="H419" s="7" t="s">
        <v>4019</v>
      </c>
      <c r="I419" s="2" t="s">
        <v>36</v>
      </c>
      <c r="J419" s="2" t="s">
        <v>213</v>
      </c>
      <c r="K419" s="7" t="s">
        <v>2267</v>
      </c>
      <c r="L419" s="1" t="s">
        <v>4265</v>
      </c>
      <c r="M419" s="38">
        <v>42630</v>
      </c>
      <c r="N419" s="1" t="s">
        <v>6</v>
      </c>
      <c r="O419" s="1" t="s">
        <v>69</v>
      </c>
    </row>
    <row r="420" spans="1:15" ht="30" x14ac:dyDescent="0.25">
      <c r="A420" s="1"/>
      <c r="B420" s="2" t="s">
        <v>2884</v>
      </c>
      <c r="C420" s="2" t="s">
        <v>924</v>
      </c>
      <c r="D420" s="38">
        <v>42878</v>
      </c>
      <c r="E420" s="2" t="s">
        <v>70</v>
      </c>
      <c r="F420" s="1" t="s">
        <v>846</v>
      </c>
      <c r="G420" s="2" t="s">
        <v>66</v>
      </c>
      <c r="H420" s="7" t="s">
        <v>4344</v>
      </c>
      <c r="I420" s="2" t="s">
        <v>78</v>
      </c>
      <c r="J420" s="2" t="s">
        <v>213</v>
      </c>
      <c r="K420" s="7" t="s">
        <v>4345</v>
      </c>
      <c r="L420" s="1" t="s">
        <v>2142</v>
      </c>
      <c r="M420" s="38">
        <v>42881</v>
      </c>
      <c r="N420" s="1" t="s">
        <v>6</v>
      </c>
      <c r="O420" s="1" t="s">
        <v>69</v>
      </c>
    </row>
    <row r="421" spans="1:15" x14ac:dyDescent="0.25">
      <c r="A421" s="1"/>
      <c r="B421" s="2" t="s">
        <v>2884</v>
      </c>
      <c r="C421" s="2" t="s">
        <v>78</v>
      </c>
      <c r="D421" s="38">
        <v>42881</v>
      </c>
      <c r="E421" s="2" t="s">
        <v>70</v>
      </c>
      <c r="F421" s="1" t="s">
        <v>2142</v>
      </c>
      <c r="G421" s="2" t="s">
        <v>71</v>
      </c>
      <c r="H421" s="7" t="s">
        <v>4266</v>
      </c>
      <c r="I421" s="2" t="s">
        <v>78</v>
      </c>
      <c r="J421" s="2" t="s">
        <v>213</v>
      </c>
      <c r="K421" s="7"/>
      <c r="L421" s="1" t="s">
        <v>2142</v>
      </c>
      <c r="M421" s="38">
        <v>42881</v>
      </c>
      <c r="N421" s="1" t="s">
        <v>6</v>
      </c>
      <c r="O421" s="1" t="s">
        <v>69</v>
      </c>
    </row>
    <row r="422" spans="1:15" x14ac:dyDescent="0.25">
      <c r="A422" s="1"/>
      <c r="B422" s="2" t="s">
        <v>2884</v>
      </c>
      <c r="C422" s="2" t="s">
        <v>924</v>
      </c>
      <c r="D422" s="38">
        <v>42882</v>
      </c>
      <c r="E422" s="2" t="s">
        <v>70</v>
      </c>
      <c r="F422" s="1" t="s">
        <v>215</v>
      </c>
      <c r="G422" s="2" t="s">
        <v>71</v>
      </c>
      <c r="H422" s="7" t="s">
        <v>4267</v>
      </c>
      <c r="I422" s="2" t="s">
        <v>78</v>
      </c>
      <c r="J422" s="2" t="s">
        <v>213</v>
      </c>
      <c r="K422" s="7"/>
      <c r="L422" s="1"/>
      <c r="M422" s="38">
        <v>42882</v>
      </c>
      <c r="N422" s="1" t="s">
        <v>6</v>
      </c>
      <c r="O422" s="1" t="s">
        <v>69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119"/>
  <sheetViews>
    <sheetView workbookViewId="0">
      <selection activeCell="C14" sqref="C14"/>
    </sheetView>
  </sheetViews>
  <sheetFormatPr defaultRowHeight="15" x14ac:dyDescent="0.25"/>
  <cols>
    <col min="1" max="1" width="14.5703125" bestFit="1" customWidth="1"/>
    <col min="2" max="2" width="26.7109375" bestFit="1" customWidth="1"/>
    <col min="3" max="3" width="28.85546875" bestFit="1" customWidth="1"/>
    <col min="4" max="4" width="27" bestFit="1" customWidth="1"/>
    <col min="5" max="5" width="17" bestFit="1" customWidth="1"/>
    <col min="6" max="6" width="12.140625" bestFit="1" customWidth="1"/>
    <col min="7" max="7" width="32.85546875" bestFit="1" customWidth="1"/>
    <col min="8" max="8" width="31.85546875" bestFit="1" customWidth="1"/>
    <col min="9" max="9" width="34.85546875" bestFit="1" customWidth="1"/>
  </cols>
  <sheetData>
    <row r="1" spans="1:9" x14ac:dyDescent="0.25">
      <c r="A1" t="s">
        <v>8</v>
      </c>
      <c r="B1" t="s">
        <v>10</v>
      </c>
      <c r="C1" t="s">
        <v>14</v>
      </c>
      <c r="D1" t="s">
        <v>15</v>
      </c>
      <c r="E1" t="s">
        <v>16</v>
      </c>
      <c r="F1" t="s">
        <v>3</v>
      </c>
      <c r="G1" t="s">
        <v>2</v>
      </c>
      <c r="H1" t="s">
        <v>62</v>
      </c>
      <c r="I1" t="s">
        <v>47</v>
      </c>
    </row>
    <row r="2" spans="1:9" x14ac:dyDescent="0.25">
      <c r="A2" s="1" t="s">
        <v>4</v>
      </c>
      <c r="B2" s="2" t="s">
        <v>17</v>
      </c>
      <c r="C2" s="6">
        <v>42186</v>
      </c>
      <c r="D2" s="6">
        <v>42186</v>
      </c>
      <c r="E2" s="14">
        <v>0</v>
      </c>
      <c r="F2" s="5" t="s">
        <v>6</v>
      </c>
      <c r="G2" s="1" t="s">
        <v>18</v>
      </c>
      <c r="H2" s="1" t="str">
        <f>Tbl_SchMls[[#This Row],[Project Phase]]&amp;Tbl_SchMls[[#This Row],[Planned Date of Completion]]</f>
        <v>Project Start42186</v>
      </c>
      <c r="I2" t="str">
        <f>Tbl_SchMls[[#This Row],[Project Code]]&amp;Tbl_SchMls[[#This Row],[Project Phase]]</f>
        <v>Dummy1Project Start</v>
      </c>
    </row>
    <row r="3" spans="1:9" x14ac:dyDescent="0.25">
      <c r="A3" s="1" t="s">
        <v>4</v>
      </c>
      <c r="B3" s="2" t="s">
        <v>19</v>
      </c>
      <c r="C3" s="6">
        <v>42195</v>
      </c>
      <c r="D3" s="6">
        <v>42195</v>
      </c>
      <c r="E3" s="14">
        <v>10</v>
      </c>
      <c r="F3" s="5" t="s">
        <v>6</v>
      </c>
      <c r="G3" s="1" t="s">
        <v>18</v>
      </c>
      <c r="H3" s="1" t="str">
        <f>Tbl_SchMls[[#This Row],[Project Phase]]&amp;Tbl_SchMls[[#This Row],[Planned Date of Completion]]</f>
        <v>Requirements Development42195</v>
      </c>
      <c r="I3" t="str">
        <f>Tbl_SchMls[[#This Row],[Project Code]]&amp;Tbl_SchMls[[#This Row],[Project Phase]]</f>
        <v>Dummy1Requirements Development</v>
      </c>
    </row>
    <row r="4" spans="1:9" x14ac:dyDescent="0.25">
      <c r="A4" s="1" t="s">
        <v>4</v>
      </c>
      <c r="B4" s="2" t="s">
        <v>20</v>
      </c>
      <c r="C4" s="6">
        <v>42210</v>
      </c>
      <c r="D4" s="6">
        <v>42213</v>
      </c>
      <c r="E4" s="14">
        <v>11</v>
      </c>
      <c r="F4" s="5" t="s">
        <v>6</v>
      </c>
      <c r="G4" s="1" t="s">
        <v>18</v>
      </c>
      <c r="H4" s="1" t="str">
        <f>Tbl_SchMls[[#This Row],[Project Phase]]&amp;Tbl_SchMls[[#This Row],[Planned Date of Completion]]</f>
        <v>Planning42210</v>
      </c>
      <c r="I4" t="str">
        <f>Tbl_SchMls[[#This Row],[Project Code]]&amp;Tbl_SchMls[[#This Row],[Project Phase]]</f>
        <v>Dummy1Planning</v>
      </c>
    </row>
    <row r="5" spans="1:9" x14ac:dyDescent="0.25">
      <c r="A5" s="1" t="s">
        <v>4</v>
      </c>
      <c r="B5" s="2" t="s">
        <v>32</v>
      </c>
      <c r="C5" s="6">
        <v>42236</v>
      </c>
      <c r="D5" s="6">
        <v>42244</v>
      </c>
      <c r="E5" s="14">
        <v>20</v>
      </c>
      <c r="F5" s="5" t="s">
        <v>6</v>
      </c>
      <c r="G5" s="1" t="s">
        <v>18</v>
      </c>
      <c r="H5" s="1" t="str">
        <f>Tbl_SchMls[[#This Row],[Project Phase]]&amp;Tbl_SchMls[[#This Row],[Planned Date of Completion]]</f>
        <v>Design and Implementation42236</v>
      </c>
      <c r="I5" t="str">
        <f>Tbl_SchMls[[#This Row],[Project Code]]&amp;Tbl_SchMls[[#This Row],[Project Phase]]</f>
        <v>Dummy1Design and Implementation</v>
      </c>
    </row>
    <row r="6" spans="1:9" x14ac:dyDescent="0.25">
      <c r="A6" s="1" t="s">
        <v>4</v>
      </c>
      <c r="B6" s="2" t="s">
        <v>33</v>
      </c>
      <c r="C6" s="6">
        <v>42241</v>
      </c>
      <c r="D6" s="6">
        <v>42249</v>
      </c>
      <c r="E6" s="14">
        <v>8</v>
      </c>
      <c r="F6" s="5" t="s">
        <v>6</v>
      </c>
      <c r="G6" s="1" t="s">
        <v>18</v>
      </c>
      <c r="H6" s="1" t="str">
        <f>Tbl_SchMls[[#This Row],[Project Phase]]&amp;Tbl_SchMls[[#This Row],[Planned Date of Completion]]</f>
        <v>Integration42241</v>
      </c>
      <c r="I6" t="str">
        <f>Tbl_SchMls[[#This Row],[Project Code]]&amp;Tbl_SchMls[[#This Row],[Project Phase]]</f>
        <v>Dummy1Integration</v>
      </c>
    </row>
    <row r="7" spans="1:9" x14ac:dyDescent="0.25">
      <c r="A7" s="1" t="s">
        <v>4</v>
      </c>
      <c r="B7" s="2" t="s">
        <v>34</v>
      </c>
      <c r="C7" s="6">
        <v>42252</v>
      </c>
      <c r="D7" s="6">
        <v>42262</v>
      </c>
      <c r="E7" s="14">
        <v>10</v>
      </c>
      <c r="F7" s="5" t="s">
        <v>6</v>
      </c>
      <c r="G7" s="1" t="s">
        <v>18</v>
      </c>
      <c r="H7" s="1" t="str">
        <f>Tbl_SchMls[[#This Row],[Project Phase]]&amp;Tbl_SchMls[[#This Row],[Planned Date of Completion]]</f>
        <v>Validation42252</v>
      </c>
      <c r="I7" t="str">
        <f>Tbl_SchMls[[#This Row],[Project Code]]&amp;Tbl_SchMls[[#This Row],[Project Phase]]</f>
        <v>Dummy1Validation</v>
      </c>
    </row>
    <row r="8" spans="1:9" x14ac:dyDescent="0.25">
      <c r="A8" s="1" t="s">
        <v>4</v>
      </c>
      <c r="B8" s="2" t="s">
        <v>35</v>
      </c>
      <c r="C8" s="6">
        <v>42254</v>
      </c>
      <c r="D8" s="6">
        <v>42263</v>
      </c>
      <c r="E8" s="14">
        <v>8</v>
      </c>
      <c r="F8" s="5" t="s">
        <v>6</v>
      </c>
      <c r="G8" s="1" t="s">
        <v>18</v>
      </c>
      <c r="H8" s="1" t="str">
        <f>Tbl_SchMls[[#This Row],[Project Phase]]&amp;Tbl_SchMls[[#This Row],[Planned Date of Completion]]</f>
        <v>Closure and Release42254</v>
      </c>
      <c r="I8" t="str">
        <f>Tbl_SchMls[[#This Row],[Project Code]]&amp;Tbl_SchMls[[#This Row],[Project Phase]]</f>
        <v>Dummy1Closure and Release</v>
      </c>
    </row>
    <row r="9" spans="1:9" x14ac:dyDescent="0.25">
      <c r="A9" s="1" t="s">
        <v>7</v>
      </c>
      <c r="B9" s="2" t="s">
        <v>17</v>
      </c>
      <c r="C9" s="6">
        <v>42197</v>
      </c>
      <c r="D9" s="6">
        <v>42197</v>
      </c>
      <c r="E9" s="14">
        <v>0</v>
      </c>
      <c r="F9" s="13" t="s">
        <v>6</v>
      </c>
      <c r="G9" s="1" t="s">
        <v>18</v>
      </c>
      <c r="H9" s="1" t="str">
        <f>Tbl_SchMls[[#This Row],[Project Phase]]&amp;Tbl_SchMls[[#This Row],[Planned Date of Completion]]</f>
        <v>Project Start42197</v>
      </c>
      <c r="I9" s="14" t="str">
        <f>Tbl_SchMls[[#This Row],[Project Code]]&amp;Tbl_SchMls[[#This Row],[Project Phase]]</f>
        <v>Dummy2Project Start</v>
      </c>
    </row>
    <row r="10" spans="1:9" x14ac:dyDescent="0.25">
      <c r="A10" s="1" t="s">
        <v>7</v>
      </c>
      <c r="B10" s="2" t="s">
        <v>19</v>
      </c>
      <c r="C10" s="6">
        <v>42212</v>
      </c>
      <c r="D10" s="6">
        <v>42214</v>
      </c>
      <c r="E10" s="14">
        <v>13</v>
      </c>
      <c r="F10" s="13" t="s">
        <v>6</v>
      </c>
      <c r="G10" s="1" t="s">
        <v>18</v>
      </c>
      <c r="H10" s="1" t="str">
        <f>Tbl_SchMls[[#This Row],[Project Phase]]&amp;Tbl_SchMls[[#This Row],[Planned Date of Completion]]</f>
        <v>Requirements Development42212</v>
      </c>
      <c r="I10" s="14" t="str">
        <f>Tbl_SchMls[[#This Row],[Project Code]]&amp;Tbl_SchMls[[#This Row],[Project Phase]]</f>
        <v>Dummy2Requirements Development</v>
      </c>
    </row>
    <row r="11" spans="1:9" x14ac:dyDescent="0.25">
      <c r="A11" s="1" t="s">
        <v>7</v>
      </c>
      <c r="B11" s="2" t="s">
        <v>32</v>
      </c>
      <c r="C11" s="6">
        <v>42238</v>
      </c>
      <c r="D11" s="6">
        <v>42246</v>
      </c>
      <c r="E11" s="14">
        <v>22</v>
      </c>
      <c r="F11" s="13" t="s">
        <v>6</v>
      </c>
      <c r="G11" s="1" t="s">
        <v>18</v>
      </c>
      <c r="H11" s="1" t="str">
        <f>Tbl_SchMls[[#This Row],[Project Phase]]&amp;Tbl_SchMls[[#This Row],[Planned Date of Completion]]</f>
        <v>Design and Implementation42238</v>
      </c>
      <c r="I11" s="14" t="str">
        <f>Tbl_SchMls[[#This Row],[Project Code]]&amp;Tbl_SchMls[[#This Row],[Project Phase]]</f>
        <v>Dummy2Design and Implementation</v>
      </c>
    </row>
    <row r="12" spans="1:9" x14ac:dyDescent="0.25">
      <c r="A12" s="1" t="s">
        <v>7</v>
      </c>
      <c r="B12" s="2" t="s">
        <v>33</v>
      </c>
      <c r="C12" s="6">
        <v>42243</v>
      </c>
      <c r="D12" s="6">
        <v>42251</v>
      </c>
      <c r="E12" s="14">
        <v>10</v>
      </c>
      <c r="F12" s="13" t="s">
        <v>6</v>
      </c>
      <c r="G12" s="1" t="s">
        <v>18</v>
      </c>
      <c r="H12" s="1" t="str">
        <f>Tbl_SchMls[[#This Row],[Project Phase]]&amp;Tbl_SchMls[[#This Row],[Planned Date of Completion]]</f>
        <v>Integration42243</v>
      </c>
      <c r="I12" s="14" t="str">
        <f>Tbl_SchMls[[#This Row],[Project Code]]&amp;Tbl_SchMls[[#This Row],[Project Phase]]</f>
        <v>Dummy2Integration</v>
      </c>
    </row>
    <row r="13" spans="1:9" x14ac:dyDescent="0.25">
      <c r="A13" s="1" t="s">
        <v>7</v>
      </c>
      <c r="B13" s="2" t="s">
        <v>34</v>
      </c>
      <c r="C13" s="6">
        <v>42254</v>
      </c>
      <c r="D13" s="6">
        <v>42263</v>
      </c>
      <c r="E13" s="14">
        <v>12</v>
      </c>
      <c r="F13" s="13" t="s">
        <v>6</v>
      </c>
      <c r="G13" s="1" t="s">
        <v>18</v>
      </c>
      <c r="H13" s="1" t="str">
        <f>Tbl_SchMls[[#This Row],[Project Phase]]&amp;Tbl_SchMls[[#This Row],[Planned Date of Completion]]</f>
        <v>Validation42254</v>
      </c>
      <c r="I13" s="14" t="str">
        <f>Tbl_SchMls[[#This Row],[Project Code]]&amp;Tbl_SchMls[[#This Row],[Project Phase]]</f>
        <v>Dummy2Validation</v>
      </c>
    </row>
    <row r="14" spans="1:9" x14ac:dyDescent="0.25">
      <c r="A14" s="1" t="s">
        <v>7</v>
      </c>
      <c r="B14" s="2" t="s">
        <v>35</v>
      </c>
      <c r="C14" s="6">
        <v>42256</v>
      </c>
      <c r="D14" s="6">
        <v>42265</v>
      </c>
      <c r="E14" s="14">
        <v>10</v>
      </c>
      <c r="F14" s="13" t="s">
        <v>6</v>
      </c>
      <c r="G14" s="1" t="s">
        <v>18</v>
      </c>
      <c r="H14" s="1" t="str">
        <f>Tbl_SchMls[[#This Row],[Project Phase]]&amp;Tbl_SchMls[[#This Row],[Planned Date of Completion]]</f>
        <v>Closure and Release42256</v>
      </c>
      <c r="I14" s="14" t="str">
        <f>Tbl_SchMls[[#This Row],[Project Code]]&amp;Tbl_SchMls[[#This Row],[Project Phase]]</f>
        <v>Dummy2Closure and Release</v>
      </c>
    </row>
    <row r="15" spans="1:9" x14ac:dyDescent="0.25">
      <c r="A15" s="1" t="s">
        <v>7</v>
      </c>
      <c r="B15" s="2" t="s">
        <v>20</v>
      </c>
      <c r="C15" s="6">
        <v>42221</v>
      </c>
      <c r="D15" s="6">
        <v>42223</v>
      </c>
      <c r="E15" s="14">
        <v>8</v>
      </c>
      <c r="F15" s="13" t="s">
        <v>6</v>
      </c>
      <c r="G15" s="1" t="s">
        <v>18</v>
      </c>
      <c r="H15" s="1" t="str">
        <f>Tbl_SchMls[[#This Row],[Project Phase]]&amp;Tbl_SchMls[[#This Row],[Planned Date of Completion]]</f>
        <v>Planning42221</v>
      </c>
      <c r="I15" s="14" t="str">
        <f>Tbl_SchMls[[#This Row],[Project Code]]&amp;Tbl_SchMls[[#This Row],[Project Phase]]</f>
        <v>Dummy2Planning</v>
      </c>
    </row>
    <row r="16" spans="1:9" x14ac:dyDescent="0.25">
      <c r="A16" s="1" t="s">
        <v>116</v>
      </c>
      <c r="B16" s="2" t="s">
        <v>19</v>
      </c>
      <c r="C16" s="6">
        <v>42226</v>
      </c>
      <c r="D16" s="6"/>
      <c r="E16" s="14">
        <v>15</v>
      </c>
      <c r="F16" s="13" t="s">
        <v>6</v>
      </c>
      <c r="G16" s="1" t="s">
        <v>18</v>
      </c>
      <c r="H16" s="1" t="str">
        <f>Tbl_SchMls[[#This Row],[Project Phase]]&amp;Tbl_SchMls[[#This Row],[Planned Date of Completion]]</f>
        <v>Requirements Development42226</v>
      </c>
      <c r="I16" s="14" t="str">
        <f>Tbl_SchMls[[#This Row],[Project Code]]&amp;Tbl_SchMls[[#This Row],[Project Phase]]</f>
        <v>Requirements Development</v>
      </c>
    </row>
    <row r="17" spans="1:9" x14ac:dyDescent="0.25">
      <c r="A17" s="1" t="s">
        <v>116</v>
      </c>
      <c r="B17" s="2" t="s">
        <v>19</v>
      </c>
      <c r="C17" s="6">
        <v>42226</v>
      </c>
      <c r="D17" s="6"/>
      <c r="E17" s="14">
        <v>15</v>
      </c>
      <c r="F17" s="13" t="s">
        <v>6</v>
      </c>
      <c r="G17" s="1" t="s">
        <v>18</v>
      </c>
      <c r="H17" s="1" t="str">
        <f>Tbl_SchMls[[#This Row],[Project Phase]]&amp;Tbl_SchMls[[#This Row],[Planned Date of Completion]]</f>
        <v>Requirements Development42226</v>
      </c>
      <c r="I17" s="14" t="str">
        <f>Tbl_SchMls[[#This Row],[Project Code]]&amp;Tbl_SchMls[[#This Row],[Project Phase]]</f>
        <v>Requirements Development</v>
      </c>
    </row>
    <row r="18" spans="1:9" x14ac:dyDescent="0.25">
      <c r="A18" s="1" t="s">
        <v>116</v>
      </c>
      <c r="B18" s="2" t="s">
        <v>19</v>
      </c>
      <c r="C18" s="6">
        <v>42219</v>
      </c>
      <c r="D18" s="6"/>
      <c r="E18" s="14">
        <v>24</v>
      </c>
      <c r="F18" s="13" t="s">
        <v>6</v>
      </c>
      <c r="G18" s="1" t="s">
        <v>18</v>
      </c>
      <c r="H18" s="1" t="str">
        <f>Tbl_SchMls[[#This Row],[Project Phase]]&amp;Tbl_SchMls[[#This Row],[Planned Date of Completion]]</f>
        <v>Requirements Development42219</v>
      </c>
      <c r="I18" s="14" t="str">
        <f>Tbl_SchMls[[#This Row],[Project Code]]&amp;Tbl_SchMls[[#This Row],[Project Phase]]</f>
        <v>Requirements Development</v>
      </c>
    </row>
    <row r="19" spans="1:9" x14ac:dyDescent="0.25">
      <c r="A19" s="1" t="s">
        <v>116</v>
      </c>
      <c r="B19" s="2" t="s">
        <v>19</v>
      </c>
      <c r="C19" s="6">
        <v>42216</v>
      </c>
      <c r="D19" s="6"/>
      <c r="E19" s="14">
        <v>12</v>
      </c>
      <c r="F19" s="13" t="s">
        <v>6</v>
      </c>
      <c r="G19" s="1" t="s">
        <v>18</v>
      </c>
      <c r="H19" s="1" t="str">
        <f>Tbl_SchMls[[#This Row],[Project Phase]]&amp;Tbl_SchMls[[#This Row],[Planned Date of Completion]]</f>
        <v>Requirements Development42216</v>
      </c>
      <c r="I19" s="14" t="str">
        <f>Tbl_SchMls[[#This Row],[Project Code]]&amp;Tbl_SchMls[[#This Row],[Project Phase]]</f>
        <v>Requirements Development</v>
      </c>
    </row>
    <row r="20" spans="1:9" x14ac:dyDescent="0.25">
      <c r="A20" s="1" t="s">
        <v>108</v>
      </c>
      <c r="B20" s="2" t="s">
        <v>17</v>
      </c>
      <c r="C20" s="6">
        <v>42228</v>
      </c>
      <c r="D20" s="6">
        <v>42228</v>
      </c>
      <c r="E20" s="14">
        <v>0</v>
      </c>
      <c r="F20" s="13" t="s">
        <v>6</v>
      </c>
      <c r="G20" s="1" t="s">
        <v>18</v>
      </c>
      <c r="H20" s="1" t="str">
        <f>Tbl_SchMls[[#This Row],[Project Phase]]&amp;Tbl_SchMls[[#This Row],[Planned Date of Completion]]</f>
        <v>Project Start42228</v>
      </c>
      <c r="I20" s="14" t="str">
        <f>Tbl_SchMls[[#This Row],[Project Code]]&amp;Tbl_SchMls[[#This Row],[Project Phase]]</f>
        <v>GGS015Project Start</v>
      </c>
    </row>
    <row r="21" spans="1:9" x14ac:dyDescent="0.25">
      <c r="A21" s="1" t="s">
        <v>110</v>
      </c>
      <c r="B21" s="2" t="s">
        <v>17</v>
      </c>
      <c r="C21" s="6">
        <v>42228</v>
      </c>
      <c r="D21" s="6">
        <v>42228</v>
      </c>
      <c r="E21" s="14">
        <v>0</v>
      </c>
      <c r="F21" s="13" t="s">
        <v>6</v>
      </c>
      <c r="G21" s="1" t="s">
        <v>18</v>
      </c>
      <c r="H21" s="1" t="str">
        <f>Tbl_SchMls[[#This Row],[Project Phase]]&amp;Tbl_SchMls[[#This Row],[Planned Date of Completion]]</f>
        <v>Project Start42228</v>
      </c>
      <c r="I21" s="14" t="str">
        <f>Tbl_SchMls[[#This Row],[Project Code]]&amp;Tbl_SchMls[[#This Row],[Project Phase]]</f>
        <v>GSI034Project Start</v>
      </c>
    </row>
    <row r="22" spans="1:9" x14ac:dyDescent="0.25">
      <c r="A22" s="1" t="s">
        <v>108</v>
      </c>
      <c r="B22" s="2" t="s">
        <v>19</v>
      </c>
      <c r="C22" s="6">
        <v>42233</v>
      </c>
      <c r="D22" s="6">
        <v>42235</v>
      </c>
      <c r="E22" s="14">
        <v>26</v>
      </c>
      <c r="F22" s="13" t="s">
        <v>6</v>
      </c>
      <c r="G22" s="1" t="s">
        <v>18</v>
      </c>
      <c r="H22" s="1" t="str">
        <f>Tbl_SchMls[[#This Row],[Project Phase]]&amp;Tbl_SchMls[[#This Row],[Planned Date of Completion]]</f>
        <v>Requirements Development42233</v>
      </c>
      <c r="I22" s="14" t="str">
        <f>Tbl_SchMls[[#This Row],[Project Code]]&amp;Tbl_SchMls[[#This Row],[Project Phase]]</f>
        <v>GGS015Requirements Development</v>
      </c>
    </row>
    <row r="23" spans="1:9" x14ac:dyDescent="0.25">
      <c r="A23" s="1" t="s">
        <v>110</v>
      </c>
      <c r="B23" s="2" t="s">
        <v>19</v>
      </c>
      <c r="C23" s="6">
        <v>42236</v>
      </c>
      <c r="D23" s="6">
        <v>42239</v>
      </c>
      <c r="E23" s="14">
        <v>25</v>
      </c>
      <c r="F23" s="13" t="s">
        <v>6</v>
      </c>
      <c r="G23" s="1" t="s">
        <v>18</v>
      </c>
      <c r="H23" s="1" t="str">
        <f>Tbl_SchMls[[#This Row],[Project Phase]]&amp;Tbl_SchMls[[#This Row],[Planned Date of Completion]]</f>
        <v>Requirements Development42236</v>
      </c>
      <c r="I23" s="14" t="str">
        <f>Tbl_SchMls[[#This Row],[Project Code]]&amp;Tbl_SchMls[[#This Row],[Project Phase]]</f>
        <v>GSI034Requirements Development</v>
      </c>
    </row>
    <row r="24" spans="1:9" x14ac:dyDescent="0.25">
      <c r="A24" s="1" t="s">
        <v>114</v>
      </c>
      <c r="B24" s="2" t="s">
        <v>17</v>
      </c>
      <c r="C24" s="6">
        <v>42236</v>
      </c>
      <c r="D24" s="6">
        <v>42236</v>
      </c>
      <c r="E24" s="14">
        <v>0</v>
      </c>
      <c r="F24" s="13" t="s">
        <v>6</v>
      </c>
      <c r="G24" s="1" t="s">
        <v>18</v>
      </c>
      <c r="H24" s="1" t="str">
        <f>Tbl_SchMls[[#This Row],[Project Phase]]&amp;Tbl_SchMls[[#This Row],[Planned Date of Completion]]</f>
        <v>Project Start42236</v>
      </c>
      <c r="I24" s="14" t="str">
        <f>Tbl_SchMls[[#This Row],[Project Code]]&amp;Tbl_SchMls[[#This Row],[Project Phase]]</f>
        <v>GGS020Project Start</v>
      </c>
    </row>
    <row r="25" spans="1:9" x14ac:dyDescent="0.25">
      <c r="A25" s="1" t="s">
        <v>108</v>
      </c>
      <c r="B25" s="2" t="s">
        <v>20</v>
      </c>
      <c r="C25" s="6">
        <v>42240</v>
      </c>
      <c r="D25" s="6">
        <v>42247</v>
      </c>
      <c r="E25" s="14">
        <v>21</v>
      </c>
      <c r="F25" s="13" t="s">
        <v>6</v>
      </c>
      <c r="G25" s="1" t="s">
        <v>18</v>
      </c>
      <c r="H25" s="1" t="str">
        <f>Tbl_SchMls[[#This Row],[Project Phase]]&amp;Tbl_SchMls[[#This Row],[Planned Date of Completion]]</f>
        <v>Planning42240</v>
      </c>
      <c r="I25" s="14" t="str">
        <f>Tbl_SchMls[[#This Row],[Project Code]]&amp;Tbl_SchMls[[#This Row],[Project Phase]]</f>
        <v>GGS015Planning</v>
      </c>
    </row>
    <row r="26" spans="1:9" x14ac:dyDescent="0.25">
      <c r="A26" s="1" t="s">
        <v>114</v>
      </c>
      <c r="B26" s="2" t="s">
        <v>19</v>
      </c>
      <c r="C26" s="6">
        <v>42243</v>
      </c>
      <c r="D26" s="6">
        <v>42243</v>
      </c>
      <c r="E26" s="14">
        <v>67</v>
      </c>
      <c r="F26" s="13" t="s">
        <v>6</v>
      </c>
      <c r="G26" s="1" t="s">
        <v>18</v>
      </c>
      <c r="H26" s="1" t="str">
        <f>Tbl_SchMls[[#This Row],[Project Phase]]&amp;Tbl_SchMls[[#This Row],[Planned Date of Completion]]</f>
        <v>Requirements Development42243</v>
      </c>
      <c r="I26" s="14" t="str">
        <f>Tbl_SchMls[[#This Row],[Project Code]]&amp;Tbl_SchMls[[#This Row],[Project Phase]]</f>
        <v>GGS020Requirements Development</v>
      </c>
    </row>
    <row r="27" spans="1:9" x14ac:dyDescent="0.25">
      <c r="A27" s="1" t="s">
        <v>110</v>
      </c>
      <c r="B27" s="2" t="s">
        <v>20</v>
      </c>
      <c r="C27" s="6">
        <v>42249</v>
      </c>
      <c r="D27" s="6">
        <v>42261</v>
      </c>
      <c r="E27" s="14">
        <v>26</v>
      </c>
      <c r="F27" s="13" t="s">
        <v>6</v>
      </c>
      <c r="G27" s="1" t="s">
        <v>18</v>
      </c>
      <c r="H27" s="1" t="str">
        <f>Tbl_SchMls[[#This Row],[Project Phase]]&amp;Tbl_SchMls[[#This Row],[Planned Date of Completion]]</f>
        <v>Planning42249</v>
      </c>
      <c r="I27" s="14" t="str">
        <f>Tbl_SchMls[[#This Row],[Project Code]]&amp;Tbl_SchMls[[#This Row],[Project Phase]]</f>
        <v>GSI034Planning</v>
      </c>
    </row>
    <row r="28" spans="1:9" x14ac:dyDescent="0.25">
      <c r="A28" s="1" t="s">
        <v>114</v>
      </c>
      <c r="B28" s="2" t="s">
        <v>20</v>
      </c>
      <c r="C28" s="6">
        <v>42255</v>
      </c>
      <c r="D28" s="6">
        <v>42264</v>
      </c>
      <c r="E28" s="14">
        <v>53</v>
      </c>
      <c r="F28" s="13" t="s">
        <v>6</v>
      </c>
      <c r="G28" s="1" t="s">
        <v>18</v>
      </c>
      <c r="H28" s="1" t="str">
        <f>Tbl_SchMls[[#This Row],[Project Phase]]&amp;Tbl_SchMls[[#This Row],[Planned Date of Completion]]</f>
        <v>Planning42255</v>
      </c>
      <c r="I28" s="14" t="str">
        <f>Tbl_SchMls[[#This Row],[Project Code]]&amp;Tbl_SchMls[[#This Row],[Project Phase]]</f>
        <v>GGS020Planning</v>
      </c>
    </row>
    <row r="29" spans="1:9" x14ac:dyDescent="0.25">
      <c r="A29" s="1" t="s">
        <v>108</v>
      </c>
      <c r="B29" s="2" t="s">
        <v>32</v>
      </c>
      <c r="C29" s="6">
        <v>42262</v>
      </c>
      <c r="D29" s="6">
        <v>42278</v>
      </c>
      <c r="E29" s="14">
        <v>175</v>
      </c>
      <c r="F29" s="13" t="s">
        <v>6</v>
      </c>
      <c r="G29" s="1" t="s">
        <v>18</v>
      </c>
      <c r="H29" s="1" t="str">
        <f>Tbl_SchMls[[#This Row],[Project Phase]]&amp;Tbl_SchMls[[#This Row],[Planned Date of Completion]]</f>
        <v>Design and Implementation42262</v>
      </c>
      <c r="I29" s="14" t="str">
        <f>Tbl_SchMls[[#This Row],[Project Code]]&amp;Tbl_SchMls[[#This Row],[Project Phase]]</f>
        <v>GGS015Design and Implementation</v>
      </c>
    </row>
    <row r="30" spans="1:9" x14ac:dyDescent="0.25">
      <c r="A30" s="1" t="s">
        <v>110</v>
      </c>
      <c r="B30" s="2" t="s">
        <v>32</v>
      </c>
      <c r="C30" s="6">
        <v>42270</v>
      </c>
      <c r="D30" s="6"/>
      <c r="E30" s="14">
        <v>218</v>
      </c>
      <c r="F30" s="13" t="s">
        <v>6</v>
      </c>
      <c r="G30" s="1" t="s">
        <v>18</v>
      </c>
      <c r="H30" s="1" t="str">
        <f>Tbl_SchMls[[#This Row],[Project Phase]]&amp;Tbl_SchMls[[#This Row],[Planned Date of Completion]]</f>
        <v>Design and Implementation42270</v>
      </c>
      <c r="I30" s="14" t="str">
        <f>Tbl_SchMls[[#This Row],[Project Code]]&amp;Tbl_SchMls[[#This Row],[Project Phase]]</f>
        <v>GSI034Design and Implementation</v>
      </c>
    </row>
    <row r="31" spans="1:9" x14ac:dyDescent="0.25">
      <c r="A31" s="1" t="s">
        <v>110</v>
      </c>
      <c r="B31" s="2" t="s">
        <v>33</v>
      </c>
      <c r="C31" s="6">
        <v>42275</v>
      </c>
      <c r="D31" s="6"/>
      <c r="E31" s="14">
        <v>68</v>
      </c>
      <c r="F31" s="13" t="s">
        <v>6</v>
      </c>
      <c r="G31" s="1" t="s">
        <v>18</v>
      </c>
      <c r="H31" s="1" t="str">
        <f>Tbl_SchMls[[#This Row],[Project Phase]]&amp;Tbl_SchMls[[#This Row],[Planned Date of Completion]]</f>
        <v>Integration42275</v>
      </c>
      <c r="I31" s="14" t="str">
        <f>Tbl_SchMls[[#This Row],[Project Code]]&amp;Tbl_SchMls[[#This Row],[Project Phase]]</f>
        <v>GSI034Integration</v>
      </c>
    </row>
    <row r="32" spans="1:9" x14ac:dyDescent="0.25">
      <c r="A32" s="1" t="s">
        <v>110</v>
      </c>
      <c r="B32" s="2" t="s">
        <v>34</v>
      </c>
      <c r="C32" s="6">
        <v>42289</v>
      </c>
      <c r="D32" s="6"/>
      <c r="E32" s="14">
        <v>174</v>
      </c>
      <c r="F32" s="13" t="s">
        <v>6</v>
      </c>
      <c r="G32" s="1" t="s">
        <v>18</v>
      </c>
      <c r="H32" s="1" t="str">
        <f>Tbl_SchMls[[#This Row],[Project Phase]]&amp;Tbl_SchMls[[#This Row],[Planned Date of Completion]]</f>
        <v>Validation42289</v>
      </c>
      <c r="I32" s="14" t="str">
        <f>Tbl_SchMls[[#This Row],[Project Code]]&amp;Tbl_SchMls[[#This Row],[Project Phase]]</f>
        <v>GSI034Validation</v>
      </c>
    </row>
    <row r="33" spans="1:9" x14ac:dyDescent="0.25">
      <c r="A33" s="1" t="s">
        <v>110</v>
      </c>
      <c r="B33" s="2" t="s">
        <v>35</v>
      </c>
      <c r="C33" s="6">
        <v>42291</v>
      </c>
      <c r="D33" s="6">
        <v>42377</v>
      </c>
      <c r="E33" s="14">
        <v>11</v>
      </c>
      <c r="F33" s="13" t="s">
        <v>6</v>
      </c>
      <c r="G33" s="1" t="s">
        <v>18</v>
      </c>
      <c r="H33" s="1" t="str">
        <f>Tbl_SchMls[[#This Row],[Project Phase]]&amp;Tbl_SchMls[[#This Row],[Planned Date of Completion]]</f>
        <v>Closure and Release42291</v>
      </c>
      <c r="I33" s="14" t="str">
        <f>Tbl_SchMls[[#This Row],[Project Code]]&amp;Tbl_SchMls[[#This Row],[Project Phase]]</f>
        <v>GSI034Closure and Release</v>
      </c>
    </row>
    <row r="34" spans="1:9" x14ac:dyDescent="0.25">
      <c r="A34" s="1" t="s">
        <v>114</v>
      </c>
      <c r="B34" s="2" t="s">
        <v>32</v>
      </c>
      <c r="C34" s="6">
        <v>42297</v>
      </c>
      <c r="D34" s="6"/>
      <c r="E34" s="14">
        <v>447</v>
      </c>
      <c r="F34" s="13" t="s">
        <v>6</v>
      </c>
      <c r="G34" s="1" t="s">
        <v>18</v>
      </c>
      <c r="H34" s="1" t="str">
        <f>Tbl_SchMls[[#This Row],[Project Phase]]&amp;Tbl_SchMls[[#This Row],[Planned Date of Completion]]</f>
        <v>Design and Implementation42297</v>
      </c>
      <c r="I34" s="14" t="str">
        <f>Tbl_SchMls[[#This Row],[Project Code]]&amp;Tbl_SchMls[[#This Row],[Project Phase]]</f>
        <v>GGS020Design and Implementation</v>
      </c>
    </row>
    <row r="35" spans="1:9" x14ac:dyDescent="0.25">
      <c r="A35" s="1" t="s">
        <v>114</v>
      </c>
      <c r="B35" s="2" t="s">
        <v>33</v>
      </c>
      <c r="C35" s="6">
        <v>42311</v>
      </c>
      <c r="D35" s="6"/>
      <c r="E35" s="14">
        <v>134</v>
      </c>
      <c r="F35" s="13" t="s">
        <v>6</v>
      </c>
      <c r="G35" s="1" t="s">
        <v>18</v>
      </c>
      <c r="H35" s="1" t="str">
        <f>Tbl_SchMls[[#This Row],[Project Phase]]&amp;Tbl_SchMls[[#This Row],[Planned Date of Completion]]</f>
        <v>Integration42311</v>
      </c>
      <c r="I35" s="14" t="str">
        <f>Tbl_SchMls[[#This Row],[Project Code]]&amp;Tbl_SchMls[[#This Row],[Project Phase]]</f>
        <v>GGS020Integration</v>
      </c>
    </row>
    <row r="36" spans="1:9" x14ac:dyDescent="0.25">
      <c r="A36" s="1" t="s">
        <v>114</v>
      </c>
      <c r="B36" s="2" t="s">
        <v>34</v>
      </c>
      <c r="C36" s="6">
        <v>42335</v>
      </c>
      <c r="D36" s="6"/>
      <c r="E36" s="14">
        <v>357</v>
      </c>
      <c r="F36" s="13" t="s">
        <v>6</v>
      </c>
      <c r="G36" s="1" t="s">
        <v>18</v>
      </c>
      <c r="H36" s="1" t="str">
        <f>Tbl_SchMls[[#This Row],[Project Phase]]&amp;Tbl_SchMls[[#This Row],[Planned Date of Completion]]</f>
        <v>Validation42335</v>
      </c>
      <c r="I36" s="14" t="str">
        <f>Tbl_SchMls[[#This Row],[Project Code]]&amp;Tbl_SchMls[[#This Row],[Project Phase]]</f>
        <v>GGS020Validation</v>
      </c>
    </row>
    <row r="37" spans="1:9" x14ac:dyDescent="0.25">
      <c r="A37" s="1" t="s">
        <v>114</v>
      </c>
      <c r="B37" s="2" t="s">
        <v>35</v>
      </c>
      <c r="C37" s="6">
        <v>42340</v>
      </c>
      <c r="D37" s="6">
        <v>42378</v>
      </c>
      <c r="E37" s="14">
        <v>22</v>
      </c>
      <c r="F37" s="13" t="s">
        <v>6</v>
      </c>
      <c r="G37" s="1" t="s">
        <v>18</v>
      </c>
      <c r="H37" s="1" t="str">
        <f>Tbl_SchMls[[#This Row],[Project Phase]]&amp;Tbl_SchMls[[#This Row],[Planned Date of Completion]]</f>
        <v>Closure and Release42340</v>
      </c>
      <c r="I37" s="14" t="str">
        <f>Tbl_SchMls[[#This Row],[Project Code]]&amp;Tbl_SchMls[[#This Row],[Project Phase]]</f>
        <v>GGS020Closure and Release</v>
      </c>
    </row>
    <row r="38" spans="1:9" x14ac:dyDescent="0.25">
      <c r="A38" s="1" t="s">
        <v>108</v>
      </c>
      <c r="B38" s="2" t="s">
        <v>33</v>
      </c>
      <c r="C38" s="6">
        <v>42270</v>
      </c>
      <c r="D38" s="6">
        <v>42282</v>
      </c>
      <c r="E38" s="14">
        <v>52</v>
      </c>
      <c r="F38" s="13" t="s">
        <v>6</v>
      </c>
      <c r="G38" s="1" t="s">
        <v>18</v>
      </c>
      <c r="H38" s="1" t="str">
        <f>Tbl_SchMls[[#This Row],[Project Phase]]&amp;Tbl_SchMls[[#This Row],[Planned Date of Completion]]</f>
        <v>Integration42270</v>
      </c>
      <c r="I38" s="14" t="str">
        <f>Tbl_SchMls[[#This Row],[Project Code]]&amp;Tbl_SchMls[[#This Row],[Project Phase]]</f>
        <v>GGS015Integration</v>
      </c>
    </row>
    <row r="39" spans="1:9" x14ac:dyDescent="0.25">
      <c r="A39" s="1" t="s">
        <v>108</v>
      </c>
      <c r="B39" s="2" t="s">
        <v>34</v>
      </c>
      <c r="C39" s="6">
        <v>42277</v>
      </c>
      <c r="D39" s="6"/>
      <c r="E39" s="14">
        <v>140</v>
      </c>
      <c r="F39" s="13" t="s">
        <v>6</v>
      </c>
      <c r="G39" s="1" t="s">
        <v>18</v>
      </c>
      <c r="H39" s="1" t="str">
        <f>Tbl_SchMls[[#This Row],[Project Phase]]&amp;Tbl_SchMls[[#This Row],[Planned Date of Completion]]</f>
        <v>Validation42277</v>
      </c>
      <c r="I39" s="14" t="str">
        <f>Tbl_SchMls[[#This Row],[Project Code]]&amp;Tbl_SchMls[[#This Row],[Project Phase]]</f>
        <v>GGS015Validation</v>
      </c>
    </row>
    <row r="40" spans="1:9" x14ac:dyDescent="0.25">
      <c r="A40" s="1" t="s">
        <v>108</v>
      </c>
      <c r="B40" s="2" t="s">
        <v>35</v>
      </c>
      <c r="C40" s="6">
        <v>42282</v>
      </c>
      <c r="D40" s="6">
        <v>42378</v>
      </c>
      <c r="E40" s="14">
        <v>8</v>
      </c>
      <c r="F40" s="13" t="s">
        <v>6</v>
      </c>
      <c r="G40" s="1" t="s">
        <v>18</v>
      </c>
      <c r="H40" s="1" t="str">
        <f>Tbl_SchMls[[#This Row],[Project Phase]]&amp;Tbl_SchMls[[#This Row],[Planned Date of Completion]]</f>
        <v>Closure and Release42282</v>
      </c>
      <c r="I40" s="14" t="str">
        <f>Tbl_SchMls[[#This Row],[Project Code]]&amp;Tbl_SchMls[[#This Row],[Project Phase]]</f>
        <v>GGS015Closure and Release</v>
      </c>
    </row>
    <row r="41" spans="1:9" x14ac:dyDescent="0.25">
      <c r="A41" s="1" t="s">
        <v>697</v>
      </c>
      <c r="B41" s="2" t="s">
        <v>17</v>
      </c>
      <c r="C41" s="6">
        <v>42304</v>
      </c>
      <c r="D41" s="6">
        <v>42304</v>
      </c>
      <c r="E41" s="14">
        <v>0</v>
      </c>
      <c r="F41" s="13" t="s">
        <v>6</v>
      </c>
      <c r="G41" s="1" t="s">
        <v>18</v>
      </c>
      <c r="H41" s="1" t="str">
        <f>Tbl_SchMls[[#This Row],[Project Phase]]&amp;Tbl_SchMls[[#This Row],[Planned Date of Completion]]</f>
        <v>Project Start42304</v>
      </c>
      <c r="I41" s="14" t="str">
        <f>Tbl_SchMls[[#This Row],[Project Code]]&amp;Tbl_SchMls[[#This Row],[Project Phase]]</f>
        <v>GSM052Project Start</v>
      </c>
    </row>
    <row r="42" spans="1:9" x14ac:dyDescent="0.25">
      <c r="A42" s="1" t="s">
        <v>697</v>
      </c>
      <c r="B42" s="2" t="s">
        <v>19</v>
      </c>
      <c r="C42" s="6">
        <v>42312</v>
      </c>
      <c r="D42" s="6">
        <v>42314</v>
      </c>
      <c r="E42" s="14">
        <v>40</v>
      </c>
      <c r="F42" s="13" t="s">
        <v>6</v>
      </c>
      <c r="G42" s="1" t="s">
        <v>18</v>
      </c>
      <c r="H42" s="1" t="str">
        <f>Tbl_SchMls[[#This Row],[Project Phase]]&amp;Tbl_SchMls[[#This Row],[Planned Date of Completion]]</f>
        <v>Requirements Development42312</v>
      </c>
      <c r="I42" s="14" t="str">
        <f>Tbl_SchMls[[#This Row],[Project Code]]&amp;Tbl_SchMls[[#This Row],[Project Phase]]</f>
        <v>GSM052Requirements Development</v>
      </c>
    </row>
    <row r="43" spans="1:9" x14ac:dyDescent="0.25">
      <c r="A43" s="1" t="s">
        <v>699</v>
      </c>
      <c r="B43" s="2" t="s">
        <v>17</v>
      </c>
      <c r="C43" s="6">
        <v>42304</v>
      </c>
      <c r="D43" s="6">
        <v>42304</v>
      </c>
      <c r="E43" s="14">
        <v>0</v>
      </c>
      <c r="F43" s="13" t="s">
        <v>6</v>
      </c>
      <c r="G43" s="1" t="s">
        <v>18</v>
      </c>
      <c r="H43" s="1" t="str">
        <f>Tbl_SchMls[[#This Row],[Project Phase]]&amp;Tbl_SchMls[[#This Row],[Planned Date of Completion]]</f>
        <v>Project Start42304</v>
      </c>
      <c r="I43" s="14" t="str">
        <f>Tbl_SchMls[[#This Row],[Project Code]]&amp;Tbl_SchMls[[#This Row],[Project Phase]]</f>
        <v>GGE055Project Start</v>
      </c>
    </row>
    <row r="44" spans="1:9" x14ac:dyDescent="0.25">
      <c r="A44" s="1" t="s">
        <v>699</v>
      </c>
      <c r="B44" s="2" t="s">
        <v>19</v>
      </c>
      <c r="C44" s="6">
        <v>42311</v>
      </c>
      <c r="D44" s="6">
        <v>42325</v>
      </c>
      <c r="E44" s="14">
        <v>34</v>
      </c>
      <c r="F44" s="13" t="s">
        <v>6</v>
      </c>
      <c r="G44" s="1" t="s">
        <v>18</v>
      </c>
      <c r="H44" s="1" t="str">
        <f>Tbl_SchMls[[#This Row],[Project Phase]]&amp;Tbl_SchMls[[#This Row],[Planned Date of Completion]]</f>
        <v>Requirements Development42311</v>
      </c>
      <c r="I44" s="14" t="str">
        <f>Tbl_SchMls[[#This Row],[Project Code]]&amp;Tbl_SchMls[[#This Row],[Project Phase]]</f>
        <v>GGE055Requirements Development</v>
      </c>
    </row>
    <row r="45" spans="1:9" x14ac:dyDescent="0.25">
      <c r="A45" s="1" t="s">
        <v>699</v>
      </c>
      <c r="B45" s="2" t="s">
        <v>20</v>
      </c>
      <c r="C45" s="6">
        <v>42333</v>
      </c>
      <c r="D45" s="6">
        <v>42348</v>
      </c>
      <c r="E45" s="14">
        <v>27.3</v>
      </c>
      <c r="F45" s="13" t="s">
        <v>6</v>
      </c>
      <c r="G45" s="1" t="s">
        <v>18</v>
      </c>
      <c r="H45" s="1" t="str">
        <f>Tbl_SchMls[[#This Row],[Project Phase]]&amp;Tbl_SchMls[[#This Row],[Planned Date of Completion]]</f>
        <v>Planning42333</v>
      </c>
      <c r="I45" s="14" t="str">
        <f>Tbl_SchMls[[#This Row],[Project Code]]&amp;Tbl_SchMls[[#This Row],[Project Phase]]</f>
        <v>GGE055Planning</v>
      </c>
    </row>
    <row r="46" spans="1:9" x14ac:dyDescent="0.25">
      <c r="A46" s="1" t="s">
        <v>697</v>
      </c>
      <c r="B46" s="2" t="s">
        <v>20</v>
      </c>
      <c r="C46" s="6">
        <v>42338</v>
      </c>
      <c r="D46" s="6">
        <v>42348</v>
      </c>
      <c r="E46" s="14">
        <v>60</v>
      </c>
      <c r="F46" s="13" t="s">
        <v>6</v>
      </c>
      <c r="G46" s="1" t="s">
        <v>18</v>
      </c>
      <c r="H46" s="1" t="str">
        <f>Tbl_SchMls[[#This Row],[Project Phase]]&amp;Tbl_SchMls[[#This Row],[Planned Date of Completion]]</f>
        <v>Planning42338</v>
      </c>
      <c r="I46" s="14" t="str">
        <f>Tbl_SchMls[[#This Row],[Project Code]]&amp;Tbl_SchMls[[#This Row],[Project Phase]]</f>
        <v>GSM052Planning</v>
      </c>
    </row>
    <row r="47" spans="1:9" x14ac:dyDescent="0.25">
      <c r="A47" s="1" t="s">
        <v>697</v>
      </c>
      <c r="B47" s="2" t="s">
        <v>32</v>
      </c>
      <c r="C47" s="6">
        <v>42416</v>
      </c>
      <c r="D47" s="6">
        <v>42417</v>
      </c>
      <c r="E47" s="14">
        <v>475</v>
      </c>
      <c r="F47" s="13" t="s">
        <v>6</v>
      </c>
      <c r="G47" s="1" t="s">
        <v>18</v>
      </c>
      <c r="H47" s="1" t="str">
        <f>Tbl_SchMls[[#This Row],[Project Phase]]&amp;Tbl_SchMls[[#This Row],[Planned Date of Completion]]</f>
        <v>Design and Implementation42416</v>
      </c>
      <c r="I47" s="14" t="str">
        <f>Tbl_SchMls[[#This Row],[Project Code]]&amp;Tbl_SchMls[[#This Row],[Project Phase]]</f>
        <v>GSM052Design and Implementation</v>
      </c>
    </row>
    <row r="48" spans="1:9" x14ac:dyDescent="0.25">
      <c r="A48" s="1" t="s">
        <v>697</v>
      </c>
      <c r="B48" s="2" t="s">
        <v>33</v>
      </c>
      <c r="C48" s="6">
        <v>42427</v>
      </c>
      <c r="D48" s="6">
        <v>42444</v>
      </c>
      <c r="E48" s="14">
        <v>143</v>
      </c>
      <c r="F48" s="13" t="s">
        <v>6</v>
      </c>
      <c r="G48" s="1" t="s">
        <v>18</v>
      </c>
      <c r="H48" s="1" t="str">
        <f>Tbl_SchMls[[#This Row],[Project Phase]]&amp;Tbl_SchMls[[#This Row],[Planned Date of Completion]]</f>
        <v>Integration42427</v>
      </c>
      <c r="I48" s="14" t="str">
        <f>Tbl_SchMls[[#This Row],[Project Code]]&amp;Tbl_SchMls[[#This Row],[Project Phase]]</f>
        <v>GSM052Integration</v>
      </c>
    </row>
    <row r="49" spans="1:9" x14ac:dyDescent="0.25">
      <c r="A49" s="1" t="s">
        <v>697</v>
      </c>
      <c r="B49" s="2" t="s">
        <v>34</v>
      </c>
      <c r="C49" s="6">
        <v>42452</v>
      </c>
      <c r="D49" s="6">
        <v>42454</v>
      </c>
      <c r="E49" s="14">
        <v>380</v>
      </c>
      <c r="F49" s="13" t="s">
        <v>6</v>
      </c>
      <c r="G49" s="1" t="s">
        <v>18</v>
      </c>
      <c r="H49" s="1" t="str">
        <f>Tbl_SchMls[[#This Row],[Project Phase]]&amp;Tbl_SchMls[[#This Row],[Planned Date of Completion]]</f>
        <v>Validation42452</v>
      </c>
      <c r="I49" s="14" t="str">
        <f>Tbl_SchMls[[#This Row],[Project Code]]&amp;Tbl_SchMls[[#This Row],[Project Phase]]</f>
        <v>GSM052Validation</v>
      </c>
    </row>
    <row r="50" spans="1:9" x14ac:dyDescent="0.25">
      <c r="A50" s="1" t="s">
        <v>697</v>
      </c>
      <c r="B50" s="2" t="s">
        <v>35</v>
      </c>
      <c r="C50" s="6">
        <v>42455</v>
      </c>
      <c r="D50" s="6">
        <v>42459</v>
      </c>
      <c r="E50" s="14">
        <v>24</v>
      </c>
      <c r="F50" s="13" t="s">
        <v>6</v>
      </c>
      <c r="G50" s="1" t="s">
        <v>18</v>
      </c>
      <c r="H50" s="1" t="str">
        <f>Tbl_SchMls[[#This Row],[Project Phase]]&amp;Tbl_SchMls[[#This Row],[Planned Date of Completion]]</f>
        <v>Closure and Release42455</v>
      </c>
      <c r="I50" s="14" t="str">
        <f>Tbl_SchMls[[#This Row],[Project Code]]&amp;Tbl_SchMls[[#This Row],[Project Phase]]</f>
        <v>GSM052Closure and Release</v>
      </c>
    </row>
    <row r="51" spans="1:9" x14ac:dyDescent="0.25">
      <c r="A51" s="1" t="s">
        <v>699</v>
      </c>
      <c r="B51" s="2" t="s">
        <v>32</v>
      </c>
      <c r="C51" s="6">
        <v>42340</v>
      </c>
      <c r="D51" s="6">
        <v>42352</v>
      </c>
      <c r="E51" s="14">
        <v>227</v>
      </c>
      <c r="F51" s="13" t="s">
        <v>6</v>
      </c>
      <c r="G51" s="1" t="s">
        <v>18</v>
      </c>
      <c r="H51" s="1" t="str">
        <f>Tbl_SchMls[[#This Row],[Project Phase]]&amp;Tbl_SchMls[[#This Row],[Planned Date of Completion]]</f>
        <v>Design and Implementation42340</v>
      </c>
      <c r="I51" s="14" t="str">
        <f>Tbl_SchMls[[#This Row],[Project Code]]&amp;Tbl_SchMls[[#This Row],[Project Phase]]</f>
        <v>GGE055Design and Implementation</v>
      </c>
    </row>
    <row r="52" spans="1:9" x14ac:dyDescent="0.25">
      <c r="A52" s="1" t="s">
        <v>699</v>
      </c>
      <c r="B52" s="2" t="s">
        <v>33</v>
      </c>
      <c r="C52" s="6">
        <v>42350</v>
      </c>
      <c r="D52" s="6">
        <v>42353</v>
      </c>
      <c r="E52" s="14">
        <v>68</v>
      </c>
      <c r="F52" s="13" t="s">
        <v>6</v>
      </c>
      <c r="G52" s="1" t="s">
        <v>18</v>
      </c>
      <c r="H52" s="1" t="str">
        <f>Tbl_SchMls[[#This Row],[Project Phase]]&amp;Tbl_SchMls[[#This Row],[Planned Date of Completion]]</f>
        <v>Integration42350</v>
      </c>
      <c r="I52" s="14" t="str">
        <f>Tbl_SchMls[[#This Row],[Project Code]]&amp;Tbl_SchMls[[#This Row],[Project Phase]]</f>
        <v>GGE055Integration</v>
      </c>
    </row>
    <row r="53" spans="1:9" x14ac:dyDescent="0.25">
      <c r="A53" s="1" t="s">
        <v>699</v>
      </c>
      <c r="B53" s="2" t="s">
        <v>34</v>
      </c>
      <c r="C53" s="6">
        <v>42353</v>
      </c>
      <c r="D53" s="6">
        <v>42359</v>
      </c>
      <c r="E53" s="14">
        <v>182</v>
      </c>
      <c r="F53" s="13" t="s">
        <v>6</v>
      </c>
      <c r="G53" s="1" t="s">
        <v>18</v>
      </c>
      <c r="H53" s="1" t="str">
        <f>Tbl_SchMls[[#This Row],[Project Phase]]&amp;Tbl_SchMls[[#This Row],[Planned Date of Completion]]</f>
        <v>Validation42353</v>
      </c>
      <c r="I53" s="14" t="str">
        <f>Tbl_SchMls[[#This Row],[Project Code]]&amp;Tbl_SchMls[[#This Row],[Project Phase]]</f>
        <v>GGE055Validation</v>
      </c>
    </row>
    <row r="54" spans="1:9" x14ac:dyDescent="0.25">
      <c r="A54" s="1" t="s">
        <v>699</v>
      </c>
      <c r="B54" s="2" t="s">
        <v>35</v>
      </c>
      <c r="C54" s="6">
        <v>42355</v>
      </c>
      <c r="D54" s="6">
        <v>42359</v>
      </c>
      <c r="E54" s="14">
        <v>11</v>
      </c>
      <c r="F54" s="13" t="s">
        <v>6</v>
      </c>
      <c r="G54" s="1" t="s">
        <v>18</v>
      </c>
      <c r="H54" s="1" t="str">
        <f>Tbl_SchMls[[#This Row],[Project Phase]]&amp;Tbl_SchMls[[#This Row],[Planned Date of Completion]]</f>
        <v>Closure and Release42355</v>
      </c>
      <c r="I54" s="14" t="str">
        <f>Tbl_SchMls[[#This Row],[Project Code]]&amp;Tbl_SchMls[[#This Row],[Project Phase]]</f>
        <v>GGE055Closure and Release</v>
      </c>
    </row>
    <row r="55" spans="1:9" x14ac:dyDescent="0.25">
      <c r="A55" s="1" t="s">
        <v>909</v>
      </c>
      <c r="B55" s="2" t="s">
        <v>17</v>
      </c>
      <c r="C55" s="6">
        <v>42369</v>
      </c>
      <c r="D55" s="6">
        <v>42369</v>
      </c>
      <c r="E55" s="14">
        <v>0</v>
      </c>
      <c r="F55" s="13" t="s">
        <v>6</v>
      </c>
      <c r="G55" s="1" t="s">
        <v>18</v>
      </c>
      <c r="H55" s="1" t="str">
        <f>Tbl_SchMls[[#This Row],[Project Phase]]&amp;Tbl_SchMls[[#This Row],[Planned Date of Completion]]</f>
        <v>Project Start42369</v>
      </c>
      <c r="I55" s="14" t="str">
        <f>Tbl_SchMls[[#This Row],[Project Code]]&amp;Tbl_SchMls[[#This Row],[Project Phase]]</f>
        <v>GGS028Project Start</v>
      </c>
    </row>
    <row r="56" spans="1:9" x14ac:dyDescent="0.25">
      <c r="A56" s="1" t="s">
        <v>909</v>
      </c>
      <c r="B56" s="2" t="s">
        <v>19</v>
      </c>
      <c r="C56" s="6">
        <v>42375</v>
      </c>
      <c r="D56" s="6">
        <v>42376</v>
      </c>
      <c r="E56" s="14">
        <v>17.2</v>
      </c>
      <c r="F56" s="13" t="s">
        <v>6</v>
      </c>
      <c r="G56" s="1" t="s">
        <v>18</v>
      </c>
      <c r="H56" s="1" t="str">
        <f>Tbl_SchMls[[#This Row],[Project Phase]]&amp;Tbl_SchMls[[#This Row],[Planned Date of Completion]]</f>
        <v>Requirements Development42375</v>
      </c>
      <c r="I56" s="14" t="str">
        <f>Tbl_SchMls[[#This Row],[Project Code]]&amp;Tbl_SchMls[[#This Row],[Project Phase]]</f>
        <v>GGS028Requirements Development</v>
      </c>
    </row>
    <row r="57" spans="1:9" x14ac:dyDescent="0.25">
      <c r="A57" s="1" t="s">
        <v>909</v>
      </c>
      <c r="B57" s="2" t="s">
        <v>20</v>
      </c>
      <c r="C57" s="6">
        <v>42387</v>
      </c>
      <c r="D57" s="6">
        <v>42410</v>
      </c>
      <c r="E57" s="14">
        <v>25</v>
      </c>
      <c r="F57" s="13" t="s">
        <v>6</v>
      </c>
      <c r="G57" s="1" t="s">
        <v>18</v>
      </c>
      <c r="H57" s="1" t="str">
        <f>Tbl_SchMls[[#This Row],[Project Phase]]&amp;Tbl_SchMls[[#This Row],[Planned Date of Completion]]</f>
        <v>Planning42387</v>
      </c>
      <c r="I57" s="14" t="str">
        <f>Tbl_SchMls[[#This Row],[Project Code]]&amp;Tbl_SchMls[[#This Row],[Project Phase]]</f>
        <v>GGS028Planning</v>
      </c>
    </row>
    <row r="58" spans="1:9" x14ac:dyDescent="0.25">
      <c r="A58" s="1" t="s">
        <v>909</v>
      </c>
      <c r="B58" s="2" t="s">
        <v>32</v>
      </c>
      <c r="C58" s="6">
        <v>42417</v>
      </c>
      <c r="D58" s="6">
        <v>42433</v>
      </c>
      <c r="E58" s="14">
        <v>99</v>
      </c>
      <c r="F58" s="13" t="s">
        <v>6</v>
      </c>
      <c r="G58" s="1" t="s">
        <v>18</v>
      </c>
      <c r="H58" s="1" t="str">
        <f>Tbl_SchMls[[#This Row],[Project Phase]]&amp;Tbl_SchMls[[#This Row],[Planned Date of Completion]]</f>
        <v>Design and Implementation42417</v>
      </c>
      <c r="I58" s="14" t="str">
        <f>Tbl_SchMls[[#This Row],[Project Code]]&amp;Tbl_SchMls[[#This Row],[Project Phase]]</f>
        <v>GGS028Design and Implementation</v>
      </c>
    </row>
    <row r="59" spans="1:9" x14ac:dyDescent="0.25">
      <c r="A59" s="1" t="s">
        <v>909</v>
      </c>
      <c r="B59" s="2" t="s">
        <v>33</v>
      </c>
      <c r="C59" s="6">
        <v>42423</v>
      </c>
      <c r="D59" s="6">
        <v>42438</v>
      </c>
      <c r="E59" s="14">
        <v>34.5</v>
      </c>
      <c r="F59" s="13" t="s">
        <v>6</v>
      </c>
      <c r="G59" s="1" t="s">
        <v>18</v>
      </c>
      <c r="H59" s="1" t="str">
        <f>Tbl_SchMls[[#This Row],[Project Phase]]&amp;Tbl_SchMls[[#This Row],[Planned Date of Completion]]</f>
        <v>Integration42423</v>
      </c>
      <c r="I59" s="14" t="str">
        <f>Tbl_SchMls[[#This Row],[Project Code]]&amp;Tbl_SchMls[[#This Row],[Project Phase]]</f>
        <v>GGS028Integration</v>
      </c>
    </row>
    <row r="60" spans="1:9" x14ac:dyDescent="0.25">
      <c r="A60" s="1" t="s">
        <v>909</v>
      </c>
      <c r="B60" s="2" t="s">
        <v>34</v>
      </c>
      <c r="C60" s="6">
        <v>42430</v>
      </c>
      <c r="D60" s="6">
        <v>42444</v>
      </c>
      <c r="E60" s="14">
        <v>92.1</v>
      </c>
      <c r="F60" s="13" t="s">
        <v>6</v>
      </c>
      <c r="G60" s="1" t="s">
        <v>18</v>
      </c>
      <c r="H60" s="1" t="str">
        <f>Tbl_SchMls[[#This Row],[Project Phase]]&amp;Tbl_SchMls[[#This Row],[Planned Date of Completion]]</f>
        <v>Validation42430</v>
      </c>
      <c r="I60" s="14" t="str">
        <f>Tbl_SchMls[[#This Row],[Project Code]]&amp;Tbl_SchMls[[#This Row],[Project Phase]]</f>
        <v>GGS028Validation</v>
      </c>
    </row>
    <row r="61" spans="1:9" x14ac:dyDescent="0.25">
      <c r="A61" s="1" t="s">
        <v>909</v>
      </c>
      <c r="B61" s="2" t="s">
        <v>35</v>
      </c>
      <c r="C61" s="6">
        <v>42432</v>
      </c>
      <c r="D61" s="6">
        <v>42444</v>
      </c>
      <c r="E61" s="14">
        <v>5.7</v>
      </c>
      <c r="F61" s="13" t="s">
        <v>6</v>
      </c>
      <c r="G61" s="1" t="s">
        <v>18</v>
      </c>
      <c r="H61" s="1" t="str">
        <f>Tbl_SchMls[[#This Row],[Project Phase]]&amp;Tbl_SchMls[[#This Row],[Planned Date of Completion]]</f>
        <v>Closure and Release42432</v>
      </c>
      <c r="I61" s="14" t="str">
        <f>Tbl_SchMls[[#This Row],[Project Code]]&amp;Tbl_SchMls[[#This Row],[Project Phase]]</f>
        <v>GGS028Closure and Release</v>
      </c>
    </row>
    <row r="62" spans="1:9" x14ac:dyDescent="0.25">
      <c r="A62" s="1" t="s">
        <v>911</v>
      </c>
      <c r="B62" s="2" t="s">
        <v>17</v>
      </c>
      <c r="C62" s="6">
        <v>42408</v>
      </c>
      <c r="D62" s="6">
        <v>42408</v>
      </c>
      <c r="E62" s="14">
        <v>0</v>
      </c>
      <c r="F62" s="13" t="s">
        <v>6</v>
      </c>
      <c r="G62" s="1" t="s">
        <v>18</v>
      </c>
      <c r="H62" s="1" t="str">
        <f>Tbl_SchMls[[#This Row],[Project Phase]]&amp;Tbl_SchMls[[#This Row],[Planned Date of Completion]]</f>
        <v>Project Start42408</v>
      </c>
      <c r="I62" s="14" t="str">
        <f>Tbl_SchMls[[#This Row],[Project Code]]&amp;Tbl_SchMls[[#This Row],[Project Phase]]</f>
        <v>GGE058Project Start</v>
      </c>
    </row>
    <row r="63" spans="1:9" x14ac:dyDescent="0.25">
      <c r="A63" s="1" t="s">
        <v>911</v>
      </c>
      <c r="B63" s="2" t="s">
        <v>19</v>
      </c>
      <c r="C63" s="6">
        <v>42416</v>
      </c>
      <c r="D63" s="6">
        <v>42423</v>
      </c>
      <c r="E63" s="14">
        <v>13.5</v>
      </c>
      <c r="F63" s="13" t="s">
        <v>6</v>
      </c>
      <c r="G63" s="1" t="s">
        <v>18</v>
      </c>
      <c r="H63" s="1" t="str">
        <f>Tbl_SchMls[[#This Row],[Project Phase]]&amp;Tbl_SchMls[[#This Row],[Planned Date of Completion]]</f>
        <v>Requirements Development42416</v>
      </c>
      <c r="I63" s="14" t="str">
        <f>Tbl_SchMls[[#This Row],[Project Code]]&amp;Tbl_SchMls[[#This Row],[Project Phase]]</f>
        <v>GGE058Requirements Development</v>
      </c>
    </row>
    <row r="64" spans="1:9" x14ac:dyDescent="0.25">
      <c r="A64" s="1" t="s">
        <v>915</v>
      </c>
      <c r="B64" s="2" t="s">
        <v>17</v>
      </c>
      <c r="C64" s="6">
        <v>42426</v>
      </c>
      <c r="D64" s="6">
        <v>42426</v>
      </c>
      <c r="E64" s="14">
        <v>0</v>
      </c>
      <c r="F64" s="13" t="s">
        <v>6</v>
      </c>
      <c r="G64" s="1" t="s">
        <v>18</v>
      </c>
      <c r="H64" s="1" t="str">
        <f>Tbl_SchMls[[#This Row],[Project Phase]]&amp;Tbl_SchMls[[#This Row],[Planned Date of Completion]]</f>
        <v>Project Start42426</v>
      </c>
      <c r="I64" s="14" t="str">
        <f>Tbl_SchMls[[#This Row],[Project Code]]&amp;Tbl_SchMls[[#This Row],[Project Phase]]</f>
        <v>GGE063Project Start</v>
      </c>
    </row>
    <row r="65" spans="1:9" x14ac:dyDescent="0.25">
      <c r="A65" s="1" t="s">
        <v>915</v>
      </c>
      <c r="B65" s="2" t="s">
        <v>19</v>
      </c>
      <c r="C65" s="6">
        <v>42431</v>
      </c>
      <c r="D65" s="6">
        <v>42431</v>
      </c>
      <c r="E65" s="14">
        <v>17</v>
      </c>
      <c r="F65" s="13" t="s">
        <v>6</v>
      </c>
      <c r="G65" s="1" t="s">
        <v>18</v>
      </c>
      <c r="H65" s="1" t="str">
        <f>Tbl_SchMls[[#This Row],[Project Phase]]&amp;Tbl_SchMls[[#This Row],[Planned Date of Completion]]</f>
        <v>Requirements Development42431</v>
      </c>
      <c r="I65" s="14" t="str">
        <f>Tbl_SchMls[[#This Row],[Project Code]]&amp;Tbl_SchMls[[#This Row],[Project Phase]]</f>
        <v>GGE063Requirements Development</v>
      </c>
    </row>
    <row r="66" spans="1:9" x14ac:dyDescent="0.25">
      <c r="A66" s="1" t="s">
        <v>913</v>
      </c>
      <c r="B66" s="2" t="s">
        <v>17</v>
      </c>
      <c r="C66" s="6">
        <v>42425</v>
      </c>
      <c r="D66" s="6">
        <v>42425</v>
      </c>
      <c r="E66" s="14">
        <v>0</v>
      </c>
      <c r="F66" s="13" t="s">
        <v>6</v>
      </c>
      <c r="G66" s="1" t="s">
        <v>18</v>
      </c>
      <c r="H66" s="1" t="str">
        <f>Tbl_SchMls[[#This Row],[Project Phase]]&amp;Tbl_SchMls[[#This Row],[Planned Date of Completion]]</f>
        <v>Project Start42425</v>
      </c>
      <c r="I66" s="14" t="str">
        <f>Tbl_SchMls[[#This Row],[Project Code]]&amp;Tbl_SchMls[[#This Row],[Project Phase]]</f>
        <v>GDB003Project Start</v>
      </c>
    </row>
    <row r="67" spans="1:9" x14ac:dyDescent="0.25">
      <c r="A67" s="1" t="s">
        <v>913</v>
      </c>
      <c r="B67" s="2" t="s">
        <v>19</v>
      </c>
      <c r="C67" s="6">
        <v>42427</v>
      </c>
      <c r="D67" s="6">
        <v>42429</v>
      </c>
      <c r="E67" s="14">
        <v>10</v>
      </c>
      <c r="F67" s="13" t="s">
        <v>6</v>
      </c>
      <c r="G67" s="1" t="s">
        <v>18</v>
      </c>
      <c r="H67" s="1" t="str">
        <f>Tbl_SchMls[[#This Row],[Project Phase]]&amp;Tbl_SchMls[[#This Row],[Planned Date of Completion]]</f>
        <v>Requirements Development42427</v>
      </c>
      <c r="I67" s="14" t="str">
        <f>Tbl_SchMls[[#This Row],[Project Code]]&amp;Tbl_SchMls[[#This Row],[Project Phase]]</f>
        <v>GDB003Requirements Development</v>
      </c>
    </row>
    <row r="68" spans="1:9" x14ac:dyDescent="0.25">
      <c r="A68" s="1" t="s">
        <v>911</v>
      </c>
      <c r="B68" s="2" t="s">
        <v>20</v>
      </c>
      <c r="C68" s="6">
        <v>42432</v>
      </c>
      <c r="D68" s="6">
        <v>42433</v>
      </c>
      <c r="E68" s="14">
        <v>31</v>
      </c>
      <c r="F68" s="13" t="s">
        <v>6</v>
      </c>
      <c r="G68" s="1" t="s">
        <v>18</v>
      </c>
      <c r="H68" s="1" t="str">
        <f>Tbl_SchMls[[#This Row],[Project Phase]]&amp;Tbl_SchMls[[#This Row],[Planned Date of Completion]]</f>
        <v>Planning42432</v>
      </c>
      <c r="I68" s="14" t="str">
        <f>Tbl_SchMls[[#This Row],[Project Code]]&amp;Tbl_SchMls[[#This Row],[Project Phase]]</f>
        <v>GGE058Planning</v>
      </c>
    </row>
    <row r="69" spans="1:9" x14ac:dyDescent="0.25">
      <c r="A69" s="1" t="s">
        <v>913</v>
      </c>
      <c r="B69" s="2" t="s">
        <v>20</v>
      </c>
      <c r="C69" s="6">
        <v>42433</v>
      </c>
      <c r="D69" s="6">
        <v>42432</v>
      </c>
      <c r="E69" s="14">
        <v>6.1</v>
      </c>
      <c r="F69" s="13" t="s">
        <v>6</v>
      </c>
      <c r="G69" s="1" t="s">
        <v>18</v>
      </c>
      <c r="H69" s="1" t="str">
        <f>Tbl_SchMls[[#This Row],[Project Phase]]&amp;Tbl_SchMls[[#This Row],[Planned Date of Completion]]</f>
        <v>Planning42433</v>
      </c>
      <c r="I69" s="14" t="str">
        <f>Tbl_SchMls[[#This Row],[Project Code]]&amp;Tbl_SchMls[[#This Row],[Project Phase]]</f>
        <v>GDB003Planning</v>
      </c>
    </row>
    <row r="70" spans="1:9" x14ac:dyDescent="0.25">
      <c r="A70" s="1" t="s">
        <v>913</v>
      </c>
      <c r="B70" s="2" t="s">
        <v>32</v>
      </c>
      <c r="C70" s="6">
        <v>42448</v>
      </c>
      <c r="D70" s="6">
        <v>42446</v>
      </c>
      <c r="E70" s="14">
        <v>29.3</v>
      </c>
      <c r="F70" s="13" t="s">
        <v>6</v>
      </c>
      <c r="G70" s="1" t="s">
        <v>18</v>
      </c>
      <c r="H70" s="1" t="str">
        <f>Tbl_SchMls[[#This Row],[Project Phase]]&amp;Tbl_SchMls[[#This Row],[Planned Date of Completion]]</f>
        <v>Design and Implementation42448</v>
      </c>
      <c r="I70" s="14" t="str">
        <f>Tbl_SchMls[[#This Row],[Project Code]]&amp;Tbl_SchMls[[#This Row],[Project Phase]]</f>
        <v>GDB003Design and Implementation</v>
      </c>
    </row>
    <row r="71" spans="1:9" x14ac:dyDescent="0.25">
      <c r="A71" s="1" t="s">
        <v>913</v>
      </c>
      <c r="B71" s="2" t="s">
        <v>33</v>
      </c>
      <c r="C71" s="6">
        <v>42450</v>
      </c>
      <c r="D71" s="6">
        <v>42450</v>
      </c>
      <c r="E71" s="14">
        <v>8.8000000000000007</v>
      </c>
      <c r="F71" s="13" t="s">
        <v>6</v>
      </c>
      <c r="G71" s="1" t="s">
        <v>18</v>
      </c>
      <c r="H71" s="1" t="str">
        <f>Tbl_SchMls[[#This Row],[Project Phase]]&amp;Tbl_SchMls[[#This Row],[Planned Date of Completion]]</f>
        <v>Integration42450</v>
      </c>
      <c r="I71" s="14" t="str">
        <f>Tbl_SchMls[[#This Row],[Project Code]]&amp;Tbl_SchMls[[#This Row],[Project Phase]]</f>
        <v>GDB003Integration</v>
      </c>
    </row>
    <row r="72" spans="1:9" x14ac:dyDescent="0.25">
      <c r="A72" s="1" t="s">
        <v>913</v>
      </c>
      <c r="B72" s="2" t="s">
        <v>34</v>
      </c>
      <c r="C72" s="6">
        <v>42451</v>
      </c>
      <c r="D72" s="6">
        <v>42450</v>
      </c>
      <c r="E72" s="14">
        <v>23.5</v>
      </c>
      <c r="F72" s="13" t="s">
        <v>6</v>
      </c>
      <c r="G72" s="1" t="s">
        <v>18</v>
      </c>
      <c r="H72" s="1" t="str">
        <f>Tbl_SchMls[[#This Row],[Project Phase]]&amp;Tbl_SchMls[[#This Row],[Planned Date of Completion]]</f>
        <v>Validation42451</v>
      </c>
      <c r="I72" s="14" t="str">
        <f>Tbl_SchMls[[#This Row],[Project Code]]&amp;Tbl_SchMls[[#This Row],[Project Phase]]</f>
        <v>GDB003Validation</v>
      </c>
    </row>
    <row r="73" spans="1:9" x14ac:dyDescent="0.25">
      <c r="A73" s="1" t="s">
        <v>913</v>
      </c>
      <c r="B73" s="2" t="s">
        <v>35</v>
      </c>
      <c r="C73" s="6">
        <v>42452</v>
      </c>
      <c r="D73" s="6">
        <v>42451</v>
      </c>
      <c r="E73" s="14">
        <v>1.5</v>
      </c>
      <c r="F73" s="13" t="s">
        <v>6</v>
      </c>
      <c r="G73" s="1" t="s">
        <v>18</v>
      </c>
      <c r="H73" s="1" t="str">
        <f>Tbl_SchMls[[#This Row],[Project Phase]]&amp;Tbl_SchMls[[#This Row],[Planned Date of Completion]]</f>
        <v>Closure and Release42452</v>
      </c>
      <c r="I73" s="14" t="str">
        <f>Tbl_SchMls[[#This Row],[Project Code]]&amp;Tbl_SchMls[[#This Row],[Project Phase]]</f>
        <v>GDB003Closure and Release</v>
      </c>
    </row>
    <row r="74" spans="1:9" x14ac:dyDescent="0.25">
      <c r="A74" s="1" t="s">
        <v>911</v>
      </c>
      <c r="B74" s="2" t="s">
        <v>32</v>
      </c>
      <c r="C74" s="6">
        <v>42444</v>
      </c>
      <c r="D74" s="6">
        <v>42446</v>
      </c>
      <c r="E74" s="14">
        <v>90</v>
      </c>
      <c r="F74" s="13" t="s">
        <v>6</v>
      </c>
      <c r="G74" s="1" t="s">
        <v>18</v>
      </c>
      <c r="H74" s="1" t="str">
        <f>Tbl_SchMls[[#This Row],[Project Phase]]&amp;Tbl_SchMls[[#This Row],[Planned Date of Completion]]</f>
        <v>Design and Implementation42444</v>
      </c>
      <c r="I74" s="14" t="str">
        <f>Tbl_SchMls[[#This Row],[Project Code]]&amp;Tbl_SchMls[[#This Row],[Project Phase]]</f>
        <v>GGE058Design and Implementation</v>
      </c>
    </row>
    <row r="75" spans="1:9" x14ac:dyDescent="0.25">
      <c r="A75" s="1" t="s">
        <v>911</v>
      </c>
      <c r="B75" s="2" t="s">
        <v>33</v>
      </c>
      <c r="C75" s="6">
        <v>42447</v>
      </c>
      <c r="D75" s="6">
        <v>42452</v>
      </c>
      <c r="E75" s="14">
        <v>28</v>
      </c>
      <c r="F75" s="13" t="s">
        <v>6</v>
      </c>
      <c r="G75" s="1" t="s">
        <v>18</v>
      </c>
      <c r="H75" s="1" t="str">
        <f>Tbl_SchMls[[#This Row],[Project Phase]]&amp;Tbl_SchMls[[#This Row],[Planned Date of Completion]]</f>
        <v>Integration42447</v>
      </c>
      <c r="I75" s="14" t="str">
        <f>Tbl_SchMls[[#This Row],[Project Code]]&amp;Tbl_SchMls[[#This Row],[Project Phase]]</f>
        <v>GGE058Integration</v>
      </c>
    </row>
    <row r="76" spans="1:9" x14ac:dyDescent="0.25">
      <c r="A76" s="1" t="s">
        <v>911</v>
      </c>
      <c r="B76" s="2" t="s">
        <v>34</v>
      </c>
      <c r="C76" s="6">
        <v>42452</v>
      </c>
      <c r="D76" s="6">
        <v>42457</v>
      </c>
      <c r="E76" s="14">
        <v>49</v>
      </c>
      <c r="F76" s="13" t="s">
        <v>6</v>
      </c>
      <c r="G76" s="1" t="s">
        <v>18</v>
      </c>
      <c r="H76" s="1" t="str">
        <f>Tbl_SchMls[[#This Row],[Project Phase]]&amp;Tbl_SchMls[[#This Row],[Planned Date of Completion]]</f>
        <v>Validation42452</v>
      </c>
      <c r="I76" s="14" t="str">
        <f>Tbl_SchMls[[#This Row],[Project Code]]&amp;Tbl_SchMls[[#This Row],[Project Phase]]</f>
        <v>GGE058Validation</v>
      </c>
    </row>
    <row r="77" spans="1:9" x14ac:dyDescent="0.25">
      <c r="A77" s="1" t="s">
        <v>911</v>
      </c>
      <c r="B77" s="2" t="s">
        <v>35</v>
      </c>
      <c r="C77" s="6">
        <v>42453</v>
      </c>
      <c r="D77" s="6">
        <v>42458</v>
      </c>
      <c r="E77" s="14">
        <v>6.5</v>
      </c>
      <c r="F77" s="13" t="s">
        <v>6</v>
      </c>
      <c r="G77" s="1" t="s">
        <v>18</v>
      </c>
      <c r="H77" s="1" t="str">
        <f>Tbl_SchMls[[#This Row],[Project Phase]]&amp;Tbl_SchMls[[#This Row],[Planned Date of Completion]]</f>
        <v>Closure and Release42453</v>
      </c>
      <c r="I77" s="14" t="str">
        <f>Tbl_SchMls[[#This Row],[Project Code]]&amp;Tbl_SchMls[[#This Row],[Project Phase]]</f>
        <v>GGE058Closure and Release</v>
      </c>
    </row>
    <row r="78" spans="1:9" x14ac:dyDescent="0.25">
      <c r="A78" s="1" t="s">
        <v>915</v>
      </c>
      <c r="B78" s="2" t="s">
        <v>20</v>
      </c>
      <c r="C78" s="6">
        <v>42439</v>
      </c>
      <c r="D78" s="6">
        <v>42440</v>
      </c>
      <c r="E78" s="14">
        <v>13</v>
      </c>
      <c r="F78" s="13" t="s">
        <v>6</v>
      </c>
      <c r="G78" s="1" t="s">
        <v>18</v>
      </c>
      <c r="H78" s="1" t="str">
        <f>Tbl_SchMls[[#This Row],[Project Phase]]&amp;Tbl_SchMls[[#This Row],[Planned Date of Completion]]</f>
        <v>Planning42439</v>
      </c>
      <c r="I78" s="14" t="str">
        <f>Tbl_SchMls[[#This Row],[Project Code]]&amp;Tbl_SchMls[[#This Row],[Project Phase]]</f>
        <v>GGE063Planning</v>
      </c>
    </row>
    <row r="79" spans="1:9" x14ac:dyDescent="0.25">
      <c r="A79" s="1" t="s">
        <v>915</v>
      </c>
      <c r="B79" s="2" t="s">
        <v>32</v>
      </c>
      <c r="C79" s="6">
        <v>42459</v>
      </c>
      <c r="D79" s="6">
        <v>42466</v>
      </c>
      <c r="E79" s="14">
        <v>108</v>
      </c>
      <c r="F79" s="13" t="s">
        <v>6</v>
      </c>
      <c r="G79" s="1" t="s">
        <v>18</v>
      </c>
      <c r="H79" s="1" t="str">
        <f>Tbl_SchMls[[#This Row],[Project Phase]]&amp;Tbl_SchMls[[#This Row],[Planned Date of Completion]]</f>
        <v>Design and Implementation42459</v>
      </c>
      <c r="I79" s="14" t="str">
        <f>Tbl_SchMls[[#This Row],[Project Code]]&amp;Tbl_SchMls[[#This Row],[Project Phase]]</f>
        <v>GGE063Design and Implementation</v>
      </c>
    </row>
    <row r="80" spans="1:9" x14ac:dyDescent="0.25">
      <c r="A80" s="1" t="s">
        <v>915</v>
      </c>
      <c r="B80" s="2" t="s">
        <v>33</v>
      </c>
      <c r="C80" s="6">
        <v>42464</v>
      </c>
      <c r="D80" s="6">
        <v>42472</v>
      </c>
      <c r="E80" s="14">
        <v>32</v>
      </c>
      <c r="F80" s="13" t="s">
        <v>6</v>
      </c>
      <c r="G80" s="1" t="s">
        <v>18</v>
      </c>
      <c r="H80" s="1" t="str">
        <f>Tbl_SchMls[[#This Row],[Project Phase]]&amp;Tbl_SchMls[[#This Row],[Planned Date of Completion]]</f>
        <v>Integration42464</v>
      </c>
      <c r="I80" s="14" t="str">
        <f>Tbl_SchMls[[#This Row],[Project Code]]&amp;Tbl_SchMls[[#This Row],[Project Phase]]</f>
        <v>GGE063Integration</v>
      </c>
    </row>
    <row r="81" spans="1:9" x14ac:dyDescent="0.25">
      <c r="A81" s="1" t="s">
        <v>581</v>
      </c>
      <c r="B81" s="2" t="s">
        <v>34</v>
      </c>
      <c r="C81" s="6">
        <v>42472</v>
      </c>
      <c r="D81" s="6"/>
      <c r="E81" s="14">
        <v>87</v>
      </c>
      <c r="F81" s="13" t="s">
        <v>6</v>
      </c>
      <c r="G81" s="1" t="s">
        <v>18</v>
      </c>
      <c r="H81" s="1" t="str">
        <f>Tbl_SchMls[[#This Row],[Project Phase]]&amp;Tbl_SchMls[[#This Row],[Planned Date of Completion]]</f>
        <v>Validation42472</v>
      </c>
      <c r="I81" s="14" t="str">
        <f>Tbl_SchMls[[#This Row],[Project Code]]&amp;Tbl_SchMls[[#This Row],[Project Phase]]</f>
        <v>Audit/QAValidation</v>
      </c>
    </row>
    <row r="82" spans="1:9" x14ac:dyDescent="0.25">
      <c r="A82" s="1" t="s">
        <v>915</v>
      </c>
      <c r="B82" s="2" t="s">
        <v>34</v>
      </c>
      <c r="C82" s="6">
        <v>42472</v>
      </c>
      <c r="D82" s="6">
        <v>42478</v>
      </c>
      <c r="E82" s="14">
        <v>87</v>
      </c>
      <c r="F82" s="13" t="s">
        <v>6</v>
      </c>
      <c r="G82" s="1" t="s">
        <v>18</v>
      </c>
      <c r="H82" s="1" t="str">
        <f>Tbl_SchMls[[#This Row],[Project Phase]]&amp;Tbl_SchMls[[#This Row],[Planned Date of Completion]]</f>
        <v>Validation42472</v>
      </c>
      <c r="I82" s="14" t="str">
        <f>Tbl_SchMls[[#This Row],[Project Code]]&amp;Tbl_SchMls[[#This Row],[Project Phase]]</f>
        <v>GGE063Validation</v>
      </c>
    </row>
    <row r="83" spans="1:9" x14ac:dyDescent="0.25">
      <c r="A83" s="1" t="s">
        <v>915</v>
      </c>
      <c r="B83" s="2" t="s">
        <v>35</v>
      </c>
      <c r="C83" s="6">
        <v>42473</v>
      </c>
      <c r="D83" s="6">
        <v>42481</v>
      </c>
      <c r="E83" s="14">
        <v>6</v>
      </c>
      <c r="F83" s="13" t="s">
        <v>6</v>
      </c>
      <c r="G83" s="1" t="s">
        <v>18</v>
      </c>
      <c r="H83" s="1" t="str">
        <f>Tbl_SchMls[[#This Row],[Project Phase]]&amp;Tbl_SchMls[[#This Row],[Planned Date of Completion]]</f>
        <v>Closure and Release42473</v>
      </c>
      <c r="I83" s="14" t="str">
        <f>Tbl_SchMls[[#This Row],[Project Code]]&amp;Tbl_SchMls[[#This Row],[Project Phase]]</f>
        <v>GGE063Closure and Release</v>
      </c>
    </row>
    <row r="84" spans="1:9" x14ac:dyDescent="0.25">
      <c r="A84" s="1" t="s">
        <v>917</v>
      </c>
      <c r="B84" s="2" t="s">
        <v>17</v>
      </c>
      <c r="C84" s="6">
        <v>42444</v>
      </c>
      <c r="D84" s="6">
        <v>42444</v>
      </c>
      <c r="E84" s="14">
        <v>0</v>
      </c>
      <c r="F84" s="13" t="s">
        <v>6</v>
      </c>
      <c r="G84" s="1" t="s">
        <v>18</v>
      </c>
      <c r="H84" s="1" t="str">
        <f>Tbl_SchMls[[#This Row],[Project Phase]]&amp;Tbl_SchMls[[#This Row],[Planned Date of Completion]]</f>
        <v>Project Start42444</v>
      </c>
      <c r="I84" s="14" t="str">
        <f>Tbl_SchMls[[#This Row],[Project Code]]&amp;Tbl_SchMls[[#This Row],[Project Phase]]</f>
        <v>GGE064Project Start</v>
      </c>
    </row>
    <row r="85" spans="1:9" x14ac:dyDescent="0.25">
      <c r="A85" s="1" t="s">
        <v>917</v>
      </c>
      <c r="B85" s="2" t="s">
        <v>19</v>
      </c>
      <c r="C85" s="6">
        <v>42452</v>
      </c>
      <c r="D85" s="6">
        <v>42451</v>
      </c>
      <c r="E85" s="14">
        <v>22</v>
      </c>
      <c r="F85" s="13" t="s">
        <v>6</v>
      </c>
      <c r="G85" s="1" t="s">
        <v>18</v>
      </c>
      <c r="H85" s="1" t="str">
        <f>Tbl_SchMls[[#This Row],[Project Phase]]&amp;Tbl_SchMls[[#This Row],[Planned Date of Completion]]</f>
        <v>Requirements Development42452</v>
      </c>
      <c r="I85" s="14" t="str">
        <f>Tbl_SchMls[[#This Row],[Project Code]]&amp;Tbl_SchMls[[#This Row],[Project Phase]]</f>
        <v>GGE064Requirements Development</v>
      </c>
    </row>
    <row r="86" spans="1:9" x14ac:dyDescent="0.25">
      <c r="A86" s="1" t="s">
        <v>2870</v>
      </c>
      <c r="B86" s="2" t="s">
        <v>17</v>
      </c>
      <c r="C86" s="6">
        <v>42451</v>
      </c>
      <c r="D86" s="6">
        <v>42451</v>
      </c>
      <c r="E86" s="14">
        <v>0</v>
      </c>
      <c r="F86" s="13" t="s">
        <v>6</v>
      </c>
      <c r="G86" s="1" t="s">
        <v>18</v>
      </c>
      <c r="H86" s="1" t="str">
        <f>Tbl_SchMls[[#This Row],[Project Phase]]&amp;Tbl_SchMls[[#This Row],[Planned Date of Completion]]</f>
        <v>Project Start42451</v>
      </c>
      <c r="I86" s="14" t="str">
        <f>Tbl_SchMls[[#This Row],[Project Code]]&amp;Tbl_SchMls[[#This Row],[Project Phase]]</f>
        <v>GGS026Project Start</v>
      </c>
    </row>
    <row r="87" spans="1:9" x14ac:dyDescent="0.25">
      <c r="A87" s="1" t="s">
        <v>2870</v>
      </c>
      <c r="B87" s="2" t="s">
        <v>19</v>
      </c>
      <c r="C87" s="6">
        <v>42454</v>
      </c>
      <c r="D87" s="6">
        <v>42458</v>
      </c>
      <c r="E87" s="14">
        <v>8.3000000000000007</v>
      </c>
      <c r="F87" s="13" t="s">
        <v>6</v>
      </c>
      <c r="G87" s="1" t="s">
        <v>18</v>
      </c>
      <c r="H87" s="1" t="str">
        <f>Tbl_SchMls[[#This Row],[Project Phase]]&amp;Tbl_SchMls[[#This Row],[Planned Date of Completion]]</f>
        <v>Requirements Development42454</v>
      </c>
      <c r="I87" s="14" t="str">
        <f>Tbl_SchMls[[#This Row],[Project Code]]&amp;Tbl_SchMls[[#This Row],[Project Phase]]</f>
        <v>GGS026Requirements Development</v>
      </c>
    </row>
    <row r="88" spans="1:9" x14ac:dyDescent="0.25">
      <c r="A88" s="1" t="s">
        <v>917</v>
      </c>
      <c r="B88" s="2" t="s">
        <v>20</v>
      </c>
      <c r="C88" s="6">
        <v>42461</v>
      </c>
      <c r="D88" s="6">
        <v>42461</v>
      </c>
      <c r="E88" s="14">
        <v>14.9</v>
      </c>
      <c r="F88" s="13" t="s">
        <v>6</v>
      </c>
      <c r="G88" s="1" t="s">
        <v>18</v>
      </c>
      <c r="H88" s="1" t="str">
        <f>Tbl_SchMls[[#This Row],[Project Phase]]&amp;Tbl_SchMls[[#This Row],[Planned Date of Completion]]</f>
        <v>Planning42461</v>
      </c>
      <c r="I88" s="14" t="str">
        <f>Tbl_SchMls[[#This Row],[Project Code]]&amp;Tbl_SchMls[[#This Row],[Project Phase]]</f>
        <v>GGE064Planning</v>
      </c>
    </row>
    <row r="89" spans="1:9" x14ac:dyDescent="0.25">
      <c r="A89" s="1" t="s">
        <v>917</v>
      </c>
      <c r="B89" s="2" t="s">
        <v>32</v>
      </c>
      <c r="C89" s="6">
        <v>42478</v>
      </c>
      <c r="D89" s="6">
        <v>42478</v>
      </c>
      <c r="E89" s="14">
        <v>74.5</v>
      </c>
      <c r="F89" s="13" t="s">
        <v>6</v>
      </c>
      <c r="G89" s="1" t="s">
        <v>18</v>
      </c>
      <c r="H89" s="1" t="str">
        <f>Tbl_SchMls[[#This Row],[Project Phase]]&amp;Tbl_SchMls[[#This Row],[Planned Date of Completion]]</f>
        <v>Design and Implementation42478</v>
      </c>
      <c r="I89" s="14" t="str">
        <f>Tbl_SchMls[[#This Row],[Project Code]]&amp;Tbl_SchMls[[#This Row],[Project Phase]]</f>
        <v>GGE064Design and Implementation</v>
      </c>
    </row>
    <row r="90" spans="1:9" x14ac:dyDescent="0.25">
      <c r="A90" s="1" t="s">
        <v>917</v>
      </c>
      <c r="B90" s="2" t="s">
        <v>33</v>
      </c>
      <c r="C90" s="6">
        <v>42480</v>
      </c>
      <c r="D90" s="6">
        <v>42480</v>
      </c>
      <c r="E90" s="14">
        <v>14.9</v>
      </c>
      <c r="F90" s="13" t="s">
        <v>6</v>
      </c>
      <c r="G90" s="1" t="s">
        <v>18</v>
      </c>
      <c r="H90" s="1" t="str">
        <f>Tbl_SchMls[[#This Row],[Project Phase]]&amp;Tbl_SchMls[[#This Row],[Planned Date of Completion]]</f>
        <v>Integration42480</v>
      </c>
      <c r="I90" s="14" t="str">
        <f>Tbl_SchMls[[#This Row],[Project Code]]&amp;Tbl_SchMls[[#This Row],[Project Phase]]</f>
        <v>GGE064Integration</v>
      </c>
    </row>
    <row r="91" spans="1:9" x14ac:dyDescent="0.25">
      <c r="A91" s="1" t="s">
        <v>917</v>
      </c>
      <c r="B91" s="2" t="s">
        <v>34</v>
      </c>
      <c r="C91" s="6">
        <v>42487</v>
      </c>
      <c r="D91" s="6">
        <v>42487</v>
      </c>
      <c r="E91" s="14">
        <v>37.299999999999997</v>
      </c>
      <c r="F91" s="13" t="s">
        <v>6</v>
      </c>
      <c r="G91" s="1" t="s">
        <v>18</v>
      </c>
      <c r="H91" s="1" t="str">
        <f>Tbl_SchMls[[#This Row],[Project Phase]]&amp;Tbl_SchMls[[#This Row],[Planned Date of Completion]]</f>
        <v>Validation42487</v>
      </c>
      <c r="I91" s="14" t="str">
        <f>Tbl_SchMls[[#This Row],[Project Code]]&amp;Tbl_SchMls[[#This Row],[Project Phase]]</f>
        <v>GGE064Validation</v>
      </c>
    </row>
    <row r="92" spans="1:9" x14ac:dyDescent="0.25">
      <c r="A92" s="1" t="s">
        <v>917</v>
      </c>
      <c r="B92" s="2" t="s">
        <v>35</v>
      </c>
      <c r="C92" s="6">
        <v>42490</v>
      </c>
      <c r="D92" s="6">
        <v>42489</v>
      </c>
      <c r="E92" s="14">
        <v>7.5</v>
      </c>
      <c r="F92" s="13" t="s">
        <v>6</v>
      </c>
      <c r="G92" s="1" t="s">
        <v>18</v>
      </c>
      <c r="H92" s="1" t="str">
        <f>Tbl_SchMls[[#This Row],[Project Phase]]&amp;Tbl_SchMls[[#This Row],[Planned Date of Completion]]</f>
        <v>Closure and Release42490</v>
      </c>
      <c r="I92" s="14" t="str">
        <f>Tbl_SchMls[[#This Row],[Project Code]]&amp;Tbl_SchMls[[#This Row],[Project Phase]]</f>
        <v>GGE064Closure and Release</v>
      </c>
    </row>
    <row r="93" spans="1:9" x14ac:dyDescent="0.25">
      <c r="A93" s="1" t="s">
        <v>2870</v>
      </c>
      <c r="B93" s="2" t="s">
        <v>20</v>
      </c>
      <c r="C93" s="6">
        <v>42462</v>
      </c>
      <c r="D93" s="6">
        <v>42464</v>
      </c>
      <c r="E93" s="14">
        <v>12</v>
      </c>
      <c r="F93" s="13" t="s">
        <v>6</v>
      </c>
      <c r="G93" s="1" t="s">
        <v>18</v>
      </c>
      <c r="H93" s="1" t="str">
        <f>Tbl_SchMls[[#This Row],[Project Phase]]&amp;Tbl_SchMls[[#This Row],[Planned Date of Completion]]</f>
        <v>Planning42462</v>
      </c>
      <c r="I93" s="14" t="str">
        <f>Tbl_SchMls[[#This Row],[Project Code]]&amp;Tbl_SchMls[[#This Row],[Project Phase]]</f>
        <v>GGS026Planning</v>
      </c>
    </row>
    <row r="94" spans="1:9" x14ac:dyDescent="0.25">
      <c r="A94" s="1" t="s">
        <v>2870</v>
      </c>
      <c r="B94" s="2" t="s">
        <v>32</v>
      </c>
      <c r="C94" s="6">
        <v>42469</v>
      </c>
      <c r="D94" s="6">
        <v>42509</v>
      </c>
      <c r="E94" s="14">
        <v>50</v>
      </c>
      <c r="F94" s="13" t="s">
        <v>6</v>
      </c>
      <c r="G94" s="1" t="s">
        <v>18</v>
      </c>
      <c r="H94" s="1" t="str">
        <f>Tbl_SchMls[[#This Row],[Project Phase]]&amp;Tbl_SchMls[[#This Row],[Planned Date of Completion]]</f>
        <v>Design and Implementation42469</v>
      </c>
      <c r="I94" s="14" t="str">
        <f>Tbl_SchMls[[#This Row],[Project Code]]&amp;Tbl_SchMls[[#This Row],[Project Phase]]</f>
        <v>GGS026Design and Implementation</v>
      </c>
    </row>
    <row r="95" spans="1:9" x14ac:dyDescent="0.25">
      <c r="A95" s="1" t="s">
        <v>2870</v>
      </c>
      <c r="B95" s="2" t="s">
        <v>33</v>
      </c>
      <c r="C95" s="6">
        <v>42476</v>
      </c>
      <c r="D95" s="6"/>
      <c r="E95" s="14">
        <v>25</v>
      </c>
      <c r="F95" s="13" t="s">
        <v>6</v>
      </c>
      <c r="G95" s="1" t="s">
        <v>18</v>
      </c>
      <c r="H95" s="1" t="str">
        <f>Tbl_SchMls[[#This Row],[Project Phase]]&amp;Tbl_SchMls[[#This Row],[Planned Date of Completion]]</f>
        <v>Integration42476</v>
      </c>
      <c r="I95" s="14" t="str">
        <f>Tbl_SchMls[[#This Row],[Project Code]]&amp;Tbl_SchMls[[#This Row],[Project Phase]]</f>
        <v>GGS026Integration</v>
      </c>
    </row>
    <row r="96" spans="1:9" x14ac:dyDescent="0.25">
      <c r="A96" s="1" t="s">
        <v>2870</v>
      </c>
      <c r="B96" s="2" t="s">
        <v>34</v>
      </c>
      <c r="C96" s="6">
        <v>42485</v>
      </c>
      <c r="D96" s="6"/>
      <c r="E96" s="14">
        <v>40</v>
      </c>
      <c r="F96" s="13" t="s">
        <v>6</v>
      </c>
      <c r="G96" s="1" t="s">
        <v>18</v>
      </c>
      <c r="H96" s="1" t="str">
        <f>Tbl_SchMls[[#This Row],[Project Phase]]&amp;Tbl_SchMls[[#This Row],[Planned Date of Completion]]</f>
        <v>Validation42485</v>
      </c>
      <c r="I96" s="14" t="str">
        <f>Tbl_SchMls[[#This Row],[Project Code]]&amp;Tbl_SchMls[[#This Row],[Project Phase]]</f>
        <v>GGS026Validation</v>
      </c>
    </row>
    <row r="97" spans="1:9" x14ac:dyDescent="0.25">
      <c r="A97" s="1" t="s">
        <v>2870</v>
      </c>
      <c r="B97" s="2" t="s">
        <v>35</v>
      </c>
      <c r="C97" s="6">
        <v>42486</v>
      </c>
      <c r="D97" s="6">
        <v>42514</v>
      </c>
      <c r="E97" s="14">
        <v>3</v>
      </c>
      <c r="F97" s="13" t="s">
        <v>6</v>
      </c>
      <c r="G97" s="1" t="s">
        <v>18</v>
      </c>
      <c r="H97" s="1" t="str">
        <f>Tbl_SchMls[[#This Row],[Project Phase]]&amp;Tbl_SchMls[[#This Row],[Planned Date of Completion]]</f>
        <v>Closure and Release42486</v>
      </c>
      <c r="I97" s="14" t="str">
        <f>Tbl_SchMls[[#This Row],[Project Code]]&amp;Tbl_SchMls[[#This Row],[Project Phase]]</f>
        <v>GGS026Closure and Release</v>
      </c>
    </row>
    <row r="98" spans="1:9" x14ac:dyDescent="0.25">
      <c r="A98" s="1" t="s">
        <v>2872</v>
      </c>
      <c r="B98" s="2" t="s">
        <v>17</v>
      </c>
      <c r="C98" s="6">
        <v>42465</v>
      </c>
      <c r="D98" s="6">
        <v>42465</v>
      </c>
      <c r="E98" s="14">
        <v>0</v>
      </c>
      <c r="F98" s="13" t="s">
        <v>6</v>
      </c>
      <c r="G98" s="1" t="s">
        <v>18</v>
      </c>
      <c r="H98" s="1" t="str">
        <f>Tbl_SchMls[[#This Row],[Project Phase]]&amp;Tbl_SchMls[[#This Row],[Planned Date of Completion]]</f>
        <v>Project Start42465</v>
      </c>
      <c r="I98" s="14" t="str">
        <f>Tbl_SchMls[[#This Row],[Project Code]]&amp;Tbl_SchMls[[#This Row],[Project Phase]]</f>
        <v>GSM051Project Start</v>
      </c>
    </row>
    <row r="99" spans="1:9" x14ac:dyDescent="0.25">
      <c r="A99" s="1" t="s">
        <v>2872</v>
      </c>
      <c r="B99" s="2" t="s">
        <v>19</v>
      </c>
      <c r="C99" s="6">
        <v>42467</v>
      </c>
      <c r="D99" s="6">
        <v>42467</v>
      </c>
      <c r="E99" s="14">
        <v>10</v>
      </c>
      <c r="F99" s="13" t="s">
        <v>6</v>
      </c>
      <c r="G99" s="1" t="s">
        <v>18</v>
      </c>
      <c r="H99" s="1" t="str">
        <f>Tbl_SchMls[[#This Row],[Project Phase]]&amp;Tbl_SchMls[[#This Row],[Planned Date of Completion]]</f>
        <v>Requirements Development42467</v>
      </c>
      <c r="I99" s="14" t="str">
        <f>Tbl_SchMls[[#This Row],[Project Code]]&amp;Tbl_SchMls[[#This Row],[Project Phase]]</f>
        <v>GSM051Requirements Development</v>
      </c>
    </row>
    <row r="100" spans="1:9" x14ac:dyDescent="0.25">
      <c r="A100" s="1" t="s">
        <v>2874</v>
      </c>
      <c r="B100" s="2" t="s">
        <v>17</v>
      </c>
      <c r="C100" s="6">
        <v>42469</v>
      </c>
      <c r="D100" s="6">
        <v>42469</v>
      </c>
      <c r="E100" s="14">
        <v>0</v>
      </c>
      <c r="F100" s="13" t="s">
        <v>6</v>
      </c>
      <c r="G100" s="1" t="s">
        <v>18</v>
      </c>
      <c r="H100" s="1" t="str">
        <f>Tbl_SchMls[[#This Row],[Project Phase]]&amp;Tbl_SchMls[[#This Row],[Planned Date of Completion]]</f>
        <v>Project Start42469</v>
      </c>
      <c r="I100" s="14" t="str">
        <f>Tbl_SchMls[[#This Row],[Project Code]]&amp;Tbl_SchMls[[#This Row],[Project Phase]]</f>
        <v>GGE061Project Start</v>
      </c>
    </row>
    <row r="101" spans="1:9" x14ac:dyDescent="0.25">
      <c r="A101" s="1" t="s">
        <v>2874</v>
      </c>
      <c r="B101" s="2" t="s">
        <v>19</v>
      </c>
      <c r="C101" s="6">
        <v>42472</v>
      </c>
      <c r="D101" s="6">
        <v>42473</v>
      </c>
      <c r="E101" s="14">
        <v>12</v>
      </c>
      <c r="F101" s="13" t="s">
        <v>6</v>
      </c>
      <c r="G101" s="1" t="s">
        <v>18</v>
      </c>
      <c r="H101" s="1" t="str">
        <f>Tbl_SchMls[[#This Row],[Project Phase]]&amp;Tbl_SchMls[[#This Row],[Planned Date of Completion]]</f>
        <v>Requirements Development42472</v>
      </c>
      <c r="I101" s="14" t="str">
        <f>Tbl_SchMls[[#This Row],[Project Code]]&amp;Tbl_SchMls[[#This Row],[Project Phase]]</f>
        <v>GGE061Requirements Development</v>
      </c>
    </row>
    <row r="102" spans="1:9" x14ac:dyDescent="0.25">
      <c r="A102" s="1" t="s">
        <v>2880</v>
      </c>
      <c r="B102" s="2" t="s">
        <v>17</v>
      </c>
      <c r="C102" s="6">
        <v>42587</v>
      </c>
      <c r="D102" s="6">
        <v>42587</v>
      </c>
      <c r="E102" s="14">
        <v>0</v>
      </c>
      <c r="F102" s="13" t="s">
        <v>6</v>
      </c>
      <c r="G102" s="1" t="s">
        <v>18</v>
      </c>
      <c r="H102" s="1" t="str">
        <f>Tbl_SchMls[[#This Row],[Project Phase]]&amp;Tbl_SchMls[[#This Row],[Planned Date of Completion]]</f>
        <v>Project Start42587</v>
      </c>
      <c r="I102" s="14" t="str">
        <f>Tbl_SchMls[[#This Row],[Project Code]]&amp;Tbl_SchMls[[#This Row],[Project Phase]]</f>
        <v>GGE071Project Start</v>
      </c>
    </row>
    <row r="103" spans="1:9" x14ac:dyDescent="0.25">
      <c r="A103" s="1" t="s">
        <v>2880</v>
      </c>
      <c r="B103" s="2" t="s">
        <v>19</v>
      </c>
      <c r="C103" s="6">
        <v>42590</v>
      </c>
      <c r="D103" s="6"/>
      <c r="E103" s="14">
        <v>30</v>
      </c>
      <c r="F103" s="13" t="s">
        <v>6</v>
      </c>
      <c r="G103" s="1" t="s">
        <v>18</v>
      </c>
      <c r="H103" s="1" t="str">
        <f>Tbl_SchMls[[#This Row],[Project Phase]]&amp;Tbl_SchMls[[#This Row],[Planned Date of Completion]]</f>
        <v>Requirements Development42590</v>
      </c>
      <c r="I103" s="14" t="str">
        <f>Tbl_SchMls[[#This Row],[Project Code]]&amp;Tbl_SchMls[[#This Row],[Project Phase]]</f>
        <v>GGE071Requirements Development</v>
      </c>
    </row>
    <row r="104" spans="1:9" x14ac:dyDescent="0.25">
      <c r="A104" s="1" t="s">
        <v>2882</v>
      </c>
      <c r="B104" s="2" t="s">
        <v>17</v>
      </c>
      <c r="C104" s="6">
        <v>42606</v>
      </c>
      <c r="D104" s="6">
        <v>42606</v>
      </c>
      <c r="E104" s="14">
        <v>0</v>
      </c>
      <c r="F104" s="13" t="s">
        <v>6</v>
      </c>
      <c r="G104" s="1" t="s">
        <v>18</v>
      </c>
      <c r="H104" s="1" t="str">
        <f>Tbl_SchMls[[#This Row],[Project Phase]]&amp;Tbl_SchMls[[#This Row],[Planned Date of Completion]]</f>
        <v>Project Start42606</v>
      </c>
      <c r="I104" s="14" t="str">
        <f>Tbl_SchMls[[#This Row],[Project Code]]&amp;Tbl_SchMls[[#This Row],[Project Phase]]</f>
        <v>GGE072Project Start</v>
      </c>
    </row>
    <row r="105" spans="1:9" x14ac:dyDescent="0.25">
      <c r="A105" s="1" t="s">
        <v>2882</v>
      </c>
      <c r="B105" s="2" t="s">
        <v>19</v>
      </c>
      <c r="C105" s="6">
        <v>42609</v>
      </c>
      <c r="D105" s="6">
        <v>42613</v>
      </c>
      <c r="E105" s="14">
        <v>10.87</v>
      </c>
      <c r="F105" s="13" t="s">
        <v>6</v>
      </c>
      <c r="G105" s="1" t="s">
        <v>18</v>
      </c>
      <c r="H105" s="1" t="str">
        <f>Tbl_SchMls[[#This Row],[Project Phase]]&amp;Tbl_SchMls[[#This Row],[Planned Date of Completion]]</f>
        <v>Requirements Development42609</v>
      </c>
      <c r="I105" s="14" t="str">
        <f>Tbl_SchMls[[#This Row],[Project Code]]&amp;Tbl_SchMls[[#This Row],[Project Phase]]</f>
        <v>GGE072Requirements Development</v>
      </c>
    </row>
    <row r="106" spans="1:9" x14ac:dyDescent="0.25">
      <c r="A106" s="1" t="s">
        <v>2882</v>
      </c>
      <c r="B106" s="2" t="s">
        <v>20</v>
      </c>
      <c r="C106" s="6">
        <v>42618</v>
      </c>
      <c r="D106" s="6">
        <v>42620</v>
      </c>
      <c r="E106" s="14">
        <v>16.3</v>
      </c>
      <c r="F106" s="13" t="s">
        <v>6</v>
      </c>
      <c r="G106" s="1" t="s">
        <v>18</v>
      </c>
      <c r="H106" s="1" t="str">
        <f>Tbl_SchMls[[#This Row],[Project Phase]]&amp;Tbl_SchMls[[#This Row],[Planned Date of Completion]]</f>
        <v>Planning42618</v>
      </c>
      <c r="I106" s="14" t="str">
        <f>Tbl_SchMls[[#This Row],[Project Code]]&amp;Tbl_SchMls[[#This Row],[Project Phase]]</f>
        <v>GGE072Planning</v>
      </c>
    </row>
    <row r="107" spans="1:9" x14ac:dyDescent="0.25">
      <c r="A107" s="1" t="s">
        <v>2882</v>
      </c>
      <c r="B107" s="2" t="s">
        <v>32</v>
      </c>
      <c r="C107" s="6">
        <v>42636</v>
      </c>
      <c r="D107" s="6"/>
      <c r="E107" s="14">
        <v>543</v>
      </c>
      <c r="F107" s="13" t="s">
        <v>6</v>
      </c>
      <c r="G107" s="1" t="s">
        <v>18</v>
      </c>
      <c r="H107" s="1" t="str">
        <f>Tbl_SchMls[[#This Row],[Project Phase]]&amp;Tbl_SchMls[[#This Row],[Planned Date of Completion]]</f>
        <v>Design and Implementation42636</v>
      </c>
      <c r="I107" s="14" t="str">
        <f>Tbl_SchMls[[#This Row],[Project Code]]&amp;Tbl_SchMls[[#This Row],[Project Phase]]</f>
        <v>GGE072Design and Implementation</v>
      </c>
    </row>
    <row r="108" spans="1:9" x14ac:dyDescent="0.25">
      <c r="A108" s="1" t="s">
        <v>2882</v>
      </c>
      <c r="B108" s="2" t="s">
        <v>33</v>
      </c>
      <c r="C108" s="6">
        <v>42639</v>
      </c>
      <c r="D108" s="6"/>
      <c r="E108" s="14">
        <v>81.5</v>
      </c>
      <c r="F108" s="13" t="s">
        <v>6</v>
      </c>
      <c r="G108" s="1" t="s">
        <v>18</v>
      </c>
      <c r="H108" s="1" t="str">
        <f>Tbl_SchMls[[#This Row],[Project Phase]]&amp;Tbl_SchMls[[#This Row],[Planned Date of Completion]]</f>
        <v>Integration42639</v>
      </c>
      <c r="I108" s="14" t="str">
        <f>Tbl_SchMls[[#This Row],[Project Code]]&amp;Tbl_SchMls[[#This Row],[Project Phase]]</f>
        <v>GGE072Integration</v>
      </c>
    </row>
    <row r="109" spans="1:9" x14ac:dyDescent="0.25">
      <c r="A109" s="1" t="s">
        <v>2882</v>
      </c>
      <c r="B109" s="2" t="s">
        <v>34</v>
      </c>
      <c r="C109" s="6">
        <v>42655</v>
      </c>
      <c r="D109" s="6"/>
      <c r="E109" s="14">
        <v>326</v>
      </c>
      <c r="F109" s="13" t="s">
        <v>6</v>
      </c>
      <c r="G109" s="1" t="s">
        <v>18</v>
      </c>
      <c r="H109" s="1" t="str">
        <f>Tbl_SchMls[[#This Row],[Project Phase]]&amp;Tbl_SchMls[[#This Row],[Planned Date of Completion]]</f>
        <v>Validation42655</v>
      </c>
      <c r="I109" s="14" t="str">
        <f>Tbl_SchMls[[#This Row],[Project Code]]&amp;Tbl_SchMls[[#This Row],[Project Phase]]</f>
        <v>GGE072Validation</v>
      </c>
    </row>
    <row r="110" spans="1:9" x14ac:dyDescent="0.25">
      <c r="A110" s="1" t="s">
        <v>2882</v>
      </c>
      <c r="B110" s="2" t="s">
        <v>35</v>
      </c>
      <c r="C110" s="6">
        <v>42658</v>
      </c>
      <c r="D110" s="6"/>
      <c r="E110" s="14">
        <v>27</v>
      </c>
      <c r="F110" s="13" t="s">
        <v>6</v>
      </c>
      <c r="G110" s="1" t="s">
        <v>18</v>
      </c>
      <c r="H110" s="1" t="str">
        <f>Tbl_SchMls[[#This Row],[Project Phase]]&amp;Tbl_SchMls[[#This Row],[Planned Date of Completion]]</f>
        <v>Closure and Release42658</v>
      </c>
      <c r="I110" s="14" t="str">
        <f>Tbl_SchMls[[#This Row],[Project Code]]&amp;Tbl_SchMls[[#This Row],[Project Phase]]</f>
        <v>GGE072Closure and Release</v>
      </c>
    </row>
    <row r="111" spans="1:9" x14ac:dyDescent="0.25">
      <c r="A111" s="1" t="s">
        <v>2884</v>
      </c>
      <c r="B111" s="2" t="s">
        <v>17</v>
      </c>
      <c r="C111" s="6">
        <v>42874</v>
      </c>
      <c r="D111" s="6">
        <v>42874</v>
      </c>
      <c r="E111" s="14">
        <v>0</v>
      </c>
      <c r="F111" s="13" t="s">
        <v>6</v>
      </c>
      <c r="G111" s="1" t="s">
        <v>18</v>
      </c>
      <c r="H111" s="1" t="str">
        <f>Tbl_SchMls[[#This Row],[Project Phase]]&amp;Tbl_SchMls[[#This Row],[Planned Date of Completion]]</f>
        <v>Project Start42874</v>
      </c>
      <c r="I111" s="14" t="str">
        <f>Tbl_SchMls[[#This Row],[Project Code]]&amp;Tbl_SchMls[[#This Row],[Project Phase]]</f>
        <v>GGS037Project Start</v>
      </c>
    </row>
    <row r="112" spans="1:9" x14ac:dyDescent="0.25">
      <c r="A112" s="1" t="s">
        <v>2884</v>
      </c>
      <c r="B112" s="2" t="s">
        <v>19</v>
      </c>
      <c r="C112" s="6">
        <v>42881</v>
      </c>
      <c r="D112" s="6">
        <v>42882</v>
      </c>
      <c r="E112" s="14">
        <v>28</v>
      </c>
      <c r="F112" s="13" t="s">
        <v>6</v>
      </c>
      <c r="G112" s="1" t="s">
        <v>18</v>
      </c>
      <c r="H112" s="1" t="str">
        <f>Tbl_SchMls[[#This Row],[Project Phase]]&amp;Tbl_SchMls[[#This Row],[Planned Date of Completion]]</f>
        <v>Requirements Development42881</v>
      </c>
      <c r="I112" s="14" t="str">
        <f>Tbl_SchMls[[#This Row],[Project Code]]&amp;Tbl_SchMls[[#This Row],[Project Phase]]</f>
        <v>GGS037Requirements Development</v>
      </c>
    </row>
    <row r="119" spans="7:9" x14ac:dyDescent="0.25">
      <c r="G119" s="8" t="s">
        <v>99</v>
      </c>
      <c r="H119" t="str">
        <f>VLOOKUP(G119,Tbl_SchMls[Concat],1,FALSE)</f>
        <v>Dummy1Project Start</v>
      </c>
      <c r="I119">
        <f>MATCH(G119,Tbl_SchMls[Concat],0)</f>
        <v>1</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N531"/>
  <sheetViews>
    <sheetView workbookViewId="0">
      <selection activeCell="D4" sqref="D4"/>
    </sheetView>
  </sheetViews>
  <sheetFormatPr defaultRowHeight="15" x14ac:dyDescent="0.25"/>
  <cols>
    <col min="1" max="1" width="7.28515625" bestFit="1" customWidth="1"/>
    <col min="2" max="2" width="28.5703125" bestFit="1" customWidth="1"/>
    <col min="3" max="3" width="12.7109375" bestFit="1" customWidth="1"/>
    <col min="4" max="4" width="15" bestFit="1" customWidth="1"/>
    <col min="5" max="5" width="25.85546875" bestFit="1" customWidth="1"/>
    <col min="6" max="6" width="81.140625" bestFit="1" customWidth="1"/>
    <col min="7" max="7" width="9.140625" bestFit="1" customWidth="1"/>
    <col min="8" max="8" width="81.140625" bestFit="1" customWidth="1"/>
    <col min="9" max="9" width="14.5703125" bestFit="1" customWidth="1"/>
    <col min="10" max="10" width="30.42578125" bestFit="1" customWidth="1"/>
    <col min="11" max="11" width="22.7109375" bestFit="1" customWidth="1"/>
    <col min="12" max="12" width="12.140625" bestFit="1" customWidth="1"/>
    <col min="13" max="13" width="36.28515625" bestFit="1" customWidth="1"/>
    <col min="14" max="14" width="5.140625" bestFit="1" customWidth="1"/>
  </cols>
  <sheetData>
    <row r="1" spans="1:14" x14ac:dyDescent="0.25">
      <c r="A1" t="s">
        <v>0</v>
      </c>
      <c r="B1" t="s">
        <v>54</v>
      </c>
      <c r="C1" t="s">
        <v>57</v>
      </c>
      <c r="D1" t="s">
        <v>58</v>
      </c>
      <c r="E1" t="s">
        <v>59</v>
      </c>
      <c r="F1" t="s">
        <v>60</v>
      </c>
      <c r="G1" t="s">
        <v>27</v>
      </c>
      <c r="H1" t="s">
        <v>61</v>
      </c>
      <c r="I1" t="s">
        <v>31</v>
      </c>
      <c r="J1" t="s">
        <v>55</v>
      </c>
      <c r="K1" t="s">
        <v>56</v>
      </c>
      <c r="L1" t="s">
        <v>3</v>
      </c>
      <c r="M1" t="s">
        <v>2</v>
      </c>
      <c r="N1" t="s">
        <v>234</v>
      </c>
    </row>
    <row r="2" spans="1:14" x14ac:dyDescent="0.25">
      <c r="A2" s="1"/>
      <c r="B2" s="2" t="s">
        <v>4</v>
      </c>
      <c r="C2" s="4">
        <v>42195</v>
      </c>
      <c r="D2" s="2" t="s">
        <v>75</v>
      </c>
      <c r="E2" s="2" t="s">
        <v>77</v>
      </c>
      <c r="F2" s="7" t="s">
        <v>45</v>
      </c>
      <c r="G2" s="2" t="s">
        <v>213</v>
      </c>
      <c r="H2" s="7"/>
      <c r="I2" s="4"/>
      <c r="J2" s="2" t="s">
        <v>42</v>
      </c>
      <c r="K2" s="2" t="s">
        <v>36</v>
      </c>
      <c r="L2" s="1" t="s">
        <v>6</v>
      </c>
      <c r="M2" s="1" t="s">
        <v>76</v>
      </c>
      <c r="N2" s="1">
        <v>2</v>
      </c>
    </row>
    <row r="3" spans="1:14" x14ac:dyDescent="0.25">
      <c r="A3" s="1"/>
      <c r="B3" s="2" t="s">
        <v>4</v>
      </c>
      <c r="C3" s="4">
        <v>42195</v>
      </c>
      <c r="D3" s="2" t="s">
        <v>79</v>
      </c>
      <c r="E3" s="2" t="s">
        <v>80</v>
      </c>
      <c r="F3" s="7" t="s">
        <v>40</v>
      </c>
      <c r="G3" s="2" t="s">
        <v>213</v>
      </c>
      <c r="H3" s="7"/>
      <c r="I3" s="4"/>
      <c r="J3" s="2" t="s">
        <v>78</v>
      </c>
      <c r="K3" s="2" t="s">
        <v>116</v>
      </c>
      <c r="L3" s="1" t="s">
        <v>6</v>
      </c>
      <c r="M3" s="1" t="s">
        <v>76</v>
      </c>
      <c r="N3" s="1">
        <v>3</v>
      </c>
    </row>
    <row r="4" spans="1:14" x14ac:dyDescent="0.25">
      <c r="A4" s="1"/>
      <c r="B4" s="2" t="s">
        <v>7</v>
      </c>
      <c r="C4" s="4">
        <v>42195</v>
      </c>
      <c r="D4" s="2" t="s">
        <v>75</v>
      </c>
      <c r="E4" s="2" t="s">
        <v>80</v>
      </c>
      <c r="F4" s="7" t="s">
        <v>45</v>
      </c>
      <c r="G4" s="2" t="s">
        <v>213</v>
      </c>
      <c r="H4" s="7"/>
      <c r="I4" s="4"/>
      <c r="J4" s="2" t="s">
        <v>41</v>
      </c>
      <c r="K4" s="2" t="s">
        <v>116</v>
      </c>
      <c r="L4" s="1" t="s">
        <v>6</v>
      </c>
      <c r="M4" s="1" t="s">
        <v>76</v>
      </c>
      <c r="N4" s="1">
        <v>5</v>
      </c>
    </row>
    <row r="5" spans="1:14" x14ac:dyDescent="0.25">
      <c r="A5" s="1"/>
      <c r="B5" s="2" t="s">
        <v>7</v>
      </c>
      <c r="C5" s="4">
        <v>42195</v>
      </c>
      <c r="D5" s="2" t="s">
        <v>79</v>
      </c>
      <c r="E5" s="2" t="s">
        <v>85</v>
      </c>
      <c r="F5" s="7" t="s">
        <v>45</v>
      </c>
      <c r="G5" s="2" t="s">
        <v>213</v>
      </c>
      <c r="H5" s="7"/>
      <c r="I5" s="4"/>
      <c r="J5" s="2" t="s">
        <v>41</v>
      </c>
      <c r="K5" s="2" t="s">
        <v>116</v>
      </c>
      <c r="L5" s="1" t="s">
        <v>6</v>
      </c>
      <c r="M5" s="1" t="s">
        <v>76</v>
      </c>
      <c r="N5" s="1">
        <v>6</v>
      </c>
    </row>
    <row r="6" spans="1:14" x14ac:dyDescent="0.25">
      <c r="A6" s="1"/>
      <c r="B6" s="2" t="s">
        <v>103</v>
      </c>
      <c r="C6" s="4">
        <v>42196</v>
      </c>
      <c r="D6" s="2" t="s">
        <v>79</v>
      </c>
      <c r="E6" s="2" t="s">
        <v>235</v>
      </c>
      <c r="F6" s="7" t="s">
        <v>318</v>
      </c>
      <c r="G6" s="2" t="s">
        <v>213</v>
      </c>
      <c r="H6" s="7" t="s">
        <v>236</v>
      </c>
      <c r="I6" s="4">
        <v>42198</v>
      </c>
      <c r="J6" s="2" t="s">
        <v>42</v>
      </c>
      <c r="K6" s="2" t="s">
        <v>36</v>
      </c>
      <c r="L6" s="1" t="s">
        <v>6</v>
      </c>
      <c r="M6" s="1" t="s">
        <v>76</v>
      </c>
      <c r="N6" s="1">
        <v>8</v>
      </c>
    </row>
    <row r="7" spans="1:14" ht="30" x14ac:dyDescent="0.25">
      <c r="A7" s="1"/>
      <c r="B7" s="2" t="s">
        <v>103</v>
      </c>
      <c r="C7" s="4">
        <v>42196</v>
      </c>
      <c r="D7" s="2" t="s">
        <v>79</v>
      </c>
      <c r="E7" s="2" t="s">
        <v>235</v>
      </c>
      <c r="F7" s="7" t="s">
        <v>319</v>
      </c>
      <c r="G7" s="2" t="s">
        <v>213</v>
      </c>
      <c r="H7" s="7" t="s">
        <v>237</v>
      </c>
      <c r="I7" s="4">
        <v>42198</v>
      </c>
      <c r="J7" s="2" t="s">
        <v>42</v>
      </c>
      <c r="K7" s="2" t="s">
        <v>36</v>
      </c>
      <c r="L7" s="1" t="s">
        <v>6</v>
      </c>
      <c r="M7" s="1" t="s">
        <v>76</v>
      </c>
      <c r="N7" s="1">
        <v>9</v>
      </c>
    </row>
    <row r="8" spans="1:14" ht="30" x14ac:dyDescent="0.25">
      <c r="A8" s="1"/>
      <c r="B8" s="2" t="s">
        <v>103</v>
      </c>
      <c r="C8" s="4">
        <v>42196</v>
      </c>
      <c r="D8" s="2" t="s">
        <v>75</v>
      </c>
      <c r="E8" s="2" t="s">
        <v>235</v>
      </c>
      <c r="F8" s="7" t="s">
        <v>320</v>
      </c>
      <c r="G8" s="2" t="s">
        <v>213</v>
      </c>
      <c r="H8" s="7" t="s">
        <v>238</v>
      </c>
      <c r="I8" s="4">
        <v>42198</v>
      </c>
      <c r="J8" s="2" t="s">
        <v>42</v>
      </c>
      <c r="K8" s="2" t="s">
        <v>36</v>
      </c>
      <c r="L8" s="1" t="s">
        <v>6</v>
      </c>
      <c r="M8" s="1" t="s">
        <v>76</v>
      </c>
      <c r="N8" s="1">
        <v>10</v>
      </c>
    </row>
    <row r="9" spans="1:14" ht="30" x14ac:dyDescent="0.25">
      <c r="A9" s="1"/>
      <c r="B9" s="2" t="s">
        <v>103</v>
      </c>
      <c r="C9" s="4">
        <v>42196</v>
      </c>
      <c r="D9" s="2" t="s">
        <v>75</v>
      </c>
      <c r="E9" s="2" t="s">
        <v>235</v>
      </c>
      <c r="F9" s="7" t="s">
        <v>321</v>
      </c>
      <c r="G9" s="2" t="s">
        <v>213</v>
      </c>
      <c r="H9" s="7" t="s">
        <v>236</v>
      </c>
      <c r="I9" s="4">
        <v>42198</v>
      </c>
      <c r="J9" s="2" t="s">
        <v>42</v>
      </c>
      <c r="K9" s="2" t="s">
        <v>36</v>
      </c>
      <c r="L9" s="1" t="s">
        <v>6</v>
      </c>
      <c r="M9" s="1" t="s">
        <v>76</v>
      </c>
      <c r="N9" s="1">
        <v>11</v>
      </c>
    </row>
    <row r="10" spans="1:14" x14ac:dyDescent="0.25">
      <c r="A10" s="1"/>
      <c r="B10" s="2" t="s">
        <v>103</v>
      </c>
      <c r="C10" s="4">
        <v>42196</v>
      </c>
      <c r="D10" s="2" t="s">
        <v>75</v>
      </c>
      <c r="E10" s="2" t="s">
        <v>235</v>
      </c>
      <c r="F10" s="7" t="s">
        <v>322</v>
      </c>
      <c r="G10" s="2" t="s">
        <v>213</v>
      </c>
      <c r="H10" s="7" t="s">
        <v>236</v>
      </c>
      <c r="I10" s="4">
        <v>42198</v>
      </c>
      <c r="J10" s="2" t="s">
        <v>42</v>
      </c>
      <c r="K10" s="2" t="s">
        <v>36</v>
      </c>
      <c r="L10" s="1" t="s">
        <v>6</v>
      </c>
      <c r="M10" s="1" t="s">
        <v>76</v>
      </c>
      <c r="N10" s="1">
        <v>12</v>
      </c>
    </row>
    <row r="11" spans="1:14" ht="30" x14ac:dyDescent="0.25">
      <c r="A11" s="1"/>
      <c r="B11" s="2" t="s">
        <v>103</v>
      </c>
      <c r="C11" s="4">
        <v>42196</v>
      </c>
      <c r="D11" s="2" t="s">
        <v>79</v>
      </c>
      <c r="E11" s="2" t="s">
        <v>235</v>
      </c>
      <c r="F11" s="7" t="s">
        <v>323</v>
      </c>
      <c r="G11" s="2" t="s">
        <v>213</v>
      </c>
      <c r="H11" s="7" t="s">
        <v>237</v>
      </c>
      <c r="I11" s="4">
        <v>42198</v>
      </c>
      <c r="J11" s="2" t="s">
        <v>42</v>
      </c>
      <c r="K11" s="2" t="s">
        <v>36</v>
      </c>
      <c r="L11" s="1" t="s">
        <v>6</v>
      </c>
      <c r="M11" s="1" t="s">
        <v>76</v>
      </c>
      <c r="N11" s="1">
        <v>13</v>
      </c>
    </row>
    <row r="12" spans="1:14" ht="30" x14ac:dyDescent="0.25">
      <c r="A12" s="1"/>
      <c r="B12" s="2" t="s">
        <v>103</v>
      </c>
      <c r="C12" s="4">
        <v>42196</v>
      </c>
      <c r="D12" s="2" t="s">
        <v>79</v>
      </c>
      <c r="E12" s="2" t="s">
        <v>235</v>
      </c>
      <c r="F12" s="7" t="s">
        <v>324</v>
      </c>
      <c r="G12" s="2" t="s">
        <v>213</v>
      </c>
      <c r="H12" s="7" t="s">
        <v>239</v>
      </c>
      <c r="I12" s="4">
        <v>42198</v>
      </c>
      <c r="J12" s="2" t="s">
        <v>42</v>
      </c>
      <c r="K12" s="2" t="s">
        <v>36</v>
      </c>
      <c r="L12" s="1" t="s">
        <v>6</v>
      </c>
      <c r="M12" s="1" t="s">
        <v>76</v>
      </c>
      <c r="N12" s="1">
        <v>14</v>
      </c>
    </row>
    <row r="13" spans="1:14" ht="30" x14ac:dyDescent="0.25">
      <c r="A13" s="1"/>
      <c r="B13" s="2" t="s">
        <v>103</v>
      </c>
      <c r="C13" s="4">
        <v>42196</v>
      </c>
      <c r="D13" s="2" t="s">
        <v>75</v>
      </c>
      <c r="E13" s="2" t="s">
        <v>235</v>
      </c>
      <c r="F13" s="7" t="s">
        <v>325</v>
      </c>
      <c r="G13" s="2" t="s">
        <v>213</v>
      </c>
      <c r="H13" s="7" t="s">
        <v>237</v>
      </c>
      <c r="I13" s="4">
        <v>42198</v>
      </c>
      <c r="J13" s="2" t="s">
        <v>42</v>
      </c>
      <c r="K13" s="2" t="s">
        <v>36</v>
      </c>
      <c r="L13" s="1" t="s">
        <v>6</v>
      </c>
      <c r="M13" s="1" t="s">
        <v>76</v>
      </c>
      <c r="N13" s="1">
        <v>15</v>
      </c>
    </row>
    <row r="14" spans="1:14" x14ac:dyDescent="0.25">
      <c r="A14" s="1"/>
      <c r="B14" s="2" t="s">
        <v>103</v>
      </c>
      <c r="C14" s="4">
        <v>42196</v>
      </c>
      <c r="D14" s="2" t="s">
        <v>79</v>
      </c>
      <c r="E14" s="2" t="s">
        <v>235</v>
      </c>
      <c r="F14" s="7" t="s">
        <v>326</v>
      </c>
      <c r="G14" s="2" t="s">
        <v>213</v>
      </c>
      <c r="H14" s="7" t="s">
        <v>240</v>
      </c>
      <c r="I14" s="4">
        <v>42198</v>
      </c>
      <c r="J14" s="2" t="s">
        <v>42</v>
      </c>
      <c r="K14" s="2" t="s">
        <v>36</v>
      </c>
      <c r="L14" s="1" t="s">
        <v>6</v>
      </c>
      <c r="M14" s="1" t="s">
        <v>76</v>
      </c>
      <c r="N14" s="1">
        <v>16</v>
      </c>
    </row>
    <row r="15" spans="1:14" x14ac:dyDescent="0.25">
      <c r="A15" s="1"/>
      <c r="B15" s="2" t="s">
        <v>103</v>
      </c>
      <c r="C15" s="4">
        <v>42196</v>
      </c>
      <c r="D15" s="2" t="s">
        <v>79</v>
      </c>
      <c r="E15" s="2" t="s">
        <v>235</v>
      </c>
      <c r="F15" s="7" t="s">
        <v>327</v>
      </c>
      <c r="G15" s="2" t="s">
        <v>213</v>
      </c>
      <c r="H15" s="7" t="s">
        <v>241</v>
      </c>
      <c r="I15" s="4">
        <v>42198</v>
      </c>
      <c r="J15" s="2" t="s">
        <v>42</v>
      </c>
      <c r="K15" s="2" t="s">
        <v>36</v>
      </c>
      <c r="L15" s="1" t="s">
        <v>6</v>
      </c>
      <c r="M15" s="1" t="s">
        <v>76</v>
      </c>
      <c r="N15" s="1">
        <v>17</v>
      </c>
    </row>
    <row r="16" spans="1:14" x14ac:dyDescent="0.25">
      <c r="A16" s="1"/>
      <c r="B16" s="2" t="s">
        <v>103</v>
      </c>
      <c r="C16" s="4">
        <v>42196</v>
      </c>
      <c r="D16" s="2" t="s">
        <v>79</v>
      </c>
      <c r="E16" s="2" t="s">
        <v>235</v>
      </c>
      <c r="F16" s="7" t="s">
        <v>328</v>
      </c>
      <c r="G16" s="2" t="s">
        <v>213</v>
      </c>
      <c r="H16" s="7" t="s">
        <v>236</v>
      </c>
      <c r="I16" s="4">
        <v>42198</v>
      </c>
      <c r="J16" s="2" t="s">
        <v>42</v>
      </c>
      <c r="K16" s="2" t="s">
        <v>36</v>
      </c>
      <c r="L16" s="1" t="s">
        <v>6</v>
      </c>
      <c r="M16" s="1" t="s">
        <v>76</v>
      </c>
      <c r="N16" s="1">
        <v>18</v>
      </c>
    </row>
    <row r="17" spans="1:14" x14ac:dyDescent="0.25">
      <c r="A17" s="1"/>
      <c r="B17" s="2" t="s">
        <v>103</v>
      </c>
      <c r="C17" s="4">
        <v>42196</v>
      </c>
      <c r="D17" s="2" t="s">
        <v>79</v>
      </c>
      <c r="E17" s="2" t="s">
        <v>235</v>
      </c>
      <c r="F17" s="7" t="s">
        <v>329</v>
      </c>
      <c r="G17" s="2" t="s">
        <v>213</v>
      </c>
      <c r="H17" s="7" t="s">
        <v>236</v>
      </c>
      <c r="I17" s="4">
        <v>42198</v>
      </c>
      <c r="J17" s="2" t="s">
        <v>42</v>
      </c>
      <c r="K17" s="2" t="s">
        <v>36</v>
      </c>
      <c r="L17" s="1" t="s">
        <v>6</v>
      </c>
      <c r="M17" s="1" t="s">
        <v>76</v>
      </c>
      <c r="N17" s="1">
        <v>19</v>
      </c>
    </row>
    <row r="18" spans="1:14" ht="30" x14ac:dyDescent="0.25">
      <c r="A18" s="1"/>
      <c r="B18" s="2" t="s">
        <v>103</v>
      </c>
      <c r="C18" s="4">
        <v>42196</v>
      </c>
      <c r="D18" s="2" t="s">
        <v>79</v>
      </c>
      <c r="E18" s="2" t="s">
        <v>235</v>
      </c>
      <c r="F18" s="7" t="s">
        <v>330</v>
      </c>
      <c r="G18" s="2" t="s">
        <v>213</v>
      </c>
      <c r="H18" s="7" t="s">
        <v>237</v>
      </c>
      <c r="I18" s="4">
        <v>42198</v>
      </c>
      <c r="J18" s="2" t="s">
        <v>42</v>
      </c>
      <c r="K18" s="2" t="s">
        <v>36</v>
      </c>
      <c r="L18" s="1" t="s">
        <v>6</v>
      </c>
      <c r="M18" s="1" t="s">
        <v>76</v>
      </c>
      <c r="N18" s="1">
        <v>20</v>
      </c>
    </row>
    <row r="19" spans="1:14" x14ac:dyDescent="0.25">
      <c r="A19" s="1"/>
      <c r="B19" s="2" t="s">
        <v>103</v>
      </c>
      <c r="C19" s="4">
        <v>42196</v>
      </c>
      <c r="D19" s="2" t="s">
        <v>79</v>
      </c>
      <c r="E19" s="2" t="s">
        <v>235</v>
      </c>
      <c r="F19" s="7" t="s">
        <v>331</v>
      </c>
      <c r="G19" s="2" t="s">
        <v>213</v>
      </c>
      <c r="H19" s="7" t="s">
        <v>237</v>
      </c>
      <c r="I19" s="4">
        <v>42198</v>
      </c>
      <c r="J19" s="2" t="s">
        <v>42</v>
      </c>
      <c r="K19" s="2" t="s">
        <v>36</v>
      </c>
      <c r="L19" s="1" t="s">
        <v>6</v>
      </c>
      <c r="M19" s="1" t="s">
        <v>76</v>
      </c>
      <c r="N19" s="1">
        <v>21</v>
      </c>
    </row>
    <row r="20" spans="1:14" x14ac:dyDescent="0.25">
      <c r="A20" s="1"/>
      <c r="B20" s="2" t="s">
        <v>103</v>
      </c>
      <c r="C20" s="4">
        <v>42196</v>
      </c>
      <c r="D20" s="2" t="s">
        <v>79</v>
      </c>
      <c r="E20" s="2" t="s">
        <v>235</v>
      </c>
      <c r="F20" s="7" t="s">
        <v>332</v>
      </c>
      <c r="G20" s="2" t="s">
        <v>213</v>
      </c>
      <c r="H20" s="7" t="s">
        <v>242</v>
      </c>
      <c r="I20" s="4"/>
      <c r="J20" s="2" t="s">
        <v>42</v>
      </c>
      <c r="K20" s="2" t="s">
        <v>36</v>
      </c>
      <c r="L20" s="1" t="s">
        <v>6</v>
      </c>
      <c r="M20" s="1" t="s">
        <v>76</v>
      </c>
      <c r="N20" s="1">
        <v>22</v>
      </c>
    </row>
    <row r="21" spans="1:14" ht="30" x14ac:dyDescent="0.25">
      <c r="A21" s="1"/>
      <c r="B21" s="2" t="s">
        <v>103</v>
      </c>
      <c r="C21" s="4">
        <v>42198</v>
      </c>
      <c r="D21" s="2" t="s">
        <v>79</v>
      </c>
      <c r="E21" s="2" t="s">
        <v>235</v>
      </c>
      <c r="F21" s="7" t="s">
        <v>333</v>
      </c>
      <c r="G21" s="2" t="s">
        <v>213</v>
      </c>
      <c r="H21" s="7" t="s">
        <v>237</v>
      </c>
      <c r="I21" s="4">
        <v>42198</v>
      </c>
      <c r="J21" s="2" t="s">
        <v>42</v>
      </c>
      <c r="K21" s="2" t="s">
        <v>36</v>
      </c>
      <c r="L21" s="1" t="s">
        <v>6</v>
      </c>
      <c r="M21" s="1" t="s">
        <v>76</v>
      </c>
      <c r="N21" s="1">
        <v>23</v>
      </c>
    </row>
    <row r="22" spans="1:14" ht="30" x14ac:dyDescent="0.25">
      <c r="A22" s="1"/>
      <c r="B22" s="2" t="s">
        <v>103</v>
      </c>
      <c r="C22" s="4">
        <v>42198</v>
      </c>
      <c r="D22" s="2" t="s">
        <v>79</v>
      </c>
      <c r="E22" s="2" t="s">
        <v>235</v>
      </c>
      <c r="F22" s="7" t="s">
        <v>334</v>
      </c>
      <c r="G22" s="2" t="s">
        <v>213</v>
      </c>
      <c r="H22" s="7" t="s">
        <v>237</v>
      </c>
      <c r="I22" s="4">
        <v>42198</v>
      </c>
      <c r="J22" s="2" t="s">
        <v>42</v>
      </c>
      <c r="K22" s="2" t="s">
        <v>36</v>
      </c>
      <c r="L22" s="1" t="s">
        <v>6</v>
      </c>
      <c r="M22" s="1" t="s">
        <v>76</v>
      </c>
      <c r="N22" s="1">
        <v>24</v>
      </c>
    </row>
    <row r="23" spans="1:14" ht="30" x14ac:dyDescent="0.25">
      <c r="A23" s="1"/>
      <c r="B23" s="2" t="s">
        <v>103</v>
      </c>
      <c r="C23" s="4">
        <v>42198</v>
      </c>
      <c r="D23" s="2" t="s">
        <v>79</v>
      </c>
      <c r="E23" s="2" t="s">
        <v>235</v>
      </c>
      <c r="F23" s="7" t="s">
        <v>335</v>
      </c>
      <c r="G23" s="2" t="s">
        <v>213</v>
      </c>
      <c r="H23" s="7" t="s">
        <v>236</v>
      </c>
      <c r="I23" s="4">
        <v>42198</v>
      </c>
      <c r="J23" s="2" t="s">
        <v>42</v>
      </c>
      <c r="K23" s="2" t="s">
        <v>36</v>
      </c>
      <c r="L23" s="1" t="s">
        <v>6</v>
      </c>
      <c r="M23" s="1" t="s">
        <v>76</v>
      </c>
      <c r="N23" s="1">
        <v>25</v>
      </c>
    </row>
    <row r="24" spans="1:14" ht="30" x14ac:dyDescent="0.25">
      <c r="A24" s="1"/>
      <c r="B24" s="2" t="s">
        <v>103</v>
      </c>
      <c r="C24" s="4">
        <v>42198</v>
      </c>
      <c r="D24" s="2" t="s">
        <v>79</v>
      </c>
      <c r="E24" s="2" t="s">
        <v>235</v>
      </c>
      <c r="F24" s="7" t="s">
        <v>336</v>
      </c>
      <c r="G24" s="2" t="s">
        <v>213</v>
      </c>
      <c r="H24" s="7" t="s">
        <v>237</v>
      </c>
      <c r="I24" s="4">
        <v>42198</v>
      </c>
      <c r="J24" s="2" t="s">
        <v>42</v>
      </c>
      <c r="K24" s="2" t="s">
        <v>36</v>
      </c>
      <c r="L24" s="1" t="s">
        <v>6</v>
      </c>
      <c r="M24" s="1" t="s">
        <v>76</v>
      </c>
      <c r="N24" s="1">
        <v>26</v>
      </c>
    </row>
    <row r="25" spans="1:14" ht="30" x14ac:dyDescent="0.25">
      <c r="A25" s="1"/>
      <c r="B25" s="2" t="s">
        <v>103</v>
      </c>
      <c r="C25" s="4">
        <v>42198</v>
      </c>
      <c r="D25" s="2" t="s">
        <v>79</v>
      </c>
      <c r="E25" s="2" t="s">
        <v>235</v>
      </c>
      <c r="F25" s="7" t="s">
        <v>337</v>
      </c>
      <c r="G25" s="2" t="s">
        <v>213</v>
      </c>
      <c r="H25" s="7" t="s">
        <v>237</v>
      </c>
      <c r="I25" s="4">
        <v>42198</v>
      </c>
      <c r="J25" s="2" t="s">
        <v>42</v>
      </c>
      <c r="K25" s="2" t="s">
        <v>36</v>
      </c>
      <c r="L25" s="1" t="s">
        <v>6</v>
      </c>
      <c r="M25" s="1" t="s">
        <v>76</v>
      </c>
      <c r="N25" s="1">
        <v>27</v>
      </c>
    </row>
    <row r="26" spans="1:14" ht="30" x14ac:dyDescent="0.25">
      <c r="A26" s="1"/>
      <c r="B26" s="2" t="s">
        <v>103</v>
      </c>
      <c r="C26" s="4">
        <v>42198</v>
      </c>
      <c r="D26" s="2" t="s">
        <v>79</v>
      </c>
      <c r="E26" s="2" t="s">
        <v>235</v>
      </c>
      <c r="F26" s="7" t="s">
        <v>338</v>
      </c>
      <c r="G26" s="2" t="s">
        <v>213</v>
      </c>
      <c r="H26" s="7" t="s">
        <v>237</v>
      </c>
      <c r="I26" s="4">
        <v>42198</v>
      </c>
      <c r="J26" s="2" t="s">
        <v>42</v>
      </c>
      <c r="K26" s="2" t="s">
        <v>36</v>
      </c>
      <c r="L26" s="1" t="s">
        <v>6</v>
      </c>
      <c r="M26" s="1" t="s">
        <v>76</v>
      </c>
      <c r="N26" s="1">
        <v>28</v>
      </c>
    </row>
    <row r="27" spans="1:14" ht="30" x14ac:dyDescent="0.25">
      <c r="A27" s="1"/>
      <c r="B27" s="2" t="s">
        <v>103</v>
      </c>
      <c r="C27" s="4">
        <v>42198</v>
      </c>
      <c r="D27" s="2" t="s">
        <v>79</v>
      </c>
      <c r="E27" s="2" t="s">
        <v>235</v>
      </c>
      <c r="F27" s="7" t="s">
        <v>339</v>
      </c>
      <c r="G27" s="2" t="s">
        <v>213</v>
      </c>
      <c r="H27" s="7" t="s">
        <v>237</v>
      </c>
      <c r="I27" s="4">
        <v>42198</v>
      </c>
      <c r="J27" s="2" t="s">
        <v>42</v>
      </c>
      <c r="K27" s="2" t="s">
        <v>36</v>
      </c>
      <c r="L27" s="1" t="s">
        <v>6</v>
      </c>
      <c r="M27" s="1" t="s">
        <v>76</v>
      </c>
      <c r="N27" s="1">
        <v>29</v>
      </c>
    </row>
    <row r="28" spans="1:14" ht="30" x14ac:dyDescent="0.25">
      <c r="A28" s="1"/>
      <c r="B28" s="2" t="s">
        <v>103</v>
      </c>
      <c r="C28" s="4">
        <v>42198</v>
      </c>
      <c r="D28" s="2" t="s">
        <v>75</v>
      </c>
      <c r="E28" s="2" t="s">
        <v>235</v>
      </c>
      <c r="F28" s="7" t="s">
        <v>340</v>
      </c>
      <c r="G28" s="2" t="s">
        <v>213</v>
      </c>
      <c r="H28" s="7" t="s">
        <v>243</v>
      </c>
      <c r="I28" s="4">
        <v>42198</v>
      </c>
      <c r="J28" s="2" t="s">
        <v>42</v>
      </c>
      <c r="K28" s="2" t="s">
        <v>36</v>
      </c>
      <c r="L28" s="1" t="s">
        <v>6</v>
      </c>
      <c r="M28" s="1" t="s">
        <v>76</v>
      </c>
      <c r="N28" s="1">
        <v>30</v>
      </c>
    </row>
    <row r="29" spans="1:14" ht="30" x14ac:dyDescent="0.25">
      <c r="A29" s="1"/>
      <c r="B29" s="2" t="s">
        <v>103</v>
      </c>
      <c r="C29" s="4">
        <v>42198</v>
      </c>
      <c r="D29" s="2" t="s">
        <v>79</v>
      </c>
      <c r="E29" s="2" t="s">
        <v>235</v>
      </c>
      <c r="F29" s="7" t="s">
        <v>341</v>
      </c>
      <c r="G29" s="2" t="s">
        <v>213</v>
      </c>
      <c r="H29" s="7" t="s">
        <v>237</v>
      </c>
      <c r="I29" s="4">
        <v>42198</v>
      </c>
      <c r="J29" s="2" t="s">
        <v>42</v>
      </c>
      <c r="K29" s="2" t="s">
        <v>36</v>
      </c>
      <c r="L29" s="1" t="s">
        <v>6</v>
      </c>
      <c r="M29" s="1" t="s">
        <v>76</v>
      </c>
      <c r="N29" s="1">
        <v>31</v>
      </c>
    </row>
    <row r="30" spans="1:14" ht="30" x14ac:dyDescent="0.25">
      <c r="A30" s="1"/>
      <c r="B30" s="2" t="s">
        <v>103</v>
      </c>
      <c r="C30" s="4">
        <v>42198</v>
      </c>
      <c r="D30" s="2" t="s">
        <v>79</v>
      </c>
      <c r="E30" s="2" t="s">
        <v>235</v>
      </c>
      <c r="F30" s="7" t="s">
        <v>342</v>
      </c>
      <c r="G30" s="2" t="s">
        <v>213</v>
      </c>
      <c r="H30" s="7" t="s">
        <v>237</v>
      </c>
      <c r="I30" s="4">
        <v>42198</v>
      </c>
      <c r="J30" s="2" t="s">
        <v>42</v>
      </c>
      <c r="K30" s="2" t="s">
        <v>36</v>
      </c>
      <c r="L30" s="1" t="s">
        <v>6</v>
      </c>
      <c r="M30" s="1" t="s">
        <v>76</v>
      </c>
      <c r="N30" s="1">
        <v>32</v>
      </c>
    </row>
    <row r="31" spans="1:14" ht="30" x14ac:dyDescent="0.25">
      <c r="A31" s="1"/>
      <c r="B31" s="2" t="s">
        <v>103</v>
      </c>
      <c r="C31" s="4">
        <v>42198</v>
      </c>
      <c r="D31" s="2" t="s">
        <v>75</v>
      </c>
      <c r="E31" s="2" t="s">
        <v>235</v>
      </c>
      <c r="F31" s="7" t="s">
        <v>343</v>
      </c>
      <c r="G31" s="2" t="s">
        <v>213</v>
      </c>
      <c r="H31" s="7" t="s">
        <v>244</v>
      </c>
      <c r="I31" s="4">
        <v>42198</v>
      </c>
      <c r="J31" s="2" t="s">
        <v>42</v>
      </c>
      <c r="K31" s="2" t="s">
        <v>36</v>
      </c>
      <c r="L31" s="1" t="s">
        <v>6</v>
      </c>
      <c r="M31" s="1" t="s">
        <v>76</v>
      </c>
      <c r="N31" s="1">
        <v>33</v>
      </c>
    </row>
    <row r="32" spans="1:14" ht="30" x14ac:dyDescent="0.25">
      <c r="A32" s="1"/>
      <c r="B32" s="2" t="s">
        <v>103</v>
      </c>
      <c r="C32" s="4">
        <v>42198</v>
      </c>
      <c r="D32" s="2" t="s">
        <v>79</v>
      </c>
      <c r="E32" s="2" t="s">
        <v>235</v>
      </c>
      <c r="F32" s="7" t="s">
        <v>344</v>
      </c>
      <c r="G32" s="2" t="s">
        <v>213</v>
      </c>
      <c r="H32" s="7" t="s">
        <v>237</v>
      </c>
      <c r="I32" s="4">
        <v>42198</v>
      </c>
      <c r="J32" s="2" t="s">
        <v>42</v>
      </c>
      <c r="K32" s="2" t="s">
        <v>36</v>
      </c>
      <c r="L32" s="1" t="s">
        <v>6</v>
      </c>
      <c r="M32" s="1" t="s">
        <v>76</v>
      </c>
      <c r="N32" s="1">
        <v>34</v>
      </c>
    </row>
    <row r="33" spans="1:14" ht="30" x14ac:dyDescent="0.25">
      <c r="A33" s="1"/>
      <c r="B33" s="2" t="s">
        <v>103</v>
      </c>
      <c r="C33" s="4">
        <v>42198</v>
      </c>
      <c r="D33" s="2" t="s">
        <v>79</v>
      </c>
      <c r="E33" s="2" t="s">
        <v>235</v>
      </c>
      <c r="F33" s="7" t="s">
        <v>345</v>
      </c>
      <c r="G33" s="2" t="s">
        <v>213</v>
      </c>
      <c r="H33" s="7" t="s">
        <v>236</v>
      </c>
      <c r="I33" s="4">
        <v>42198</v>
      </c>
      <c r="J33" s="2" t="s">
        <v>42</v>
      </c>
      <c r="K33" s="2" t="s">
        <v>36</v>
      </c>
      <c r="L33" s="1" t="s">
        <v>6</v>
      </c>
      <c r="M33" s="1" t="s">
        <v>76</v>
      </c>
      <c r="N33" s="1">
        <v>35</v>
      </c>
    </row>
    <row r="34" spans="1:14" ht="30" x14ac:dyDescent="0.25">
      <c r="A34" s="1"/>
      <c r="B34" s="2" t="s">
        <v>103</v>
      </c>
      <c r="C34" s="4">
        <v>42198</v>
      </c>
      <c r="D34" s="2" t="s">
        <v>79</v>
      </c>
      <c r="E34" s="2" t="s">
        <v>245</v>
      </c>
      <c r="F34" s="7" t="s">
        <v>346</v>
      </c>
      <c r="G34" s="2" t="s">
        <v>213</v>
      </c>
      <c r="H34" s="7" t="s">
        <v>236</v>
      </c>
      <c r="I34" s="4">
        <v>42198</v>
      </c>
      <c r="J34" s="2" t="s">
        <v>42</v>
      </c>
      <c r="K34" s="2" t="s">
        <v>36</v>
      </c>
      <c r="L34" s="1" t="s">
        <v>6</v>
      </c>
      <c r="M34" s="1" t="s">
        <v>76</v>
      </c>
      <c r="N34" s="1">
        <v>36</v>
      </c>
    </row>
    <row r="35" spans="1:14" ht="30" x14ac:dyDescent="0.25">
      <c r="A35" s="1"/>
      <c r="B35" s="2" t="s">
        <v>103</v>
      </c>
      <c r="C35" s="4">
        <v>42198</v>
      </c>
      <c r="D35" s="2" t="s">
        <v>79</v>
      </c>
      <c r="E35" s="2" t="s">
        <v>246</v>
      </c>
      <c r="F35" s="7" t="s">
        <v>347</v>
      </c>
      <c r="G35" s="2" t="s">
        <v>213</v>
      </c>
      <c r="H35" s="7" t="s">
        <v>247</v>
      </c>
      <c r="I35" s="4">
        <v>42198</v>
      </c>
      <c r="J35" s="2" t="s">
        <v>42</v>
      </c>
      <c r="K35" s="2" t="s">
        <v>36</v>
      </c>
      <c r="L35" s="1" t="s">
        <v>6</v>
      </c>
      <c r="M35" s="1" t="s">
        <v>76</v>
      </c>
      <c r="N35" s="1">
        <v>37</v>
      </c>
    </row>
    <row r="36" spans="1:14" x14ac:dyDescent="0.25">
      <c r="A36" s="1"/>
      <c r="B36" s="2" t="s">
        <v>103</v>
      </c>
      <c r="C36" s="4">
        <v>42198</v>
      </c>
      <c r="D36" s="2" t="s">
        <v>79</v>
      </c>
      <c r="E36" s="2" t="s">
        <v>245</v>
      </c>
      <c r="F36" s="7" t="s">
        <v>348</v>
      </c>
      <c r="G36" s="2" t="s">
        <v>213</v>
      </c>
      <c r="H36" s="7" t="s">
        <v>248</v>
      </c>
      <c r="I36" s="4">
        <v>42198</v>
      </c>
      <c r="J36" s="2" t="s">
        <v>42</v>
      </c>
      <c r="K36" s="2" t="s">
        <v>36</v>
      </c>
      <c r="L36" s="1" t="s">
        <v>6</v>
      </c>
      <c r="M36" s="1" t="s">
        <v>76</v>
      </c>
      <c r="N36" s="1">
        <v>38</v>
      </c>
    </row>
    <row r="37" spans="1:14" ht="30" x14ac:dyDescent="0.25">
      <c r="A37" s="1"/>
      <c r="B37" s="2" t="s">
        <v>103</v>
      </c>
      <c r="C37" s="4">
        <v>42198</v>
      </c>
      <c r="D37" s="2" t="s">
        <v>75</v>
      </c>
      <c r="E37" s="2" t="s">
        <v>245</v>
      </c>
      <c r="F37" s="7" t="s">
        <v>349</v>
      </c>
      <c r="G37" s="2" t="s">
        <v>213</v>
      </c>
      <c r="H37" s="7" t="s">
        <v>237</v>
      </c>
      <c r="I37" s="4">
        <v>42198</v>
      </c>
      <c r="J37" s="2" t="s">
        <v>42</v>
      </c>
      <c r="K37" s="2" t="s">
        <v>36</v>
      </c>
      <c r="L37" s="1" t="s">
        <v>6</v>
      </c>
      <c r="M37" s="1" t="s">
        <v>76</v>
      </c>
      <c r="N37" s="1">
        <v>39</v>
      </c>
    </row>
    <row r="38" spans="1:14" x14ac:dyDescent="0.25">
      <c r="A38" s="1"/>
      <c r="B38" s="2" t="s">
        <v>103</v>
      </c>
      <c r="C38" s="4">
        <v>42198</v>
      </c>
      <c r="D38" s="2" t="s">
        <v>79</v>
      </c>
      <c r="E38" s="2" t="s">
        <v>245</v>
      </c>
      <c r="F38" s="7" t="s">
        <v>249</v>
      </c>
      <c r="G38" s="2" t="s">
        <v>213</v>
      </c>
      <c r="H38" s="7" t="s">
        <v>250</v>
      </c>
      <c r="I38" s="4">
        <v>42198</v>
      </c>
      <c r="J38" s="2" t="s">
        <v>42</v>
      </c>
      <c r="K38" s="2" t="s">
        <v>36</v>
      </c>
      <c r="L38" s="1" t="s">
        <v>6</v>
      </c>
      <c r="M38" s="1" t="s">
        <v>76</v>
      </c>
      <c r="N38" s="1">
        <v>40</v>
      </c>
    </row>
    <row r="39" spans="1:14" x14ac:dyDescent="0.25">
      <c r="A39" s="1"/>
      <c r="B39" s="2" t="s">
        <v>103</v>
      </c>
      <c r="C39" s="4">
        <v>42198</v>
      </c>
      <c r="D39" s="2" t="s">
        <v>79</v>
      </c>
      <c r="E39" s="2" t="s">
        <v>246</v>
      </c>
      <c r="F39" s="7" t="s">
        <v>251</v>
      </c>
      <c r="G39" s="2" t="s">
        <v>213</v>
      </c>
      <c r="H39" s="7" t="s">
        <v>252</v>
      </c>
      <c r="I39" s="4">
        <v>42198</v>
      </c>
      <c r="J39" s="2" t="s">
        <v>42</v>
      </c>
      <c r="K39" s="2" t="s">
        <v>36</v>
      </c>
      <c r="L39" s="1" t="s">
        <v>6</v>
      </c>
      <c r="M39" s="1" t="s">
        <v>76</v>
      </c>
      <c r="N39" s="1">
        <v>41</v>
      </c>
    </row>
    <row r="40" spans="1:14" x14ac:dyDescent="0.25">
      <c r="A40" s="1"/>
      <c r="B40" s="2" t="s">
        <v>103</v>
      </c>
      <c r="C40" s="4">
        <v>42198</v>
      </c>
      <c r="D40" s="2" t="s">
        <v>79</v>
      </c>
      <c r="E40" s="2" t="s">
        <v>253</v>
      </c>
      <c r="F40" s="7" t="s">
        <v>254</v>
      </c>
      <c r="G40" s="2" t="s">
        <v>213</v>
      </c>
      <c r="H40" s="7" t="s">
        <v>255</v>
      </c>
      <c r="I40" s="4">
        <v>42198</v>
      </c>
      <c r="J40" s="2" t="s">
        <v>42</v>
      </c>
      <c r="K40" s="2" t="s">
        <v>36</v>
      </c>
      <c r="L40" s="1" t="s">
        <v>6</v>
      </c>
      <c r="M40" s="1" t="s">
        <v>76</v>
      </c>
      <c r="N40" s="1">
        <v>42</v>
      </c>
    </row>
    <row r="41" spans="1:14" ht="30" x14ac:dyDescent="0.25">
      <c r="A41" s="1"/>
      <c r="B41" s="2" t="s">
        <v>103</v>
      </c>
      <c r="C41" s="4">
        <v>42233</v>
      </c>
      <c r="D41" s="2" t="s">
        <v>256</v>
      </c>
      <c r="E41" s="2" t="s">
        <v>257</v>
      </c>
      <c r="F41" s="7" t="s">
        <v>258</v>
      </c>
      <c r="G41" s="2" t="s">
        <v>213</v>
      </c>
      <c r="H41" s="7"/>
      <c r="I41" s="4">
        <v>42233</v>
      </c>
      <c r="J41" s="2" t="s">
        <v>42</v>
      </c>
      <c r="K41" s="2" t="s">
        <v>36</v>
      </c>
      <c r="L41" s="1" t="s">
        <v>6</v>
      </c>
      <c r="M41" s="1" t="s">
        <v>76</v>
      </c>
      <c r="N41" s="1">
        <v>44</v>
      </c>
    </row>
    <row r="42" spans="1:14" ht="30" x14ac:dyDescent="0.25">
      <c r="A42" s="1"/>
      <c r="B42" s="2" t="s">
        <v>103</v>
      </c>
      <c r="C42" s="4">
        <v>42233</v>
      </c>
      <c r="D42" s="2" t="s">
        <v>79</v>
      </c>
      <c r="E42" s="2" t="s">
        <v>259</v>
      </c>
      <c r="F42" s="7" t="s">
        <v>350</v>
      </c>
      <c r="G42" s="2" t="s">
        <v>213</v>
      </c>
      <c r="H42" s="7" t="s">
        <v>260</v>
      </c>
      <c r="I42" s="4">
        <v>42233</v>
      </c>
      <c r="J42" s="2" t="s">
        <v>42</v>
      </c>
      <c r="K42" s="2" t="s">
        <v>36</v>
      </c>
      <c r="L42" s="1" t="s">
        <v>6</v>
      </c>
      <c r="M42" s="1" t="s">
        <v>76</v>
      </c>
      <c r="N42" s="1">
        <v>45</v>
      </c>
    </row>
    <row r="43" spans="1:14" ht="45" x14ac:dyDescent="0.25">
      <c r="A43" s="1"/>
      <c r="B43" s="2" t="s">
        <v>103</v>
      </c>
      <c r="C43" s="4">
        <v>42233</v>
      </c>
      <c r="D43" s="2" t="s">
        <v>75</v>
      </c>
      <c r="E43" s="2" t="s">
        <v>259</v>
      </c>
      <c r="F43" s="7" t="s">
        <v>351</v>
      </c>
      <c r="G43" s="2" t="s">
        <v>213</v>
      </c>
      <c r="H43" s="7" t="s">
        <v>261</v>
      </c>
      <c r="I43" s="4">
        <v>42233</v>
      </c>
      <c r="J43" s="2" t="s">
        <v>42</v>
      </c>
      <c r="K43" s="2" t="s">
        <v>36</v>
      </c>
      <c r="L43" s="1" t="s">
        <v>6</v>
      </c>
      <c r="M43" s="1" t="s">
        <v>76</v>
      </c>
      <c r="N43" s="1">
        <v>46</v>
      </c>
    </row>
    <row r="44" spans="1:14" ht="30" x14ac:dyDescent="0.25">
      <c r="A44" s="1"/>
      <c r="B44" s="2" t="s">
        <v>103</v>
      </c>
      <c r="C44" s="4">
        <v>42233</v>
      </c>
      <c r="D44" s="2" t="s">
        <v>79</v>
      </c>
      <c r="E44" s="2" t="s">
        <v>259</v>
      </c>
      <c r="F44" s="7" t="s">
        <v>352</v>
      </c>
      <c r="G44" s="2" t="s">
        <v>213</v>
      </c>
      <c r="H44" s="7" t="s">
        <v>353</v>
      </c>
      <c r="I44" s="4">
        <v>42233</v>
      </c>
      <c r="J44" s="2" t="s">
        <v>42</v>
      </c>
      <c r="K44" s="2" t="s">
        <v>36</v>
      </c>
      <c r="L44" s="1" t="s">
        <v>6</v>
      </c>
      <c r="M44" s="1" t="s">
        <v>76</v>
      </c>
      <c r="N44" s="1">
        <v>47</v>
      </c>
    </row>
    <row r="45" spans="1:14" ht="60" x14ac:dyDescent="0.25">
      <c r="A45" s="1"/>
      <c r="B45" s="2" t="s">
        <v>103</v>
      </c>
      <c r="C45" s="4">
        <v>42233</v>
      </c>
      <c r="D45" s="2" t="s">
        <v>75</v>
      </c>
      <c r="E45" s="2" t="s">
        <v>259</v>
      </c>
      <c r="F45" s="7" t="s">
        <v>354</v>
      </c>
      <c r="G45" s="2" t="s">
        <v>213</v>
      </c>
      <c r="H45" s="7" t="s">
        <v>262</v>
      </c>
      <c r="I45" s="4">
        <v>42233</v>
      </c>
      <c r="J45" s="2" t="s">
        <v>42</v>
      </c>
      <c r="K45" s="2" t="s">
        <v>36</v>
      </c>
      <c r="L45" s="1" t="s">
        <v>6</v>
      </c>
      <c r="M45" s="1" t="s">
        <v>76</v>
      </c>
      <c r="N45" s="1">
        <v>48</v>
      </c>
    </row>
    <row r="46" spans="1:14" ht="30" x14ac:dyDescent="0.25">
      <c r="A46" s="1"/>
      <c r="B46" s="2" t="s">
        <v>103</v>
      </c>
      <c r="C46" s="4">
        <v>42233</v>
      </c>
      <c r="D46" s="2" t="s">
        <v>79</v>
      </c>
      <c r="E46" s="2" t="s">
        <v>259</v>
      </c>
      <c r="F46" s="7" t="s">
        <v>355</v>
      </c>
      <c r="G46" s="2" t="s">
        <v>213</v>
      </c>
      <c r="H46" s="7" t="s">
        <v>263</v>
      </c>
      <c r="I46" s="4">
        <v>42233</v>
      </c>
      <c r="J46" s="2" t="s">
        <v>42</v>
      </c>
      <c r="K46" s="2" t="s">
        <v>36</v>
      </c>
      <c r="L46" s="1" t="s">
        <v>6</v>
      </c>
      <c r="M46" s="1" t="s">
        <v>76</v>
      </c>
      <c r="N46" s="1">
        <v>49</v>
      </c>
    </row>
    <row r="47" spans="1:14" ht="30" x14ac:dyDescent="0.25">
      <c r="A47" s="1"/>
      <c r="B47" s="2" t="s">
        <v>103</v>
      </c>
      <c r="C47" s="4">
        <v>42233</v>
      </c>
      <c r="D47" s="2" t="s">
        <v>75</v>
      </c>
      <c r="E47" s="2" t="s">
        <v>259</v>
      </c>
      <c r="F47" s="7" t="s">
        <v>356</v>
      </c>
      <c r="G47" s="2" t="s">
        <v>213</v>
      </c>
      <c r="H47" s="7" t="s">
        <v>264</v>
      </c>
      <c r="I47" s="4">
        <v>42233</v>
      </c>
      <c r="J47" s="2" t="s">
        <v>42</v>
      </c>
      <c r="K47" s="2" t="s">
        <v>36</v>
      </c>
      <c r="L47" s="1" t="s">
        <v>6</v>
      </c>
      <c r="M47" s="1" t="s">
        <v>76</v>
      </c>
      <c r="N47" s="1">
        <v>50</v>
      </c>
    </row>
    <row r="48" spans="1:14" ht="30" x14ac:dyDescent="0.25">
      <c r="A48" s="1"/>
      <c r="B48" s="2" t="s">
        <v>103</v>
      </c>
      <c r="C48" s="4">
        <v>42233</v>
      </c>
      <c r="D48" s="2" t="s">
        <v>79</v>
      </c>
      <c r="E48" s="2" t="s">
        <v>259</v>
      </c>
      <c r="F48" s="7" t="s">
        <v>357</v>
      </c>
      <c r="G48" s="2" t="s">
        <v>213</v>
      </c>
      <c r="H48" s="7" t="s">
        <v>265</v>
      </c>
      <c r="I48" s="4">
        <v>42233</v>
      </c>
      <c r="J48" s="2" t="s">
        <v>42</v>
      </c>
      <c r="K48" s="2" t="s">
        <v>36</v>
      </c>
      <c r="L48" s="1" t="s">
        <v>6</v>
      </c>
      <c r="M48" s="1" t="s">
        <v>76</v>
      </c>
      <c r="N48" s="1">
        <v>51</v>
      </c>
    </row>
    <row r="49" spans="1:14" ht="30" x14ac:dyDescent="0.25">
      <c r="A49" s="1"/>
      <c r="B49" s="2" t="s">
        <v>103</v>
      </c>
      <c r="C49" s="4">
        <v>42233</v>
      </c>
      <c r="D49" s="2" t="s">
        <v>256</v>
      </c>
      <c r="E49" s="2" t="s">
        <v>235</v>
      </c>
      <c r="F49" s="7" t="s">
        <v>358</v>
      </c>
      <c r="G49" s="2" t="s">
        <v>213</v>
      </c>
      <c r="H49" s="7"/>
      <c r="I49" s="4">
        <v>42233</v>
      </c>
      <c r="J49" s="2" t="s">
        <v>42</v>
      </c>
      <c r="K49" s="2" t="s">
        <v>36</v>
      </c>
      <c r="L49" s="1" t="s">
        <v>6</v>
      </c>
      <c r="M49" s="1" t="s">
        <v>76</v>
      </c>
      <c r="N49" s="1">
        <v>52</v>
      </c>
    </row>
    <row r="50" spans="1:14" ht="30" x14ac:dyDescent="0.25">
      <c r="A50" s="1"/>
      <c r="B50" s="2" t="s">
        <v>103</v>
      </c>
      <c r="C50" s="4">
        <v>42233</v>
      </c>
      <c r="D50" s="2" t="s">
        <v>256</v>
      </c>
      <c r="E50" s="2" t="s">
        <v>257</v>
      </c>
      <c r="F50" s="7" t="s">
        <v>266</v>
      </c>
      <c r="G50" s="2" t="s">
        <v>213</v>
      </c>
      <c r="H50" s="7"/>
      <c r="I50" s="4">
        <v>42233</v>
      </c>
      <c r="J50" s="2" t="s">
        <v>42</v>
      </c>
      <c r="K50" s="2" t="s">
        <v>36</v>
      </c>
      <c r="L50" s="1" t="s">
        <v>6</v>
      </c>
      <c r="M50" s="1" t="s">
        <v>76</v>
      </c>
      <c r="N50" s="1">
        <v>53</v>
      </c>
    </row>
    <row r="51" spans="1:14" ht="30" x14ac:dyDescent="0.25">
      <c r="A51" s="1"/>
      <c r="B51" s="2" t="s">
        <v>108</v>
      </c>
      <c r="C51" s="4">
        <v>42234</v>
      </c>
      <c r="D51" s="2" t="s">
        <v>256</v>
      </c>
      <c r="E51" s="2" t="s">
        <v>267</v>
      </c>
      <c r="F51" s="7" t="s">
        <v>268</v>
      </c>
      <c r="G51" s="2" t="s">
        <v>213</v>
      </c>
      <c r="H51" s="7"/>
      <c r="I51" s="4">
        <v>42234</v>
      </c>
      <c r="J51" s="2" t="s">
        <v>42</v>
      </c>
      <c r="K51" s="2" t="s">
        <v>116</v>
      </c>
      <c r="L51" s="1" t="s">
        <v>6</v>
      </c>
      <c r="M51" s="1" t="s">
        <v>76</v>
      </c>
      <c r="N51" s="1">
        <v>54</v>
      </c>
    </row>
    <row r="52" spans="1:14" x14ac:dyDescent="0.25">
      <c r="A52" s="1"/>
      <c r="B52" s="2" t="s">
        <v>108</v>
      </c>
      <c r="C52" s="4">
        <v>42234</v>
      </c>
      <c r="D52" s="2" t="s">
        <v>256</v>
      </c>
      <c r="E52" s="2" t="s">
        <v>269</v>
      </c>
      <c r="F52" s="7" t="s">
        <v>359</v>
      </c>
      <c r="G52" s="2" t="s">
        <v>213</v>
      </c>
      <c r="H52" s="7"/>
      <c r="I52" s="4">
        <v>42234</v>
      </c>
      <c r="J52" s="2" t="s">
        <v>42</v>
      </c>
      <c r="K52" s="2" t="s">
        <v>116</v>
      </c>
      <c r="L52" s="1" t="s">
        <v>6</v>
      </c>
      <c r="M52" s="1" t="s">
        <v>76</v>
      </c>
      <c r="N52" s="1">
        <v>55</v>
      </c>
    </row>
    <row r="53" spans="1:14" ht="30" x14ac:dyDescent="0.25">
      <c r="A53" s="1"/>
      <c r="B53" s="2" t="s">
        <v>108</v>
      </c>
      <c r="C53" s="4">
        <v>42234</v>
      </c>
      <c r="D53" s="2" t="s">
        <v>79</v>
      </c>
      <c r="E53" s="2" t="s">
        <v>270</v>
      </c>
      <c r="F53" s="7" t="s">
        <v>360</v>
      </c>
      <c r="G53" s="2" t="s">
        <v>213</v>
      </c>
      <c r="H53" s="7" t="s">
        <v>271</v>
      </c>
      <c r="I53" s="4">
        <v>42234</v>
      </c>
      <c r="J53" s="2" t="s">
        <v>42</v>
      </c>
      <c r="K53" s="2" t="s">
        <v>116</v>
      </c>
      <c r="L53" s="1" t="s">
        <v>6</v>
      </c>
      <c r="M53" s="1" t="s">
        <v>76</v>
      </c>
      <c r="N53" s="1">
        <v>56</v>
      </c>
    </row>
    <row r="54" spans="1:14" x14ac:dyDescent="0.25">
      <c r="A54" s="1"/>
      <c r="B54" s="2" t="s">
        <v>108</v>
      </c>
      <c r="C54" s="4">
        <v>42234</v>
      </c>
      <c r="D54" s="2" t="s">
        <v>79</v>
      </c>
      <c r="E54" s="2" t="s">
        <v>269</v>
      </c>
      <c r="F54" s="7" t="s">
        <v>361</v>
      </c>
      <c r="G54" s="2" t="s">
        <v>213</v>
      </c>
      <c r="H54" s="7" t="s">
        <v>272</v>
      </c>
      <c r="I54" s="4">
        <v>42234</v>
      </c>
      <c r="J54" s="2" t="s">
        <v>42</v>
      </c>
      <c r="K54" s="2" t="s">
        <v>116</v>
      </c>
      <c r="L54" s="1" t="s">
        <v>6</v>
      </c>
      <c r="M54" s="1" t="s">
        <v>76</v>
      </c>
      <c r="N54" s="1">
        <v>57</v>
      </c>
    </row>
    <row r="55" spans="1:14" x14ac:dyDescent="0.25">
      <c r="A55" s="1"/>
      <c r="B55" s="2" t="s">
        <v>108</v>
      </c>
      <c r="C55" s="4">
        <v>42234</v>
      </c>
      <c r="D55" s="2" t="s">
        <v>79</v>
      </c>
      <c r="E55" s="2" t="s">
        <v>270</v>
      </c>
      <c r="F55" s="7" t="s">
        <v>273</v>
      </c>
      <c r="G55" s="2" t="s">
        <v>213</v>
      </c>
      <c r="H55" s="7" t="s">
        <v>362</v>
      </c>
      <c r="I55" s="4">
        <v>42234</v>
      </c>
      <c r="J55" s="2" t="s">
        <v>42</v>
      </c>
      <c r="K55" s="2" t="s">
        <v>116</v>
      </c>
      <c r="L55" s="1" t="s">
        <v>6</v>
      </c>
      <c r="M55" s="1" t="s">
        <v>76</v>
      </c>
      <c r="N55" s="1">
        <v>58</v>
      </c>
    </row>
    <row r="56" spans="1:14" ht="30" x14ac:dyDescent="0.25">
      <c r="A56" s="1"/>
      <c r="B56" s="2" t="s">
        <v>108</v>
      </c>
      <c r="C56" s="4">
        <v>42234</v>
      </c>
      <c r="D56" s="2" t="s">
        <v>79</v>
      </c>
      <c r="E56" s="2" t="s">
        <v>269</v>
      </c>
      <c r="F56" s="7" t="s">
        <v>363</v>
      </c>
      <c r="G56" s="2" t="s">
        <v>213</v>
      </c>
      <c r="H56" s="7" t="s">
        <v>274</v>
      </c>
      <c r="I56" s="4">
        <v>42234</v>
      </c>
      <c r="J56" s="2" t="s">
        <v>42</v>
      </c>
      <c r="K56" s="2" t="s">
        <v>116</v>
      </c>
      <c r="L56" s="1" t="s">
        <v>6</v>
      </c>
      <c r="M56" s="1" t="s">
        <v>76</v>
      </c>
      <c r="N56" s="1">
        <v>59</v>
      </c>
    </row>
    <row r="57" spans="1:14" ht="30" x14ac:dyDescent="0.25">
      <c r="A57" s="1"/>
      <c r="B57" s="2" t="s">
        <v>108</v>
      </c>
      <c r="C57" s="4">
        <v>42234</v>
      </c>
      <c r="D57" s="2" t="s">
        <v>75</v>
      </c>
      <c r="E57" s="2" t="s">
        <v>275</v>
      </c>
      <c r="F57" s="7" t="s">
        <v>364</v>
      </c>
      <c r="G57" s="2" t="s">
        <v>213</v>
      </c>
      <c r="H57" s="7" t="s">
        <v>276</v>
      </c>
      <c r="I57" s="4">
        <v>42235</v>
      </c>
      <c r="J57" s="2" t="s">
        <v>42</v>
      </c>
      <c r="K57" s="2" t="s">
        <v>116</v>
      </c>
      <c r="L57" s="1" t="s">
        <v>6</v>
      </c>
      <c r="M57" s="1" t="s">
        <v>76</v>
      </c>
      <c r="N57" s="1">
        <v>60</v>
      </c>
    </row>
    <row r="58" spans="1:14" x14ac:dyDescent="0.25">
      <c r="A58" s="1"/>
      <c r="B58" s="2" t="s">
        <v>108</v>
      </c>
      <c r="C58" s="4">
        <v>42234</v>
      </c>
      <c r="D58" s="2" t="s">
        <v>256</v>
      </c>
      <c r="E58" s="2" t="s">
        <v>270</v>
      </c>
      <c r="F58" s="7" t="s">
        <v>277</v>
      </c>
      <c r="G58" s="2" t="s">
        <v>213</v>
      </c>
      <c r="H58" s="7"/>
      <c r="I58" s="4">
        <v>42234</v>
      </c>
      <c r="J58" s="2" t="s">
        <v>42</v>
      </c>
      <c r="K58" s="2" t="s">
        <v>116</v>
      </c>
      <c r="L58" s="1" t="s">
        <v>6</v>
      </c>
      <c r="M58" s="1" t="s">
        <v>76</v>
      </c>
      <c r="N58" s="1">
        <v>61</v>
      </c>
    </row>
    <row r="59" spans="1:14" x14ac:dyDescent="0.25">
      <c r="A59" s="1"/>
      <c r="B59" s="2" t="s">
        <v>108</v>
      </c>
      <c r="C59" s="4">
        <v>42234</v>
      </c>
      <c r="D59" s="2" t="s">
        <v>256</v>
      </c>
      <c r="E59" s="2" t="s">
        <v>270</v>
      </c>
      <c r="F59" s="7" t="s">
        <v>278</v>
      </c>
      <c r="G59" s="2" t="s">
        <v>213</v>
      </c>
      <c r="H59" s="7"/>
      <c r="I59" s="4">
        <v>42234</v>
      </c>
      <c r="J59" s="2" t="s">
        <v>42</v>
      </c>
      <c r="K59" s="2" t="s">
        <v>116</v>
      </c>
      <c r="L59" s="1" t="s">
        <v>6</v>
      </c>
      <c r="M59" s="1" t="s">
        <v>76</v>
      </c>
      <c r="N59" s="1">
        <v>62</v>
      </c>
    </row>
    <row r="60" spans="1:14" x14ac:dyDescent="0.25">
      <c r="A60" s="1"/>
      <c r="B60" s="2" t="s">
        <v>108</v>
      </c>
      <c r="C60" s="4">
        <v>42234</v>
      </c>
      <c r="D60" s="2" t="s">
        <v>79</v>
      </c>
      <c r="E60" s="2" t="s">
        <v>279</v>
      </c>
      <c r="F60" s="7" t="s">
        <v>280</v>
      </c>
      <c r="G60" s="2" t="s">
        <v>213</v>
      </c>
      <c r="H60" s="7" t="s">
        <v>281</v>
      </c>
      <c r="I60" s="4">
        <v>42235</v>
      </c>
      <c r="J60" s="2" t="s">
        <v>42</v>
      </c>
      <c r="K60" s="2" t="s">
        <v>116</v>
      </c>
      <c r="L60" s="1" t="s">
        <v>6</v>
      </c>
      <c r="M60" s="1" t="s">
        <v>76</v>
      </c>
      <c r="N60" s="1">
        <v>63</v>
      </c>
    </row>
    <row r="61" spans="1:14" x14ac:dyDescent="0.25">
      <c r="A61" s="1"/>
      <c r="B61" s="2" t="s">
        <v>108</v>
      </c>
      <c r="C61" s="4">
        <v>42234</v>
      </c>
      <c r="D61" s="2" t="s">
        <v>256</v>
      </c>
      <c r="E61" s="2" t="s">
        <v>270</v>
      </c>
      <c r="F61" s="7" t="s">
        <v>282</v>
      </c>
      <c r="G61" s="2" t="s">
        <v>213</v>
      </c>
      <c r="H61" s="7"/>
      <c r="I61" s="4">
        <v>42234</v>
      </c>
      <c r="J61" s="2" t="s">
        <v>42</v>
      </c>
      <c r="K61" s="2" t="s">
        <v>116</v>
      </c>
      <c r="L61" s="1" t="s">
        <v>6</v>
      </c>
      <c r="M61" s="1" t="s">
        <v>76</v>
      </c>
      <c r="N61" s="1">
        <v>64</v>
      </c>
    </row>
    <row r="62" spans="1:14" x14ac:dyDescent="0.25">
      <c r="A62" s="1"/>
      <c r="B62" s="2" t="s">
        <v>108</v>
      </c>
      <c r="C62" s="4">
        <v>42234</v>
      </c>
      <c r="D62" s="2" t="s">
        <v>79</v>
      </c>
      <c r="E62" s="2" t="s">
        <v>85</v>
      </c>
      <c r="F62" s="7" t="s">
        <v>283</v>
      </c>
      <c r="G62" s="2" t="s">
        <v>213</v>
      </c>
      <c r="H62" s="7" t="s">
        <v>284</v>
      </c>
      <c r="I62" s="4">
        <v>42235</v>
      </c>
      <c r="J62" s="2" t="s">
        <v>42</v>
      </c>
      <c r="K62" s="2" t="s">
        <v>116</v>
      </c>
      <c r="L62" s="1" t="s">
        <v>6</v>
      </c>
      <c r="M62" s="1" t="s">
        <v>76</v>
      </c>
      <c r="N62" s="1">
        <v>65</v>
      </c>
    </row>
    <row r="63" spans="1:14" x14ac:dyDescent="0.25">
      <c r="A63" s="1"/>
      <c r="B63" s="2" t="s">
        <v>108</v>
      </c>
      <c r="C63" s="4">
        <v>42234</v>
      </c>
      <c r="D63" s="2" t="s">
        <v>256</v>
      </c>
      <c r="E63" s="2" t="s">
        <v>269</v>
      </c>
      <c r="F63" s="7" t="s">
        <v>365</v>
      </c>
      <c r="G63" s="2" t="s">
        <v>213</v>
      </c>
      <c r="H63" s="7"/>
      <c r="I63" s="4">
        <v>42234</v>
      </c>
      <c r="J63" s="2" t="s">
        <v>42</v>
      </c>
      <c r="K63" s="2" t="s">
        <v>116</v>
      </c>
      <c r="L63" s="1" t="s">
        <v>6</v>
      </c>
      <c r="M63" s="1" t="s">
        <v>76</v>
      </c>
      <c r="N63" s="1">
        <v>66</v>
      </c>
    </row>
    <row r="64" spans="1:14" x14ac:dyDescent="0.25">
      <c r="A64" s="1"/>
      <c r="B64" s="2" t="s">
        <v>108</v>
      </c>
      <c r="C64" s="4">
        <v>42234</v>
      </c>
      <c r="D64" s="2" t="s">
        <v>256</v>
      </c>
      <c r="E64" s="2" t="s">
        <v>269</v>
      </c>
      <c r="F64" s="7" t="s">
        <v>285</v>
      </c>
      <c r="G64" s="2" t="s">
        <v>213</v>
      </c>
      <c r="H64" s="7"/>
      <c r="I64" s="4">
        <v>42234</v>
      </c>
      <c r="J64" s="2" t="s">
        <v>42</v>
      </c>
      <c r="K64" s="2" t="s">
        <v>116</v>
      </c>
      <c r="L64" s="1" t="s">
        <v>6</v>
      </c>
      <c r="M64" s="1" t="s">
        <v>76</v>
      </c>
      <c r="N64" s="1">
        <v>67</v>
      </c>
    </row>
    <row r="65" spans="1:14" x14ac:dyDescent="0.25">
      <c r="A65" s="1"/>
      <c r="B65" s="2" t="s">
        <v>110</v>
      </c>
      <c r="C65" s="4">
        <v>42236</v>
      </c>
      <c r="D65" s="2" t="s">
        <v>79</v>
      </c>
      <c r="E65" s="2" t="s">
        <v>267</v>
      </c>
      <c r="F65" s="7" t="s">
        <v>286</v>
      </c>
      <c r="G65" s="2" t="s">
        <v>213</v>
      </c>
      <c r="H65" s="7" t="s">
        <v>287</v>
      </c>
      <c r="I65" s="4">
        <v>42238</v>
      </c>
      <c r="J65" s="2" t="s">
        <v>42</v>
      </c>
      <c r="K65" s="2" t="s">
        <v>41</v>
      </c>
      <c r="L65" s="1" t="s">
        <v>6</v>
      </c>
      <c r="M65" s="1" t="s">
        <v>76</v>
      </c>
      <c r="N65" s="1">
        <v>68</v>
      </c>
    </row>
    <row r="66" spans="1:14" ht="30" x14ac:dyDescent="0.25">
      <c r="A66" s="1"/>
      <c r="B66" s="2" t="s">
        <v>110</v>
      </c>
      <c r="C66" s="4">
        <v>42236</v>
      </c>
      <c r="D66" s="2" t="s">
        <v>79</v>
      </c>
      <c r="E66" s="2" t="s">
        <v>269</v>
      </c>
      <c r="F66" s="7" t="s">
        <v>366</v>
      </c>
      <c r="G66" s="2" t="s">
        <v>213</v>
      </c>
      <c r="H66" s="7" t="s">
        <v>367</v>
      </c>
      <c r="I66" s="4">
        <v>42238</v>
      </c>
      <c r="J66" s="2" t="s">
        <v>42</v>
      </c>
      <c r="K66" s="2" t="s">
        <v>41</v>
      </c>
      <c r="L66" s="1" t="s">
        <v>6</v>
      </c>
      <c r="M66" s="1" t="s">
        <v>76</v>
      </c>
      <c r="N66" s="1">
        <v>69</v>
      </c>
    </row>
    <row r="67" spans="1:14" x14ac:dyDescent="0.25">
      <c r="A67" s="1"/>
      <c r="B67" s="2" t="s">
        <v>110</v>
      </c>
      <c r="C67" s="4">
        <v>42236</v>
      </c>
      <c r="D67" s="2" t="s">
        <v>256</v>
      </c>
      <c r="E67" s="2" t="s">
        <v>77</v>
      </c>
      <c r="F67" s="7" t="s">
        <v>368</v>
      </c>
      <c r="G67" s="2" t="s">
        <v>213</v>
      </c>
      <c r="H67" s="7"/>
      <c r="I67" s="4">
        <v>42236</v>
      </c>
      <c r="J67" s="2" t="s">
        <v>42</v>
      </c>
      <c r="K67" s="2" t="s">
        <v>41</v>
      </c>
      <c r="L67" s="1" t="s">
        <v>6</v>
      </c>
      <c r="M67" s="1" t="s">
        <v>76</v>
      </c>
      <c r="N67" s="1">
        <v>70</v>
      </c>
    </row>
    <row r="68" spans="1:14" ht="30" x14ac:dyDescent="0.25">
      <c r="A68" s="1"/>
      <c r="B68" s="2" t="s">
        <v>110</v>
      </c>
      <c r="C68" s="4">
        <v>42236</v>
      </c>
      <c r="D68" s="2" t="s">
        <v>79</v>
      </c>
      <c r="E68" s="2" t="s">
        <v>269</v>
      </c>
      <c r="F68" s="7" t="s">
        <v>369</v>
      </c>
      <c r="G68" s="2" t="s">
        <v>213</v>
      </c>
      <c r="H68" s="7" t="s">
        <v>370</v>
      </c>
      <c r="I68" s="4">
        <v>42238</v>
      </c>
      <c r="J68" s="2" t="s">
        <v>42</v>
      </c>
      <c r="K68" s="2" t="s">
        <v>41</v>
      </c>
      <c r="L68" s="1" t="s">
        <v>6</v>
      </c>
      <c r="M68" s="1" t="s">
        <v>76</v>
      </c>
      <c r="N68" s="1">
        <v>71</v>
      </c>
    </row>
    <row r="69" spans="1:14" ht="30" x14ac:dyDescent="0.25">
      <c r="A69" s="1"/>
      <c r="B69" s="2" t="s">
        <v>110</v>
      </c>
      <c r="C69" s="4">
        <v>42236</v>
      </c>
      <c r="D69" s="2" t="s">
        <v>256</v>
      </c>
      <c r="E69" s="2" t="s">
        <v>269</v>
      </c>
      <c r="F69" s="7" t="s">
        <v>371</v>
      </c>
      <c r="G69" s="2" t="s">
        <v>213</v>
      </c>
      <c r="H69" s="7"/>
      <c r="I69" s="4">
        <v>42236</v>
      </c>
      <c r="J69" s="2" t="s">
        <v>42</v>
      </c>
      <c r="K69" s="2" t="s">
        <v>41</v>
      </c>
      <c r="L69" s="1" t="s">
        <v>6</v>
      </c>
      <c r="M69" s="1" t="s">
        <v>76</v>
      </c>
      <c r="N69" s="1">
        <v>72</v>
      </c>
    </row>
    <row r="70" spans="1:14" x14ac:dyDescent="0.25">
      <c r="A70" s="1"/>
      <c r="B70" s="2" t="s">
        <v>110</v>
      </c>
      <c r="C70" s="4">
        <v>42236</v>
      </c>
      <c r="D70" s="2" t="s">
        <v>75</v>
      </c>
      <c r="E70" s="2" t="s">
        <v>279</v>
      </c>
      <c r="F70" s="7" t="s">
        <v>372</v>
      </c>
      <c r="G70" s="2" t="s">
        <v>213</v>
      </c>
      <c r="H70" s="7" t="s">
        <v>288</v>
      </c>
      <c r="I70" s="4">
        <v>42238</v>
      </c>
      <c r="J70" s="2" t="s">
        <v>42</v>
      </c>
      <c r="K70" s="2" t="s">
        <v>41</v>
      </c>
      <c r="L70" s="1" t="s">
        <v>6</v>
      </c>
      <c r="M70" s="1" t="s">
        <v>76</v>
      </c>
      <c r="N70" s="1">
        <v>73</v>
      </c>
    </row>
    <row r="71" spans="1:14" x14ac:dyDescent="0.25">
      <c r="A71" s="1"/>
      <c r="B71" s="2" t="s">
        <v>110</v>
      </c>
      <c r="C71" s="4">
        <v>42236</v>
      </c>
      <c r="D71" s="2" t="s">
        <v>79</v>
      </c>
      <c r="E71" s="2" t="s">
        <v>275</v>
      </c>
      <c r="F71" s="7" t="s">
        <v>289</v>
      </c>
      <c r="G71" s="2" t="s">
        <v>213</v>
      </c>
      <c r="H71" s="7" t="s">
        <v>290</v>
      </c>
      <c r="I71" s="4">
        <v>42238</v>
      </c>
      <c r="J71" s="2" t="s">
        <v>42</v>
      </c>
      <c r="K71" s="2" t="s">
        <v>41</v>
      </c>
      <c r="L71" s="1" t="s">
        <v>6</v>
      </c>
      <c r="M71" s="1" t="s">
        <v>76</v>
      </c>
      <c r="N71" s="1">
        <v>74</v>
      </c>
    </row>
    <row r="72" spans="1:14" ht="30" x14ac:dyDescent="0.25">
      <c r="A72" s="1"/>
      <c r="B72" s="2" t="s">
        <v>110</v>
      </c>
      <c r="C72" s="4">
        <v>42236</v>
      </c>
      <c r="D72" s="2" t="s">
        <v>79</v>
      </c>
      <c r="E72" s="2" t="s">
        <v>279</v>
      </c>
      <c r="F72" s="7" t="s">
        <v>291</v>
      </c>
      <c r="G72" s="2" t="s">
        <v>213</v>
      </c>
      <c r="H72" s="7" t="s">
        <v>620</v>
      </c>
      <c r="I72" s="4">
        <v>42261</v>
      </c>
      <c r="J72" s="2" t="s">
        <v>42</v>
      </c>
      <c r="K72" s="2" t="s">
        <v>41</v>
      </c>
      <c r="L72" s="1" t="s">
        <v>6</v>
      </c>
      <c r="M72" s="1" t="s">
        <v>76</v>
      </c>
      <c r="N72" s="1">
        <v>75</v>
      </c>
    </row>
    <row r="73" spans="1:14" ht="30" x14ac:dyDescent="0.25">
      <c r="A73" s="1"/>
      <c r="B73" s="2" t="s">
        <v>110</v>
      </c>
      <c r="C73" s="4">
        <v>42236</v>
      </c>
      <c r="D73" s="2" t="s">
        <v>75</v>
      </c>
      <c r="E73" s="2" t="s">
        <v>279</v>
      </c>
      <c r="F73" s="7" t="s">
        <v>373</v>
      </c>
      <c r="G73" s="2" t="s">
        <v>213</v>
      </c>
      <c r="H73" s="7" t="s">
        <v>292</v>
      </c>
      <c r="I73" s="4">
        <v>42238</v>
      </c>
      <c r="J73" s="2" t="s">
        <v>42</v>
      </c>
      <c r="K73" s="2" t="s">
        <v>41</v>
      </c>
      <c r="L73" s="1" t="s">
        <v>6</v>
      </c>
      <c r="M73" s="1" t="s">
        <v>76</v>
      </c>
      <c r="N73" s="1">
        <v>76</v>
      </c>
    </row>
    <row r="74" spans="1:14" x14ac:dyDescent="0.25">
      <c r="A74" s="1"/>
      <c r="B74" s="2" t="s">
        <v>110</v>
      </c>
      <c r="C74" s="4">
        <v>42236</v>
      </c>
      <c r="D74" s="2" t="s">
        <v>79</v>
      </c>
      <c r="E74" s="2" t="s">
        <v>270</v>
      </c>
      <c r="F74" s="7" t="s">
        <v>293</v>
      </c>
      <c r="G74" s="2" t="s">
        <v>213</v>
      </c>
      <c r="H74" s="7" t="s">
        <v>294</v>
      </c>
      <c r="I74" s="4">
        <v>42238</v>
      </c>
      <c r="J74" s="2" t="s">
        <v>42</v>
      </c>
      <c r="K74" s="2" t="s">
        <v>41</v>
      </c>
      <c r="L74" s="1" t="s">
        <v>6</v>
      </c>
      <c r="M74" s="1" t="s">
        <v>76</v>
      </c>
      <c r="N74" s="1">
        <v>77</v>
      </c>
    </row>
    <row r="75" spans="1:14" x14ac:dyDescent="0.25">
      <c r="A75" s="1"/>
      <c r="B75" s="2" t="s">
        <v>110</v>
      </c>
      <c r="C75" s="4">
        <v>42236</v>
      </c>
      <c r="D75" s="2" t="s">
        <v>79</v>
      </c>
      <c r="E75" s="2" t="s">
        <v>270</v>
      </c>
      <c r="F75" s="7" t="s">
        <v>295</v>
      </c>
      <c r="G75" s="2" t="s">
        <v>213</v>
      </c>
      <c r="H75" s="7" t="s">
        <v>296</v>
      </c>
      <c r="I75" s="4">
        <v>42238</v>
      </c>
      <c r="J75" s="2" t="s">
        <v>42</v>
      </c>
      <c r="K75" s="2" t="s">
        <v>41</v>
      </c>
      <c r="L75" s="1" t="s">
        <v>6</v>
      </c>
      <c r="M75" s="1" t="s">
        <v>76</v>
      </c>
      <c r="N75" s="1">
        <v>78</v>
      </c>
    </row>
    <row r="76" spans="1:14" x14ac:dyDescent="0.25">
      <c r="A76" s="1"/>
      <c r="B76" s="2" t="s">
        <v>110</v>
      </c>
      <c r="C76" s="4">
        <v>42236</v>
      </c>
      <c r="D76" s="2" t="s">
        <v>256</v>
      </c>
      <c r="E76" s="2" t="s">
        <v>85</v>
      </c>
      <c r="F76" s="7" t="s">
        <v>297</v>
      </c>
      <c r="G76" s="2" t="s">
        <v>213</v>
      </c>
      <c r="H76" s="7"/>
      <c r="I76" s="4">
        <v>42236</v>
      </c>
      <c r="J76" s="2" t="s">
        <v>42</v>
      </c>
      <c r="K76" s="2" t="s">
        <v>41</v>
      </c>
      <c r="L76" s="1" t="s">
        <v>6</v>
      </c>
      <c r="M76" s="1" t="s">
        <v>76</v>
      </c>
      <c r="N76" s="1">
        <v>79</v>
      </c>
    </row>
    <row r="77" spans="1:14" x14ac:dyDescent="0.25">
      <c r="A77" s="1"/>
      <c r="B77" s="2" t="s">
        <v>110</v>
      </c>
      <c r="C77" s="4">
        <v>42236</v>
      </c>
      <c r="D77" s="2" t="s">
        <v>75</v>
      </c>
      <c r="E77" s="2" t="s">
        <v>269</v>
      </c>
      <c r="F77" s="7" t="s">
        <v>298</v>
      </c>
      <c r="G77" s="2" t="s">
        <v>213</v>
      </c>
      <c r="H77" s="7" t="s">
        <v>299</v>
      </c>
      <c r="I77" s="4">
        <v>42238</v>
      </c>
      <c r="J77" s="2" t="s">
        <v>42</v>
      </c>
      <c r="K77" s="2" t="s">
        <v>41</v>
      </c>
      <c r="L77" s="1" t="s">
        <v>6</v>
      </c>
      <c r="M77" s="1" t="s">
        <v>76</v>
      </c>
      <c r="N77" s="1">
        <v>80</v>
      </c>
    </row>
    <row r="78" spans="1:14" ht="30" x14ac:dyDescent="0.25">
      <c r="A78" s="1"/>
      <c r="B78" s="2" t="s">
        <v>105</v>
      </c>
      <c r="C78" s="4">
        <v>42240</v>
      </c>
      <c r="D78" s="2" t="s">
        <v>79</v>
      </c>
      <c r="E78" s="2" t="s">
        <v>300</v>
      </c>
      <c r="F78" s="7" t="s">
        <v>374</v>
      </c>
      <c r="G78" s="2" t="s">
        <v>213</v>
      </c>
      <c r="H78" s="7" t="s">
        <v>471</v>
      </c>
      <c r="I78" s="4">
        <v>42273</v>
      </c>
      <c r="J78" s="2" t="s">
        <v>42</v>
      </c>
      <c r="K78" s="2" t="s">
        <v>36</v>
      </c>
      <c r="L78" s="1" t="s">
        <v>6</v>
      </c>
      <c r="M78" s="1" t="s">
        <v>76</v>
      </c>
      <c r="N78" s="1">
        <v>81</v>
      </c>
    </row>
    <row r="79" spans="1:14" ht="30" x14ac:dyDescent="0.25">
      <c r="A79" s="1"/>
      <c r="B79" s="2" t="s">
        <v>105</v>
      </c>
      <c r="C79" s="4">
        <v>42240</v>
      </c>
      <c r="D79" s="2" t="s">
        <v>79</v>
      </c>
      <c r="E79" s="2" t="s">
        <v>300</v>
      </c>
      <c r="F79" s="7" t="s">
        <v>301</v>
      </c>
      <c r="G79" s="2" t="s">
        <v>213</v>
      </c>
      <c r="H79" s="7" t="s">
        <v>472</v>
      </c>
      <c r="I79" s="4">
        <v>42273</v>
      </c>
      <c r="J79" s="2" t="s">
        <v>42</v>
      </c>
      <c r="K79" s="2" t="s">
        <v>36</v>
      </c>
      <c r="L79" s="1" t="s">
        <v>6</v>
      </c>
      <c r="M79" s="1" t="s">
        <v>76</v>
      </c>
      <c r="N79" s="1">
        <v>82</v>
      </c>
    </row>
    <row r="80" spans="1:14" ht="30" x14ac:dyDescent="0.25">
      <c r="A80" s="1"/>
      <c r="B80" s="2" t="s">
        <v>105</v>
      </c>
      <c r="C80" s="4">
        <v>42240</v>
      </c>
      <c r="D80" s="2" t="s">
        <v>256</v>
      </c>
      <c r="E80" s="2" t="s">
        <v>300</v>
      </c>
      <c r="F80" s="7" t="s">
        <v>375</v>
      </c>
      <c r="G80" s="2" t="s">
        <v>213</v>
      </c>
      <c r="H80" s="7" t="s">
        <v>473</v>
      </c>
      <c r="I80" s="4">
        <v>42240</v>
      </c>
      <c r="J80" s="2" t="s">
        <v>42</v>
      </c>
      <c r="K80" s="2" t="s">
        <v>36</v>
      </c>
      <c r="L80" s="1" t="s">
        <v>6</v>
      </c>
      <c r="M80" s="1" t="s">
        <v>76</v>
      </c>
      <c r="N80" s="1">
        <v>83</v>
      </c>
    </row>
    <row r="81" spans="1:14" x14ac:dyDescent="0.25">
      <c r="A81" s="1"/>
      <c r="B81" s="2" t="s">
        <v>105</v>
      </c>
      <c r="C81" s="4">
        <v>42240</v>
      </c>
      <c r="D81" s="2" t="s">
        <v>256</v>
      </c>
      <c r="E81" s="2" t="s">
        <v>300</v>
      </c>
      <c r="F81" s="7" t="s">
        <v>302</v>
      </c>
      <c r="G81" s="2" t="s">
        <v>213</v>
      </c>
      <c r="H81" s="7" t="s">
        <v>474</v>
      </c>
      <c r="I81" s="4">
        <v>42240</v>
      </c>
      <c r="J81" s="2" t="s">
        <v>42</v>
      </c>
      <c r="K81" s="2" t="s">
        <v>36</v>
      </c>
      <c r="L81" s="1" t="s">
        <v>6</v>
      </c>
      <c r="M81" s="1" t="s">
        <v>76</v>
      </c>
      <c r="N81" s="1">
        <v>84</v>
      </c>
    </row>
    <row r="82" spans="1:14" x14ac:dyDescent="0.25">
      <c r="A82" s="1"/>
      <c r="B82" s="2" t="s">
        <v>105</v>
      </c>
      <c r="C82" s="4">
        <v>42240</v>
      </c>
      <c r="D82" s="2" t="s">
        <v>75</v>
      </c>
      <c r="E82" s="2" t="s">
        <v>300</v>
      </c>
      <c r="F82" s="7" t="s">
        <v>376</v>
      </c>
      <c r="G82" s="2" t="s">
        <v>213</v>
      </c>
      <c r="H82" s="7" t="s">
        <v>475</v>
      </c>
      <c r="I82" s="4">
        <v>42273</v>
      </c>
      <c r="J82" s="2" t="s">
        <v>42</v>
      </c>
      <c r="K82" s="2" t="s">
        <v>36</v>
      </c>
      <c r="L82" s="1" t="s">
        <v>6</v>
      </c>
      <c r="M82" s="1" t="s">
        <v>76</v>
      </c>
      <c r="N82" s="1">
        <v>85</v>
      </c>
    </row>
    <row r="83" spans="1:14" x14ac:dyDescent="0.25">
      <c r="A83" s="1"/>
      <c r="B83" s="2" t="s">
        <v>105</v>
      </c>
      <c r="C83" s="4">
        <v>42240</v>
      </c>
      <c r="D83" s="2" t="s">
        <v>79</v>
      </c>
      <c r="E83" s="2" t="s">
        <v>300</v>
      </c>
      <c r="F83" s="7" t="s">
        <v>303</v>
      </c>
      <c r="G83" s="2" t="s">
        <v>213</v>
      </c>
      <c r="H83" s="7" t="s">
        <v>897</v>
      </c>
      <c r="I83" s="4">
        <v>42273</v>
      </c>
      <c r="J83" s="2" t="s">
        <v>42</v>
      </c>
      <c r="K83" s="2" t="s">
        <v>36</v>
      </c>
      <c r="L83" s="1" t="s">
        <v>6</v>
      </c>
      <c r="M83" s="1" t="s">
        <v>76</v>
      </c>
      <c r="N83" s="1">
        <v>86</v>
      </c>
    </row>
    <row r="84" spans="1:14" x14ac:dyDescent="0.25">
      <c r="A84" s="1"/>
      <c r="B84" s="2" t="s">
        <v>105</v>
      </c>
      <c r="C84" s="4">
        <v>42240</v>
      </c>
      <c r="D84" s="2" t="s">
        <v>256</v>
      </c>
      <c r="E84" s="2" t="s">
        <v>300</v>
      </c>
      <c r="F84" s="7" t="s">
        <v>304</v>
      </c>
      <c r="G84" s="2" t="s">
        <v>213</v>
      </c>
      <c r="H84" s="7"/>
      <c r="I84" s="4">
        <v>42240</v>
      </c>
      <c r="J84" s="2" t="s">
        <v>42</v>
      </c>
      <c r="K84" s="2" t="s">
        <v>36</v>
      </c>
      <c r="L84" s="1" t="s">
        <v>6</v>
      </c>
      <c r="M84" s="1" t="s">
        <v>76</v>
      </c>
      <c r="N84" s="1">
        <v>87</v>
      </c>
    </row>
    <row r="85" spans="1:14" x14ac:dyDescent="0.25">
      <c r="A85" s="1"/>
      <c r="B85" s="2" t="s">
        <v>105</v>
      </c>
      <c r="C85" s="4">
        <v>42240</v>
      </c>
      <c r="D85" s="2" t="s">
        <v>256</v>
      </c>
      <c r="E85" s="2" t="s">
        <v>300</v>
      </c>
      <c r="F85" s="7" t="s">
        <v>377</v>
      </c>
      <c r="G85" s="2" t="s">
        <v>213</v>
      </c>
      <c r="H85" s="7"/>
      <c r="I85" s="4">
        <v>42240</v>
      </c>
      <c r="J85" s="2" t="s">
        <v>42</v>
      </c>
      <c r="K85" s="2" t="s">
        <v>36</v>
      </c>
      <c r="L85" s="1" t="s">
        <v>6</v>
      </c>
      <c r="M85" s="1" t="s">
        <v>76</v>
      </c>
      <c r="N85" s="1">
        <v>88</v>
      </c>
    </row>
    <row r="86" spans="1:14" x14ac:dyDescent="0.25">
      <c r="A86" s="1"/>
      <c r="B86" s="2" t="s">
        <v>105</v>
      </c>
      <c r="C86" s="4">
        <v>42240</v>
      </c>
      <c r="D86" s="2" t="s">
        <v>79</v>
      </c>
      <c r="E86" s="2" t="s">
        <v>300</v>
      </c>
      <c r="F86" s="7" t="s">
        <v>305</v>
      </c>
      <c r="G86" s="2" t="s">
        <v>213</v>
      </c>
      <c r="H86" s="7" t="s">
        <v>476</v>
      </c>
      <c r="I86" s="4">
        <v>42273</v>
      </c>
      <c r="J86" s="2" t="s">
        <v>42</v>
      </c>
      <c r="K86" s="2" t="s">
        <v>36</v>
      </c>
      <c r="L86" s="1" t="s">
        <v>6</v>
      </c>
      <c r="M86" s="1" t="s">
        <v>76</v>
      </c>
      <c r="N86" s="1">
        <v>89</v>
      </c>
    </row>
    <row r="87" spans="1:14" x14ac:dyDescent="0.25">
      <c r="A87" s="1"/>
      <c r="B87" s="2" t="s">
        <v>105</v>
      </c>
      <c r="C87" s="4">
        <v>42240</v>
      </c>
      <c r="D87" s="2" t="s">
        <v>79</v>
      </c>
      <c r="E87" s="2" t="s">
        <v>300</v>
      </c>
      <c r="F87" s="7" t="s">
        <v>306</v>
      </c>
      <c r="G87" s="2" t="s">
        <v>213</v>
      </c>
      <c r="H87" s="7" t="s">
        <v>898</v>
      </c>
      <c r="I87" s="4">
        <v>42273</v>
      </c>
      <c r="J87" s="2" t="s">
        <v>42</v>
      </c>
      <c r="K87" s="2" t="s">
        <v>36</v>
      </c>
      <c r="L87" s="1" t="s">
        <v>6</v>
      </c>
      <c r="M87" s="1" t="s">
        <v>76</v>
      </c>
      <c r="N87" s="1">
        <v>90</v>
      </c>
    </row>
    <row r="88" spans="1:14" x14ac:dyDescent="0.25">
      <c r="A88" s="1"/>
      <c r="B88" s="2" t="s">
        <v>105</v>
      </c>
      <c r="C88" s="4">
        <v>42240</v>
      </c>
      <c r="D88" s="2" t="s">
        <v>79</v>
      </c>
      <c r="E88" s="2" t="s">
        <v>300</v>
      </c>
      <c r="F88" s="7" t="s">
        <v>307</v>
      </c>
      <c r="G88" s="2" t="s">
        <v>213</v>
      </c>
      <c r="H88" s="7" t="s">
        <v>897</v>
      </c>
      <c r="I88" s="4">
        <v>42273</v>
      </c>
      <c r="J88" s="2" t="s">
        <v>42</v>
      </c>
      <c r="K88" s="2" t="s">
        <v>36</v>
      </c>
      <c r="L88" s="1" t="s">
        <v>6</v>
      </c>
      <c r="M88" s="1" t="s">
        <v>76</v>
      </c>
      <c r="N88" s="1">
        <v>91</v>
      </c>
    </row>
    <row r="89" spans="1:14" ht="30" x14ac:dyDescent="0.25">
      <c r="A89" s="1"/>
      <c r="B89" s="2" t="s">
        <v>105</v>
      </c>
      <c r="C89" s="4">
        <v>42240</v>
      </c>
      <c r="D89" s="2" t="s">
        <v>79</v>
      </c>
      <c r="E89" s="2" t="s">
        <v>300</v>
      </c>
      <c r="F89" s="7" t="s">
        <v>378</v>
      </c>
      <c r="G89" s="2" t="s">
        <v>213</v>
      </c>
      <c r="H89" s="7" t="s">
        <v>861</v>
      </c>
      <c r="I89" s="4">
        <v>42273</v>
      </c>
      <c r="J89" s="2" t="s">
        <v>42</v>
      </c>
      <c r="K89" s="2" t="s">
        <v>36</v>
      </c>
      <c r="L89" s="1" t="s">
        <v>6</v>
      </c>
      <c r="M89" s="1" t="s">
        <v>76</v>
      </c>
      <c r="N89" s="1">
        <v>92</v>
      </c>
    </row>
    <row r="90" spans="1:14" ht="30" x14ac:dyDescent="0.25">
      <c r="A90" s="1"/>
      <c r="B90" s="2" t="s">
        <v>105</v>
      </c>
      <c r="C90" s="4">
        <v>42240</v>
      </c>
      <c r="D90" s="2" t="s">
        <v>79</v>
      </c>
      <c r="E90" s="2" t="s">
        <v>300</v>
      </c>
      <c r="F90" s="7" t="s">
        <v>899</v>
      </c>
      <c r="G90" s="2" t="s">
        <v>213</v>
      </c>
      <c r="H90" s="7" t="s">
        <v>862</v>
      </c>
      <c r="I90" s="4">
        <v>42273</v>
      </c>
      <c r="J90" s="2" t="s">
        <v>42</v>
      </c>
      <c r="K90" s="2" t="s">
        <v>36</v>
      </c>
      <c r="L90" s="1" t="s">
        <v>6</v>
      </c>
      <c r="M90" s="1" t="s">
        <v>76</v>
      </c>
      <c r="N90" s="1">
        <v>93</v>
      </c>
    </row>
    <row r="91" spans="1:14" ht="30" x14ac:dyDescent="0.25">
      <c r="A91" s="1"/>
      <c r="B91" s="2" t="s">
        <v>105</v>
      </c>
      <c r="C91" s="4">
        <v>42240</v>
      </c>
      <c r="D91" s="2" t="s">
        <v>75</v>
      </c>
      <c r="E91" s="2" t="s">
        <v>300</v>
      </c>
      <c r="F91" s="7" t="s">
        <v>379</v>
      </c>
      <c r="G91" s="2" t="s">
        <v>213</v>
      </c>
      <c r="H91" s="7" t="s">
        <v>900</v>
      </c>
      <c r="I91" s="4">
        <v>42273</v>
      </c>
      <c r="J91" s="2" t="s">
        <v>42</v>
      </c>
      <c r="K91" s="2" t="s">
        <v>36</v>
      </c>
      <c r="L91" s="1" t="s">
        <v>6</v>
      </c>
      <c r="M91" s="1" t="s">
        <v>76</v>
      </c>
      <c r="N91" s="1">
        <v>94</v>
      </c>
    </row>
    <row r="92" spans="1:14" x14ac:dyDescent="0.25">
      <c r="A92" s="1"/>
      <c r="B92" s="2" t="s">
        <v>105</v>
      </c>
      <c r="C92" s="4">
        <v>42241</v>
      </c>
      <c r="D92" s="2" t="s">
        <v>256</v>
      </c>
      <c r="E92" s="2" t="s">
        <v>300</v>
      </c>
      <c r="F92" s="7" t="s">
        <v>308</v>
      </c>
      <c r="G92" s="2" t="s">
        <v>213</v>
      </c>
      <c r="H92" s="7"/>
      <c r="I92" s="4">
        <v>42241</v>
      </c>
      <c r="J92" s="2" t="s">
        <v>42</v>
      </c>
      <c r="K92" s="2" t="s">
        <v>36</v>
      </c>
      <c r="L92" s="1" t="s">
        <v>6</v>
      </c>
      <c r="M92" s="1" t="s">
        <v>76</v>
      </c>
      <c r="N92" s="1">
        <v>95</v>
      </c>
    </row>
    <row r="93" spans="1:14" ht="30" x14ac:dyDescent="0.25">
      <c r="A93" s="1"/>
      <c r="B93" s="2" t="s">
        <v>105</v>
      </c>
      <c r="C93" s="4">
        <v>42241</v>
      </c>
      <c r="D93" s="2" t="s">
        <v>79</v>
      </c>
      <c r="E93" s="2" t="s">
        <v>300</v>
      </c>
      <c r="F93" s="7" t="s">
        <v>380</v>
      </c>
      <c r="G93" s="2" t="s">
        <v>213</v>
      </c>
      <c r="H93" s="7" t="s">
        <v>486</v>
      </c>
      <c r="I93" s="4">
        <v>42273</v>
      </c>
      <c r="J93" s="2" t="s">
        <v>42</v>
      </c>
      <c r="K93" s="2" t="s">
        <v>36</v>
      </c>
      <c r="L93" s="1" t="s">
        <v>6</v>
      </c>
      <c r="M93" s="1" t="s">
        <v>76</v>
      </c>
      <c r="N93" s="1">
        <v>96</v>
      </c>
    </row>
    <row r="94" spans="1:14" ht="30" x14ac:dyDescent="0.25">
      <c r="A94" s="1"/>
      <c r="B94" s="2" t="s">
        <v>110</v>
      </c>
      <c r="C94" s="4">
        <v>42241</v>
      </c>
      <c r="D94" s="2" t="s">
        <v>75</v>
      </c>
      <c r="E94" s="2" t="s">
        <v>309</v>
      </c>
      <c r="F94" s="7" t="s">
        <v>310</v>
      </c>
      <c r="G94" s="2" t="s">
        <v>213</v>
      </c>
      <c r="H94" s="7" t="s">
        <v>311</v>
      </c>
      <c r="I94" s="4">
        <v>42241</v>
      </c>
      <c r="J94" s="2" t="s">
        <v>42</v>
      </c>
      <c r="K94" s="2" t="s">
        <v>41</v>
      </c>
      <c r="L94" s="1" t="s">
        <v>6</v>
      </c>
      <c r="M94" s="1" t="s">
        <v>76</v>
      </c>
      <c r="N94" s="1">
        <v>97</v>
      </c>
    </row>
    <row r="95" spans="1:14" x14ac:dyDescent="0.25">
      <c r="A95" s="1"/>
      <c r="B95" s="2" t="s">
        <v>110</v>
      </c>
      <c r="C95" s="4">
        <v>42241</v>
      </c>
      <c r="D95" s="2" t="s">
        <v>79</v>
      </c>
      <c r="E95" s="2" t="s">
        <v>309</v>
      </c>
      <c r="F95" s="7" t="s">
        <v>312</v>
      </c>
      <c r="G95" s="2" t="s">
        <v>213</v>
      </c>
      <c r="H95" s="7" t="s">
        <v>313</v>
      </c>
      <c r="I95" s="4">
        <v>42241</v>
      </c>
      <c r="J95" s="2" t="s">
        <v>42</v>
      </c>
      <c r="K95" s="2" t="s">
        <v>41</v>
      </c>
      <c r="L95" s="1" t="s">
        <v>6</v>
      </c>
      <c r="M95" s="1" t="s">
        <v>76</v>
      </c>
      <c r="N95" s="1">
        <v>98</v>
      </c>
    </row>
    <row r="96" spans="1:14" x14ac:dyDescent="0.25">
      <c r="A96" s="1"/>
      <c r="B96" s="2" t="s">
        <v>110</v>
      </c>
      <c r="C96" s="4">
        <v>42241</v>
      </c>
      <c r="D96" s="2" t="s">
        <v>79</v>
      </c>
      <c r="E96" s="2" t="s">
        <v>309</v>
      </c>
      <c r="F96" s="7" t="s">
        <v>381</v>
      </c>
      <c r="G96" s="2" t="s">
        <v>213</v>
      </c>
      <c r="H96" s="7" t="s">
        <v>314</v>
      </c>
      <c r="I96" s="4">
        <v>42241</v>
      </c>
      <c r="J96" s="2" t="s">
        <v>42</v>
      </c>
      <c r="K96" s="2" t="s">
        <v>116</v>
      </c>
      <c r="L96" s="1" t="s">
        <v>6</v>
      </c>
      <c r="M96" s="1" t="s">
        <v>76</v>
      </c>
      <c r="N96" s="1">
        <v>99</v>
      </c>
    </row>
    <row r="97" spans="1:14" x14ac:dyDescent="0.25">
      <c r="A97" s="1"/>
      <c r="B97" s="2" t="s">
        <v>110</v>
      </c>
      <c r="C97" s="4">
        <v>42241</v>
      </c>
      <c r="D97" s="2" t="s">
        <v>79</v>
      </c>
      <c r="E97" s="2" t="s">
        <v>270</v>
      </c>
      <c r="F97" s="7" t="s">
        <v>382</v>
      </c>
      <c r="G97" s="2" t="s">
        <v>213</v>
      </c>
      <c r="H97" s="7" t="s">
        <v>383</v>
      </c>
      <c r="I97" s="4">
        <v>42241</v>
      </c>
      <c r="J97" s="2" t="s">
        <v>42</v>
      </c>
      <c r="K97" s="2" t="s">
        <v>41</v>
      </c>
      <c r="L97" s="1" t="s">
        <v>6</v>
      </c>
      <c r="M97" s="1" t="s">
        <v>76</v>
      </c>
      <c r="N97" s="1">
        <v>100</v>
      </c>
    </row>
    <row r="98" spans="1:14" x14ac:dyDescent="0.25">
      <c r="A98" s="1"/>
      <c r="B98" s="2" t="s">
        <v>110</v>
      </c>
      <c r="C98" s="4">
        <v>42241</v>
      </c>
      <c r="D98" s="2" t="s">
        <v>79</v>
      </c>
      <c r="E98" s="2" t="s">
        <v>309</v>
      </c>
      <c r="F98" s="7" t="s">
        <v>316</v>
      </c>
      <c r="G98" s="2" t="s">
        <v>213</v>
      </c>
      <c r="H98" s="7" t="s">
        <v>317</v>
      </c>
      <c r="I98" s="4">
        <v>42241</v>
      </c>
      <c r="J98" s="2" t="s">
        <v>42</v>
      </c>
      <c r="K98" s="2" t="s">
        <v>41</v>
      </c>
      <c r="L98" s="1" t="s">
        <v>6</v>
      </c>
      <c r="M98" s="1" t="s">
        <v>76</v>
      </c>
      <c r="N98" s="1">
        <v>101</v>
      </c>
    </row>
    <row r="99" spans="1:14" x14ac:dyDescent="0.25">
      <c r="A99" s="1"/>
      <c r="B99" s="2" t="s">
        <v>114</v>
      </c>
      <c r="C99" s="4">
        <v>42243</v>
      </c>
      <c r="D99" s="2" t="s">
        <v>79</v>
      </c>
      <c r="E99" s="2" t="s">
        <v>257</v>
      </c>
      <c r="F99" s="7" t="s">
        <v>413</v>
      </c>
      <c r="G99" s="2" t="s">
        <v>213</v>
      </c>
      <c r="H99" s="7" t="s">
        <v>414</v>
      </c>
      <c r="I99" s="4">
        <v>42243</v>
      </c>
      <c r="J99" s="2" t="s">
        <v>42</v>
      </c>
      <c r="K99" s="2" t="s">
        <v>116</v>
      </c>
      <c r="L99" s="1" t="s">
        <v>6</v>
      </c>
      <c r="M99" s="1" t="s">
        <v>76</v>
      </c>
      <c r="N99" s="1">
        <v>102</v>
      </c>
    </row>
    <row r="100" spans="1:14" x14ac:dyDescent="0.25">
      <c r="A100" s="1"/>
      <c r="B100" s="2" t="s">
        <v>114</v>
      </c>
      <c r="C100" s="4">
        <v>42243</v>
      </c>
      <c r="D100" s="2" t="s">
        <v>79</v>
      </c>
      <c r="E100" s="2" t="s">
        <v>415</v>
      </c>
      <c r="F100" s="7" t="s">
        <v>416</v>
      </c>
      <c r="G100" s="2" t="s">
        <v>213</v>
      </c>
      <c r="H100" s="7" t="s">
        <v>417</v>
      </c>
      <c r="I100" s="4">
        <v>42243</v>
      </c>
      <c r="J100" s="2" t="s">
        <v>42</v>
      </c>
      <c r="K100" s="2" t="s">
        <v>116</v>
      </c>
      <c r="L100" s="1" t="s">
        <v>6</v>
      </c>
      <c r="M100" s="1" t="s">
        <v>76</v>
      </c>
      <c r="N100" s="1">
        <v>103</v>
      </c>
    </row>
    <row r="101" spans="1:14" x14ac:dyDescent="0.25">
      <c r="A101" s="1"/>
      <c r="B101" s="2" t="s">
        <v>114</v>
      </c>
      <c r="C101" s="4">
        <v>42243</v>
      </c>
      <c r="D101" s="2" t="s">
        <v>79</v>
      </c>
      <c r="E101" s="2" t="s">
        <v>279</v>
      </c>
      <c r="F101" s="7" t="s">
        <v>418</v>
      </c>
      <c r="G101" s="2" t="s">
        <v>213</v>
      </c>
      <c r="H101" s="7" t="s">
        <v>419</v>
      </c>
      <c r="I101" s="4">
        <v>42243</v>
      </c>
      <c r="J101" s="2" t="s">
        <v>42</v>
      </c>
      <c r="K101" s="2" t="s">
        <v>116</v>
      </c>
      <c r="L101" s="1" t="s">
        <v>6</v>
      </c>
      <c r="M101" s="1" t="s">
        <v>76</v>
      </c>
      <c r="N101" s="1">
        <v>104</v>
      </c>
    </row>
    <row r="102" spans="1:14" x14ac:dyDescent="0.25">
      <c r="A102" s="1"/>
      <c r="B102" s="2" t="s">
        <v>114</v>
      </c>
      <c r="C102" s="4">
        <v>42243</v>
      </c>
      <c r="D102" s="2" t="s">
        <v>79</v>
      </c>
      <c r="E102" s="2" t="s">
        <v>270</v>
      </c>
      <c r="F102" s="7" t="s">
        <v>433</v>
      </c>
      <c r="G102" s="2" t="s">
        <v>213</v>
      </c>
      <c r="H102" s="7" t="s">
        <v>420</v>
      </c>
      <c r="I102" s="4">
        <v>42243</v>
      </c>
      <c r="J102" s="2" t="s">
        <v>42</v>
      </c>
      <c r="K102" s="2" t="s">
        <v>116</v>
      </c>
      <c r="L102" s="1" t="s">
        <v>6</v>
      </c>
      <c r="M102" s="1" t="s">
        <v>76</v>
      </c>
      <c r="N102" s="1">
        <v>105</v>
      </c>
    </row>
    <row r="103" spans="1:14" x14ac:dyDescent="0.25">
      <c r="A103" s="1"/>
      <c r="B103" s="2" t="s">
        <v>114</v>
      </c>
      <c r="C103" s="4">
        <v>42243</v>
      </c>
      <c r="D103" s="2" t="s">
        <v>79</v>
      </c>
      <c r="E103" s="2" t="s">
        <v>270</v>
      </c>
      <c r="F103" s="7" t="s">
        <v>421</v>
      </c>
      <c r="G103" s="2" t="s">
        <v>213</v>
      </c>
      <c r="H103" s="7" t="s">
        <v>422</v>
      </c>
      <c r="I103" s="4">
        <v>42243</v>
      </c>
      <c r="J103" s="2" t="s">
        <v>42</v>
      </c>
      <c r="K103" s="2" t="s">
        <v>116</v>
      </c>
      <c r="L103" s="1" t="s">
        <v>6</v>
      </c>
      <c r="M103" s="1" t="s">
        <v>76</v>
      </c>
      <c r="N103" s="1">
        <v>106</v>
      </c>
    </row>
    <row r="104" spans="1:14" x14ac:dyDescent="0.25">
      <c r="A104" s="1"/>
      <c r="B104" s="2" t="s">
        <v>114</v>
      </c>
      <c r="C104" s="4">
        <v>42243</v>
      </c>
      <c r="D104" s="2" t="s">
        <v>256</v>
      </c>
      <c r="E104" s="2" t="s">
        <v>270</v>
      </c>
      <c r="F104" s="7" t="s">
        <v>423</v>
      </c>
      <c r="G104" s="2" t="s">
        <v>213</v>
      </c>
      <c r="H104" s="7"/>
      <c r="I104" s="4">
        <v>42243</v>
      </c>
      <c r="J104" s="2" t="s">
        <v>42</v>
      </c>
      <c r="K104" s="2" t="s">
        <v>116</v>
      </c>
      <c r="L104" s="1" t="s">
        <v>6</v>
      </c>
      <c r="M104" s="1" t="s">
        <v>76</v>
      </c>
      <c r="N104" s="1">
        <v>107</v>
      </c>
    </row>
    <row r="105" spans="1:14" x14ac:dyDescent="0.25">
      <c r="A105" s="1"/>
      <c r="B105" s="2" t="s">
        <v>114</v>
      </c>
      <c r="C105" s="4">
        <v>42243</v>
      </c>
      <c r="D105" s="2" t="s">
        <v>256</v>
      </c>
      <c r="E105" s="2" t="s">
        <v>269</v>
      </c>
      <c r="F105" s="7" t="s">
        <v>424</v>
      </c>
      <c r="G105" s="2" t="s">
        <v>213</v>
      </c>
      <c r="H105" s="7"/>
      <c r="I105" s="4">
        <v>42243</v>
      </c>
      <c r="J105" s="2" t="s">
        <v>42</v>
      </c>
      <c r="K105" s="2" t="s">
        <v>116</v>
      </c>
      <c r="L105" s="1" t="s">
        <v>6</v>
      </c>
      <c r="M105" s="1" t="s">
        <v>76</v>
      </c>
      <c r="N105" s="1">
        <v>108</v>
      </c>
    </row>
    <row r="106" spans="1:14" x14ac:dyDescent="0.25">
      <c r="A106" s="1"/>
      <c r="B106" s="2" t="s">
        <v>108</v>
      </c>
      <c r="C106" s="4">
        <v>42244</v>
      </c>
      <c r="D106" s="2" t="s">
        <v>79</v>
      </c>
      <c r="E106" s="2" t="s">
        <v>425</v>
      </c>
      <c r="F106" s="7" t="s">
        <v>426</v>
      </c>
      <c r="G106" s="2" t="s">
        <v>213</v>
      </c>
      <c r="H106" s="7" t="s">
        <v>477</v>
      </c>
      <c r="I106" s="4"/>
      <c r="J106" s="2" t="s">
        <v>116</v>
      </c>
      <c r="K106" s="2" t="s">
        <v>116</v>
      </c>
      <c r="L106" s="1" t="s">
        <v>6</v>
      </c>
      <c r="M106" s="1" t="s">
        <v>76</v>
      </c>
      <c r="N106" s="1">
        <v>109</v>
      </c>
    </row>
    <row r="107" spans="1:14" ht="45" x14ac:dyDescent="0.25">
      <c r="A107" s="1"/>
      <c r="B107" s="2" t="s">
        <v>108</v>
      </c>
      <c r="C107" s="4">
        <v>42244</v>
      </c>
      <c r="D107" s="2" t="s">
        <v>75</v>
      </c>
      <c r="E107" s="2" t="s">
        <v>77</v>
      </c>
      <c r="F107" s="7" t="s">
        <v>434</v>
      </c>
      <c r="G107" s="2" t="s">
        <v>213</v>
      </c>
      <c r="H107" s="7" t="s">
        <v>487</v>
      </c>
      <c r="I107" s="4"/>
      <c r="J107" s="2" t="s">
        <v>116</v>
      </c>
      <c r="K107" s="2" t="s">
        <v>116</v>
      </c>
      <c r="L107" s="1" t="s">
        <v>6</v>
      </c>
      <c r="M107" s="1" t="s">
        <v>76</v>
      </c>
      <c r="N107" s="1">
        <v>110</v>
      </c>
    </row>
    <row r="108" spans="1:14" x14ac:dyDescent="0.25">
      <c r="A108" s="1"/>
      <c r="B108" s="2" t="s">
        <v>108</v>
      </c>
      <c r="C108" s="4">
        <v>42244</v>
      </c>
      <c r="D108" s="2" t="s">
        <v>79</v>
      </c>
      <c r="E108" s="2" t="s">
        <v>77</v>
      </c>
      <c r="F108" s="7" t="s">
        <v>427</v>
      </c>
      <c r="G108" s="2" t="s">
        <v>213</v>
      </c>
      <c r="H108" s="7" t="s">
        <v>478</v>
      </c>
      <c r="I108" s="4"/>
      <c r="J108" s="2" t="s">
        <v>116</v>
      </c>
      <c r="K108" s="2" t="s">
        <v>116</v>
      </c>
      <c r="L108" s="1" t="s">
        <v>6</v>
      </c>
      <c r="M108" s="1" t="s">
        <v>76</v>
      </c>
      <c r="N108" s="1">
        <v>111</v>
      </c>
    </row>
    <row r="109" spans="1:14" x14ac:dyDescent="0.25">
      <c r="A109" s="1"/>
      <c r="B109" s="2" t="s">
        <v>108</v>
      </c>
      <c r="C109" s="4">
        <v>42244</v>
      </c>
      <c r="D109" s="2" t="s">
        <v>79</v>
      </c>
      <c r="E109" s="2" t="s">
        <v>428</v>
      </c>
      <c r="F109" s="7" t="s">
        <v>429</v>
      </c>
      <c r="G109" s="2" t="s">
        <v>213</v>
      </c>
      <c r="H109" s="7" t="s">
        <v>479</v>
      </c>
      <c r="I109" s="4"/>
      <c r="J109" s="2" t="s">
        <v>116</v>
      </c>
      <c r="K109" s="2" t="s">
        <v>116</v>
      </c>
      <c r="L109" s="1" t="s">
        <v>6</v>
      </c>
      <c r="M109" s="1" t="s">
        <v>76</v>
      </c>
      <c r="N109" s="1">
        <v>112</v>
      </c>
    </row>
    <row r="110" spans="1:14" x14ac:dyDescent="0.25">
      <c r="A110" s="1"/>
      <c r="B110" s="2" t="s">
        <v>108</v>
      </c>
      <c r="C110" s="4">
        <v>42244</v>
      </c>
      <c r="D110" s="2" t="s">
        <v>79</v>
      </c>
      <c r="E110" s="2" t="s">
        <v>428</v>
      </c>
      <c r="F110" s="7" t="s">
        <v>430</v>
      </c>
      <c r="G110" s="2" t="s">
        <v>213</v>
      </c>
      <c r="H110" s="7" t="s">
        <v>480</v>
      </c>
      <c r="I110" s="4"/>
      <c r="J110" s="2" t="s">
        <v>116</v>
      </c>
      <c r="K110" s="2" t="s">
        <v>116</v>
      </c>
      <c r="L110" s="1" t="s">
        <v>6</v>
      </c>
      <c r="M110" s="1" t="s">
        <v>76</v>
      </c>
      <c r="N110" s="1">
        <v>113</v>
      </c>
    </row>
    <row r="111" spans="1:14" ht="30" x14ac:dyDescent="0.25">
      <c r="A111" s="1"/>
      <c r="B111" s="2" t="s">
        <v>108</v>
      </c>
      <c r="C111" s="4">
        <v>42245</v>
      </c>
      <c r="D111" s="2" t="s">
        <v>79</v>
      </c>
      <c r="E111" s="2" t="s">
        <v>77</v>
      </c>
      <c r="F111" s="7" t="s">
        <v>435</v>
      </c>
      <c r="G111" s="2" t="s">
        <v>213</v>
      </c>
      <c r="H111" s="7" t="s">
        <v>481</v>
      </c>
      <c r="I111" s="4"/>
      <c r="J111" s="2" t="s">
        <v>116</v>
      </c>
      <c r="K111" s="2" t="s">
        <v>116</v>
      </c>
      <c r="L111" s="1" t="s">
        <v>6</v>
      </c>
      <c r="M111" s="1" t="s">
        <v>76</v>
      </c>
      <c r="N111" s="1">
        <v>114</v>
      </c>
    </row>
    <row r="112" spans="1:14" ht="30" x14ac:dyDescent="0.25">
      <c r="A112" s="1"/>
      <c r="B112" s="2" t="s">
        <v>108</v>
      </c>
      <c r="C112" s="4">
        <v>42245</v>
      </c>
      <c r="D112" s="2" t="s">
        <v>256</v>
      </c>
      <c r="E112" s="2" t="s">
        <v>425</v>
      </c>
      <c r="F112" s="7" t="s">
        <v>436</v>
      </c>
      <c r="G112" s="2" t="s">
        <v>213</v>
      </c>
      <c r="H112" s="7"/>
      <c r="I112" s="4"/>
      <c r="J112" s="2" t="s">
        <v>116</v>
      </c>
      <c r="K112" s="2" t="s">
        <v>116</v>
      </c>
      <c r="L112" s="1" t="s">
        <v>6</v>
      </c>
      <c r="M112" s="1" t="s">
        <v>76</v>
      </c>
      <c r="N112" s="1">
        <v>115</v>
      </c>
    </row>
    <row r="113" spans="1:14" ht="30" x14ac:dyDescent="0.25">
      <c r="A113" s="1"/>
      <c r="B113" s="2" t="s">
        <v>108</v>
      </c>
      <c r="C113" s="4">
        <v>42245</v>
      </c>
      <c r="D113" s="2" t="s">
        <v>75</v>
      </c>
      <c r="E113" s="2" t="s">
        <v>77</v>
      </c>
      <c r="F113" s="7" t="s">
        <v>437</v>
      </c>
      <c r="G113" s="2" t="s">
        <v>213</v>
      </c>
      <c r="H113" s="7" t="s">
        <v>482</v>
      </c>
      <c r="I113" s="4"/>
      <c r="J113" s="2" t="s">
        <v>116</v>
      </c>
      <c r="K113" s="2" t="s">
        <v>116</v>
      </c>
      <c r="L113" s="1" t="s">
        <v>6</v>
      </c>
      <c r="M113" s="1" t="s">
        <v>76</v>
      </c>
      <c r="N113" s="1">
        <v>116</v>
      </c>
    </row>
    <row r="114" spans="1:14" ht="45" x14ac:dyDescent="0.25">
      <c r="A114" s="1"/>
      <c r="B114" s="2" t="s">
        <v>108</v>
      </c>
      <c r="C114" s="4">
        <v>42245</v>
      </c>
      <c r="D114" s="2" t="s">
        <v>256</v>
      </c>
      <c r="E114" s="2" t="s">
        <v>257</v>
      </c>
      <c r="F114" s="7" t="s">
        <v>438</v>
      </c>
      <c r="G114" s="2" t="s">
        <v>213</v>
      </c>
      <c r="H114" s="7"/>
      <c r="I114" s="4"/>
      <c r="J114" s="2" t="s">
        <v>116</v>
      </c>
      <c r="K114" s="2" t="s">
        <v>116</v>
      </c>
      <c r="L114" s="1" t="s">
        <v>6</v>
      </c>
      <c r="M114" s="1" t="s">
        <v>76</v>
      </c>
      <c r="N114" s="1">
        <v>117</v>
      </c>
    </row>
    <row r="115" spans="1:14" ht="30" x14ac:dyDescent="0.25">
      <c r="A115" s="1"/>
      <c r="B115" s="2" t="s">
        <v>108</v>
      </c>
      <c r="C115" s="4">
        <v>42245</v>
      </c>
      <c r="D115" s="2" t="s">
        <v>79</v>
      </c>
      <c r="E115" s="2" t="s">
        <v>425</v>
      </c>
      <c r="F115" s="7" t="s">
        <v>439</v>
      </c>
      <c r="G115" s="2" t="s">
        <v>213</v>
      </c>
      <c r="H115" s="7" t="s">
        <v>483</v>
      </c>
      <c r="I115" s="4"/>
      <c r="J115" s="2" t="s">
        <v>116</v>
      </c>
      <c r="K115" s="2" t="s">
        <v>116</v>
      </c>
      <c r="L115" s="1" t="s">
        <v>6</v>
      </c>
      <c r="M115" s="1" t="s">
        <v>76</v>
      </c>
      <c r="N115" s="1">
        <v>118</v>
      </c>
    </row>
    <row r="116" spans="1:14" ht="30" x14ac:dyDescent="0.25">
      <c r="A116" s="1"/>
      <c r="B116" s="2" t="s">
        <v>108</v>
      </c>
      <c r="C116" s="4">
        <v>42245</v>
      </c>
      <c r="D116" s="2" t="s">
        <v>256</v>
      </c>
      <c r="E116" s="2" t="s">
        <v>257</v>
      </c>
      <c r="F116" s="7" t="s">
        <v>431</v>
      </c>
      <c r="G116" s="2" t="s">
        <v>213</v>
      </c>
      <c r="H116" s="7"/>
      <c r="I116" s="4"/>
      <c r="J116" s="2" t="s">
        <v>116</v>
      </c>
      <c r="K116" s="2" t="s">
        <v>116</v>
      </c>
      <c r="L116" s="1" t="s">
        <v>6</v>
      </c>
      <c r="M116" s="1" t="s">
        <v>76</v>
      </c>
      <c r="N116" s="1">
        <v>119</v>
      </c>
    </row>
    <row r="117" spans="1:14" x14ac:dyDescent="0.25">
      <c r="A117" s="1"/>
      <c r="B117" s="2" t="s">
        <v>108</v>
      </c>
      <c r="C117" s="4">
        <v>42245</v>
      </c>
      <c r="D117" s="2" t="s">
        <v>75</v>
      </c>
      <c r="E117" s="2" t="s">
        <v>269</v>
      </c>
      <c r="F117" s="7" t="s">
        <v>432</v>
      </c>
      <c r="G117" s="2" t="s">
        <v>213</v>
      </c>
      <c r="H117" s="7" t="s">
        <v>484</v>
      </c>
      <c r="I117" s="4"/>
      <c r="J117" s="2" t="s">
        <v>116</v>
      </c>
      <c r="K117" s="2" t="s">
        <v>116</v>
      </c>
      <c r="L117" s="1" t="s">
        <v>6</v>
      </c>
      <c r="M117" s="1" t="s">
        <v>76</v>
      </c>
      <c r="N117" s="1">
        <v>120</v>
      </c>
    </row>
    <row r="118" spans="1:14" ht="30" x14ac:dyDescent="0.25">
      <c r="A118" s="1"/>
      <c r="B118" s="2" t="s">
        <v>110</v>
      </c>
      <c r="C118" s="4">
        <v>42254</v>
      </c>
      <c r="D118" s="2" t="s">
        <v>256</v>
      </c>
      <c r="E118" s="2" t="s">
        <v>77</v>
      </c>
      <c r="F118" s="7" t="s">
        <v>570</v>
      </c>
      <c r="G118" s="2" t="s">
        <v>213</v>
      </c>
      <c r="H118" s="7"/>
      <c r="I118" s="4">
        <v>42254</v>
      </c>
      <c r="J118" s="2" t="s">
        <v>42</v>
      </c>
      <c r="K118" s="2" t="s">
        <v>41</v>
      </c>
      <c r="L118" s="1" t="s">
        <v>6</v>
      </c>
      <c r="M118" s="1" t="s">
        <v>76</v>
      </c>
      <c r="N118" s="1">
        <v>130</v>
      </c>
    </row>
    <row r="119" spans="1:14" x14ac:dyDescent="0.25">
      <c r="A119" s="1"/>
      <c r="B119" s="2" t="s">
        <v>110</v>
      </c>
      <c r="C119" s="4">
        <v>42254</v>
      </c>
      <c r="D119" s="2" t="s">
        <v>79</v>
      </c>
      <c r="E119" s="2" t="s">
        <v>77</v>
      </c>
      <c r="F119" s="7" t="s">
        <v>571</v>
      </c>
      <c r="G119" s="2" t="s">
        <v>213</v>
      </c>
      <c r="H119" s="7" t="s">
        <v>547</v>
      </c>
      <c r="I119" s="4">
        <v>42261</v>
      </c>
      <c r="J119" s="2" t="s">
        <v>42</v>
      </c>
      <c r="K119" s="2" t="s">
        <v>41</v>
      </c>
      <c r="L119" s="1" t="s">
        <v>6</v>
      </c>
      <c r="M119" s="1" t="s">
        <v>76</v>
      </c>
      <c r="N119" s="1">
        <v>131</v>
      </c>
    </row>
    <row r="120" spans="1:14" ht="30" x14ac:dyDescent="0.25">
      <c r="A120" s="1"/>
      <c r="B120" s="2" t="s">
        <v>110</v>
      </c>
      <c r="C120" s="4">
        <v>42254</v>
      </c>
      <c r="D120" s="2" t="s">
        <v>79</v>
      </c>
      <c r="E120" s="2" t="s">
        <v>77</v>
      </c>
      <c r="F120" s="7" t="s">
        <v>666</v>
      </c>
      <c r="G120" s="2" t="s">
        <v>213</v>
      </c>
      <c r="H120" s="7" t="s">
        <v>621</v>
      </c>
      <c r="I120" s="4"/>
      <c r="J120" s="2" t="s">
        <v>42</v>
      </c>
      <c r="K120" s="2" t="s">
        <v>41</v>
      </c>
      <c r="L120" s="1" t="s">
        <v>6</v>
      </c>
      <c r="M120" s="1" t="s">
        <v>76</v>
      </c>
      <c r="N120" s="1">
        <v>132</v>
      </c>
    </row>
    <row r="121" spans="1:14" ht="30" x14ac:dyDescent="0.25">
      <c r="A121" s="1"/>
      <c r="B121" s="2" t="s">
        <v>110</v>
      </c>
      <c r="C121" s="4">
        <v>42254</v>
      </c>
      <c r="D121" s="2" t="s">
        <v>79</v>
      </c>
      <c r="E121" s="2" t="s">
        <v>485</v>
      </c>
      <c r="F121" s="7" t="s">
        <v>667</v>
      </c>
      <c r="G121" s="2" t="s">
        <v>213</v>
      </c>
      <c r="H121" s="7" t="s">
        <v>622</v>
      </c>
      <c r="I121" s="4"/>
      <c r="J121" s="2" t="s">
        <v>42</v>
      </c>
      <c r="K121" s="2" t="s">
        <v>41</v>
      </c>
      <c r="L121" s="1" t="s">
        <v>6</v>
      </c>
      <c r="M121" s="1" t="s">
        <v>76</v>
      </c>
      <c r="N121" s="1">
        <v>133</v>
      </c>
    </row>
    <row r="122" spans="1:14" x14ac:dyDescent="0.25">
      <c r="A122" s="1"/>
      <c r="B122" s="2" t="s">
        <v>110</v>
      </c>
      <c r="C122" s="4">
        <v>42254</v>
      </c>
      <c r="D122" s="2" t="s">
        <v>79</v>
      </c>
      <c r="E122" s="2" t="s">
        <v>77</v>
      </c>
      <c r="F122" s="7" t="s">
        <v>548</v>
      </c>
      <c r="G122" s="2" t="s">
        <v>213</v>
      </c>
      <c r="H122" s="7" t="s">
        <v>549</v>
      </c>
      <c r="I122" s="4">
        <v>42261</v>
      </c>
      <c r="J122" s="2" t="s">
        <v>42</v>
      </c>
      <c r="K122" s="2" t="s">
        <v>41</v>
      </c>
      <c r="L122" s="1" t="s">
        <v>6</v>
      </c>
      <c r="M122" s="1" t="s">
        <v>76</v>
      </c>
      <c r="N122" s="1">
        <v>134</v>
      </c>
    </row>
    <row r="123" spans="1:14" x14ac:dyDescent="0.25">
      <c r="A123" s="1"/>
      <c r="B123" s="2" t="s">
        <v>110</v>
      </c>
      <c r="C123" s="4">
        <v>42254</v>
      </c>
      <c r="D123" s="2" t="s">
        <v>256</v>
      </c>
      <c r="E123" s="2" t="s">
        <v>77</v>
      </c>
      <c r="F123" s="7" t="s">
        <v>550</v>
      </c>
      <c r="G123" s="2" t="s">
        <v>213</v>
      </c>
      <c r="H123" s="7"/>
      <c r="I123" s="4">
        <v>42254</v>
      </c>
      <c r="J123" s="2" t="s">
        <v>42</v>
      </c>
      <c r="K123" s="2" t="s">
        <v>41</v>
      </c>
      <c r="L123" s="1" t="s">
        <v>6</v>
      </c>
      <c r="M123" s="1" t="s">
        <v>76</v>
      </c>
      <c r="N123" s="1">
        <v>135</v>
      </c>
    </row>
    <row r="124" spans="1:14" x14ac:dyDescent="0.25">
      <c r="A124" s="1"/>
      <c r="B124" s="2" t="s">
        <v>110</v>
      </c>
      <c r="C124" s="4">
        <v>42254</v>
      </c>
      <c r="D124" s="2" t="s">
        <v>79</v>
      </c>
      <c r="E124" s="2" t="s">
        <v>425</v>
      </c>
      <c r="F124" s="7" t="s">
        <v>572</v>
      </c>
      <c r="G124" s="2" t="s">
        <v>213</v>
      </c>
      <c r="H124" s="7" t="s">
        <v>551</v>
      </c>
      <c r="I124" s="4">
        <v>42261</v>
      </c>
      <c r="J124" s="2" t="s">
        <v>42</v>
      </c>
      <c r="K124" s="2" t="s">
        <v>41</v>
      </c>
      <c r="L124" s="1" t="s">
        <v>6</v>
      </c>
      <c r="M124" s="1" t="s">
        <v>76</v>
      </c>
      <c r="N124" s="1">
        <v>136</v>
      </c>
    </row>
    <row r="125" spans="1:14" x14ac:dyDescent="0.25">
      <c r="A125" s="1"/>
      <c r="B125" s="2" t="s">
        <v>110</v>
      </c>
      <c r="C125" s="4">
        <v>42254</v>
      </c>
      <c r="D125" s="2" t="s">
        <v>79</v>
      </c>
      <c r="E125" s="2" t="s">
        <v>425</v>
      </c>
      <c r="F125" s="7" t="s">
        <v>552</v>
      </c>
      <c r="G125" s="2" t="s">
        <v>213</v>
      </c>
      <c r="H125" s="7" t="s">
        <v>573</v>
      </c>
      <c r="I125" s="4">
        <v>42261</v>
      </c>
      <c r="J125" s="2" t="s">
        <v>42</v>
      </c>
      <c r="K125" s="2" t="s">
        <v>41</v>
      </c>
      <c r="L125" s="1" t="s">
        <v>6</v>
      </c>
      <c r="M125" s="1" t="s">
        <v>76</v>
      </c>
      <c r="N125" s="1">
        <v>137</v>
      </c>
    </row>
    <row r="126" spans="1:14" x14ac:dyDescent="0.25">
      <c r="A126" s="1"/>
      <c r="B126" s="2" t="s">
        <v>110</v>
      </c>
      <c r="C126" s="4">
        <v>42254</v>
      </c>
      <c r="D126" s="2" t="s">
        <v>79</v>
      </c>
      <c r="E126" s="2" t="s">
        <v>425</v>
      </c>
      <c r="F126" s="7" t="s">
        <v>574</v>
      </c>
      <c r="G126" s="2" t="s">
        <v>213</v>
      </c>
      <c r="H126" s="7" t="s">
        <v>575</v>
      </c>
      <c r="I126" s="4">
        <v>42261</v>
      </c>
      <c r="J126" s="2" t="s">
        <v>42</v>
      </c>
      <c r="K126" s="2" t="s">
        <v>41</v>
      </c>
      <c r="L126" s="1" t="s">
        <v>6</v>
      </c>
      <c r="M126" s="1" t="s">
        <v>76</v>
      </c>
      <c r="N126" s="1">
        <v>138</v>
      </c>
    </row>
    <row r="127" spans="1:14" x14ac:dyDescent="0.25">
      <c r="A127" s="1"/>
      <c r="B127" s="2" t="s">
        <v>110</v>
      </c>
      <c r="C127" s="4">
        <v>42255</v>
      </c>
      <c r="D127" s="2" t="s">
        <v>79</v>
      </c>
      <c r="E127" s="2" t="s">
        <v>77</v>
      </c>
      <c r="F127" s="7" t="s">
        <v>576</v>
      </c>
      <c r="G127" s="2" t="s">
        <v>213</v>
      </c>
      <c r="H127" s="7" t="s">
        <v>668</v>
      </c>
      <c r="I127" s="4">
        <v>42261</v>
      </c>
      <c r="J127" s="2" t="s">
        <v>42</v>
      </c>
      <c r="K127" s="2" t="s">
        <v>41</v>
      </c>
      <c r="L127" s="1" t="s">
        <v>6</v>
      </c>
      <c r="M127" s="1" t="s">
        <v>76</v>
      </c>
      <c r="N127" s="1">
        <v>139</v>
      </c>
    </row>
    <row r="128" spans="1:14" ht="60" x14ac:dyDescent="0.25">
      <c r="A128" s="1"/>
      <c r="B128" s="2" t="s">
        <v>110</v>
      </c>
      <c r="C128" s="4">
        <v>42256</v>
      </c>
      <c r="D128" s="2" t="s">
        <v>79</v>
      </c>
      <c r="E128" s="2" t="s">
        <v>279</v>
      </c>
      <c r="F128" s="7" t="s">
        <v>669</v>
      </c>
      <c r="G128" s="2" t="s">
        <v>213</v>
      </c>
      <c r="H128" s="7" t="s">
        <v>670</v>
      </c>
      <c r="I128" s="4">
        <v>42261</v>
      </c>
      <c r="J128" s="2" t="s">
        <v>42</v>
      </c>
      <c r="K128" s="2" t="s">
        <v>41</v>
      </c>
      <c r="L128" s="1" t="s">
        <v>6</v>
      </c>
      <c r="M128" s="1" t="s">
        <v>76</v>
      </c>
      <c r="N128" s="1">
        <v>140</v>
      </c>
    </row>
    <row r="129" spans="1:14" x14ac:dyDescent="0.25">
      <c r="A129" s="1"/>
      <c r="B129" s="2" t="s">
        <v>110</v>
      </c>
      <c r="C129" s="4">
        <v>42256</v>
      </c>
      <c r="D129" s="2" t="s">
        <v>75</v>
      </c>
      <c r="E129" s="2" t="s">
        <v>269</v>
      </c>
      <c r="F129" s="7" t="s">
        <v>553</v>
      </c>
      <c r="G129" s="2" t="s">
        <v>213</v>
      </c>
      <c r="H129" s="7" t="s">
        <v>623</v>
      </c>
      <c r="I129" s="4">
        <v>42261</v>
      </c>
      <c r="J129" s="2" t="s">
        <v>42</v>
      </c>
      <c r="K129" s="2" t="s">
        <v>41</v>
      </c>
      <c r="L129" s="1" t="s">
        <v>6</v>
      </c>
      <c r="M129" s="1" t="s">
        <v>76</v>
      </c>
      <c r="N129" s="1">
        <v>141</v>
      </c>
    </row>
    <row r="130" spans="1:14" x14ac:dyDescent="0.25">
      <c r="A130" s="1"/>
      <c r="B130" s="2" t="s">
        <v>110</v>
      </c>
      <c r="C130" s="4">
        <v>42256</v>
      </c>
      <c r="D130" s="2" t="s">
        <v>75</v>
      </c>
      <c r="E130" s="2" t="s">
        <v>270</v>
      </c>
      <c r="F130" s="7" t="s">
        <v>554</v>
      </c>
      <c r="G130" s="2" t="s">
        <v>213</v>
      </c>
      <c r="H130" s="7" t="s">
        <v>624</v>
      </c>
      <c r="I130" s="4">
        <v>42261</v>
      </c>
      <c r="J130" s="2" t="s">
        <v>42</v>
      </c>
      <c r="K130" s="2" t="s">
        <v>41</v>
      </c>
      <c r="L130" s="1" t="s">
        <v>6</v>
      </c>
      <c r="M130" s="1" t="s">
        <v>76</v>
      </c>
      <c r="N130" s="1">
        <v>142</v>
      </c>
    </row>
    <row r="131" spans="1:14" ht="30" x14ac:dyDescent="0.25">
      <c r="A131" s="1"/>
      <c r="B131" s="2" t="s">
        <v>110</v>
      </c>
      <c r="C131" s="4">
        <v>42256</v>
      </c>
      <c r="D131" s="2" t="s">
        <v>75</v>
      </c>
      <c r="E131" s="2" t="s">
        <v>267</v>
      </c>
      <c r="F131" s="7" t="s">
        <v>671</v>
      </c>
      <c r="G131" s="2" t="s">
        <v>213</v>
      </c>
      <c r="H131" s="7" t="s">
        <v>625</v>
      </c>
      <c r="I131" s="4">
        <v>42261</v>
      </c>
      <c r="J131" s="2" t="s">
        <v>42</v>
      </c>
      <c r="K131" s="2" t="s">
        <v>41</v>
      </c>
      <c r="L131" s="1" t="s">
        <v>6</v>
      </c>
      <c r="M131" s="1" t="s">
        <v>76</v>
      </c>
      <c r="N131" s="1">
        <v>143</v>
      </c>
    </row>
    <row r="132" spans="1:14" ht="30" x14ac:dyDescent="0.25">
      <c r="A132" s="1"/>
      <c r="B132" s="2" t="s">
        <v>110</v>
      </c>
      <c r="C132" s="4">
        <v>42256</v>
      </c>
      <c r="D132" s="2" t="s">
        <v>79</v>
      </c>
      <c r="E132" s="2" t="s">
        <v>279</v>
      </c>
      <c r="F132" s="7" t="s">
        <v>555</v>
      </c>
      <c r="G132" s="2" t="s">
        <v>213</v>
      </c>
      <c r="H132" s="7" t="s">
        <v>626</v>
      </c>
      <c r="I132" s="4">
        <v>42261</v>
      </c>
      <c r="J132" s="2" t="s">
        <v>42</v>
      </c>
      <c r="K132" s="2" t="s">
        <v>41</v>
      </c>
      <c r="L132" s="1" t="s">
        <v>6</v>
      </c>
      <c r="M132" s="1" t="s">
        <v>76</v>
      </c>
      <c r="N132" s="1">
        <v>144</v>
      </c>
    </row>
    <row r="133" spans="1:14" x14ac:dyDescent="0.25">
      <c r="A133" s="1"/>
      <c r="B133" s="2" t="s">
        <v>110</v>
      </c>
      <c r="C133" s="4">
        <v>42256</v>
      </c>
      <c r="D133" s="2" t="s">
        <v>79</v>
      </c>
      <c r="E133" s="2" t="s">
        <v>279</v>
      </c>
      <c r="F133" s="7" t="s">
        <v>556</v>
      </c>
      <c r="G133" s="2" t="s">
        <v>213</v>
      </c>
      <c r="H133" s="7" t="s">
        <v>627</v>
      </c>
      <c r="I133" s="4">
        <v>42261</v>
      </c>
      <c r="J133" s="2" t="s">
        <v>42</v>
      </c>
      <c r="K133" s="2" t="s">
        <v>41</v>
      </c>
      <c r="L133" s="1" t="s">
        <v>6</v>
      </c>
      <c r="M133" s="1" t="s">
        <v>76</v>
      </c>
      <c r="N133" s="1">
        <v>145</v>
      </c>
    </row>
    <row r="134" spans="1:14" x14ac:dyDescent="0.25">
      <c r="A134" s="1"/>
      <c r="B134" s="2" t="s">
        <v>581</v>
      </c>
      <c r="C134" s="4">
        <v>42255</v>
      </c>
      <c r="D134" s="2" t="s">
        <v>79</v>
      </c>
      <c r="E134" s="2" t="s">
        <v>77</v>
      </c>
      <c r="F134" s="7" t="s">
        <v>577</v>
      </c>
      <c r="G134" s="2" t="s">
        <v>213</v>
      </c>
      <c r="H134" s="7" t="s">
        <v>558</v>
      </c>
      <c r="I134" s="4">
        <v>42282</v>
      </c>
      <c r="J134" s="2" t="s">
        <v>557</v>
      </c>
      <c r="K134" s="2" t="s">
        <v>42</v>
      </c>
      <c r="L134" s="1" t="s">
        <v>6</v>
      </c>
      <c r="M134" s="1" t="s">
        <v>76</v>
      </c>
      <c r="N134" s="1">
        <v>146</v>
      </c>
    </row>
    <row r="135" spans="1:14" x14ac:dyDescent="0.25">
      <c r="A135" s="1"/>
      <c r="B135" s="2" t="s">
        <v>581</v>
      </c>
      <c r="C135" s="4">
        <v>42255</v>
      </c>
      <c r="D135" s="2" t="s">
        <v>75</v>
      </c>
      <c r="E135" s="2" t="s">
        <v>77</v>
      </c>
      <c r="F135" s="7" t="s">
        <v>559</v>
      </c>
      <c r="G135" s="2" t="s">
        <v>213</v>
      </c>
      <c r="H135" s="7" t="s">
        <v>560</v>
      </c>
      <c r="I135" s="4">
        <v>42282</v>
      </c>
      <c r="J135" s="2" t="s">
        <v>557</v>
      </c>
      <c r="K135" s="2" t="s">
        <v>42</v>
      </c>
      <c r="L135" s="1" t="s">
        <v>6</v>
      </c>
      <c r="M135" s="1" t="s">
        <v>76</v>
      </c>
      <c r="N135" s="1">
        <v>147</v>
      </c>
    </row>
    <row r="136" spans="1:14" x14ac:dyDescent="0.25">
      <c r="A136" s="1"/>
      <c r="B136" s="2" t="s">
        <v>581</v>
      </c>
      <c r="C136" s="4">
        <v>42255</v>
      </c>
      <c r="D136" s="2" t="s">
        <v>79</v>
      </c>
      <c r="E136" s="2" t="s">
        <v>77</v>
      </c>
      <c r="F136" s="7" t="s">
        <v>561</v>
      </c>
      <c r="G136" s="2" t="s">
        <v>213</v>
      </c>
      <c r="H136" s="7" t="s">
        <v>562</v>
      </c>
      <c r="I136" s="4">
        <v>42282</v>
      </c>
      <c r="J136" s="2" t="s">
        <v>557</v>
      </c>
      <c r="K136" s="2" t="s">
        <v>42</v>
      </c>
      <c r="L136" s="1" t="s">
        <v>6</v>
      </c>
      <c r="M136" s="1" t="s">
        <v>76</v>
      </c>
      <c r="N136" s="1">
        <v>148</v>
      </c>
    </row>
    <row r="137" spans="1:14" x14ac:dyDescent="0.25">
      <c r="A137" s="1"/>
      <c r="B137" s="2" t="s">
        <v>581</v>
      </c>
      <c r="C137" s="4">
        <v>42255</v>
      </c>
      <c r="D137" s="2" t="s">
        <v>256</v>
      </c>
      <c r="E137" s="2" t="s">
        <v>77</v>
      </c>
      <c r="F137" s="7" t="s">
        <v>563</v>
      </c>
      <c r="G137" s="2" t="s">
        <v>213</v>
      </c>
      <c r="H137" s="7"/>
      <c r="I137" s="4"/>
      <c r="J137" s="2" t="s">
        <v>557</v>
      </c>
      <c r="K137" s="2" t="s">
        <v>42</v>
      </c>
      <c r="L137" s="1" t="s">
        <v>6</v>
      </c>
      <c r="M137" s="1" t="s">
        <v>76</v>
      </c>
      <c r="N137" s="1">
        <v>149</v>
      </c>
    </row>
    <row r="138" spans="1:14" x14ac:dyDescent="0.25">
      <c r="A138" s="1"/>
      <c r="B138" s="2" t="s">
        <v>581</v>
      </c>
      <c r="C138" s="4">
        <v>42255</v>
      </c>
      <c r="D138" s="2" t="s">
        <v>256</v>
      </c>
      <c r="E138" s="2" t="s">
        <v>77</v>
      </c>
      <c r="F138" s="7" t="s">
        <v>564</v>
      </c>
      <c r="G138" s="2" t="s">
        <v>213</v>
      </c>
      <c r="H138" s="7"/>
      <c r="I138" s="4"/>
      <c r="J138" s="2" t="s">
        <v>557</v>
      </c>
      <c r="K138" s="2" t="s">
        <v>42</v>
      </c>
      <c r="L138" s="1" t="s">
        <v>6</v>
      </c>
      <c r="M138" s="1" t="s">
        <v>76</v>
      </c>
      <c r="N138" s="1">
        <v>150</v>
      </c>
    </row>
    <row r="139" spans="1:14" x14ac:dyDescent="0.25">
      <c r="A139" s="1"/>
      <c r="B139" s="2" t="s">
        <v>581</v>
      </c>
      <c r="C139" s="4">
        <v>42255</v>
      </c>
      <c r="D139" s="2" t="s">
        <v>256</v>
      </c>
      <c r="E139" s="2" t="s">
        <v>77</v>
      </c>
      <c r="F139" s="7" t="s">
        <v>578</v>
      </c>
      <c r="G139" s="2" t="s">
        <v>213</v>
      </c>
      <c r="H139" s="7"/>
      <c r="I139" s="4"/>
      <c r="J139" s="2" t="s">
        <v>557</v>
      </c>
      <c r="K139" s="2" t="s">
        <v>42</v>
      </c>
      <c r="L139" s="1" t="s">
        <v>6</v>
      </c>
      <c r="M139" s="1" t="s">
        <v>76</v>
      </c>
      <c r="N139" s="1">
        <v>151</v>
      </c>
    </row>
    <row r="140" spans="1:14" x14ac:dyDescent="0.25">
      <c r="A140" s="1"/>
      <c r="B140" s="2" t="s">
        <v>581</v>
      </c>
      <c r="C140" s="4">
        <v>42255</v>
      </c>
      <c r="D140" s="2" t="s">
        <v>256</v>
      </c>
      <c r="E140" s="2" t="s">
        <v>270</v>
      </c>
      <c r="F140" s="7" t="s">
        <v>579</v>
      </c>
      <c r="G140" s="2" t="s">
        <v>213</v>
      </c>
      <c r="H140" s="7"/>
      <c r="I140" s="4"/>
      <c r="J140" s="2" t="s">
        <v>557</v>
      </c>
      <c r="K140" s="2" t="s">
        <v>42</v>
      </c>
      <c r="L140" s="1" t="s">
        <v>6</v>
      </c>
      <c r="M140" s="1" t="s">
        <v>76</v>
      </c>
      <c r="N140" s="1">
        <v>152</v>
      </c>
    </row>
    <row r="141" spans="1:14" x14ac:dyDescent="0.25">
      <c r="A141" s="1"/>
      <c r="B141" s="2" t="s">
        <v>581</v>
      </c>
      <c r="C141" s="4">
        <v>42255</v>
      </c>
      <c r="D141" s="2" t="s">
        <v>75</v>
      </c>
      <c r="E141" s="2" t="s">
        <v>246</v>
      </c>
      <c r="F141" s="7" t="s">
        <v>565</v>
      </c>
      <c r="G141" s="2" t="s">
        <v>213</v>
      </c>
      <c r="H141" s="7" t="s">
        <v>566</v>
      </c>
      <c r="I141" s="4">
        <v>42282</v>
      </c>
      <c r="J141" s="2" t="s">
        <v>557</v>
      </c>
      <c r="K141" s="2" t="s">
        <v>42</v>
      </c>
      <c r="L141" s="1" t="s">
        <v>6</v>
      </c>
      <c r="M141" s="1" t="s">
        <v>76</v>
      </c>
      <c r="N141" s="1">
        <v>153</v>
      </c>
    </row>
    <row r="142" spans="1:14" ht="30" x14ac:dyDescent="0.25">
      <c r="A142" s="1"/>
      <c r="B142" s="2" t="s">
        <v>581</v>
      </c>
      <c r="C142" s="4">
        <v>42255</v>
      </c>
      <c r="D142" s="2" t="s">
        <v>75</v>
      </c>
      <c r="E142" s="2" t="s">
        <v>246</v>
      </c>
      <c r="F142" s="7" t="s">
        <v>567</v>
      </c>
      <c r="G142" s="2" t="s">
        <v>213</v>
      </c>
      <c r="H142" s="7" t="s">
        <v>568</v>
      </c>
      <c r="I142" s="4">
        <v>42282</v>
      </c>
      <c r="J142" s="2" t="s">
        <v>557</v>
      </c>
      <c r="K142" s="2" t="s">
        <v>42</v>
      </c>
      <c r="L142" s="1" t="s">
        <v>6</v>
      </c>
      <c r="M142" s="1" t="s">
        <v>76</v>
      </c>
      <c r="N142" s="1">
        <v>154</v>
      </c>
    </row>
    <row r="143" spans="1:14" x14ac:dyDescent="0.25">
      <c r="A143" s="1"/>
      <c r="B143" s="2" t="s">
        <v>581</v>
      </c>
      <c r="C143" s="4">
        <v>42255</v>
      </c>
      <c r="D143" s="2" t="s">
        <v>75</v>
      </c>
      <c r="E143" s="2" t="s">
        <v>246</v>
      </c>
      <c r="F143" s="7" t="s">
        <v>569</v>
      </c>
      <c r="G143" s="2" t="s">
        <v>213</v>
      </c>
      <c r="H143" s="7" t="s">
        <v>580</v>
      </c>
      <c r="I143" s="4">
        <v>42282</v>
      </c>
      <c r="J143" s="2" t="s">
        <v>557</v>
      </c>
      <c r="K143" s="2" t="s">
        <v>42</v>
      </c>
      <c r="L143" s="1" t="s">
        <v>6</v>
      </c>
      <c r="M143" s="1" t="s">
        <v>76</v>
      </c>
      <c r="N143" s="1">
        <v>155</v>
      </c>
    </row>
    <row r="144" spans="1:14" ht="30" x14ac:dyDescent="0.25">
      <c r="A144" s="1"/>
      <c r="B144" s="2" t="s">
        <v>110</v>
      </c>
      <c r="C144" s="4">
        <v>42258</v>
      </c>
      <c r="D144" s="2" t="s">
        <v>75</v>
      </c>
      <c r="E144" s="2" t="s">
        <v>485</v>
      </c>
      <c r="F144" s="7" t="s">
        <v>628</v>
      </c>
      <c r="G144" s="2" t="s">
        <v>213</v>
      </c>
      <c r="H144" s="7" t="s">
        <v>629</v>
      </c>
      <c r="I144" s="4">
        <v>42261</v>
      </c>
      <c r="J144" s="2" t="s">
        <v>42</v>
      </c>
      <c r="K144" s="2" t="s">
        <v>41</v>
      </c>
      <c r="L144" s="1" t="s">
        <v>6</v>
      </c>
      <c r="M144" s="1" t="s">
        <v>76</v>
      </c>
      <c r="N144" s="1">
        <v>156</v>
      </c>
    </row>
    <row r="145" spans="1:14" x14ac:dyDescent="0.25">
      <c r="A145" s="1"/>
      <c r="B145" s="2" t="s">
        <v>110</v>
      </c>
      <c r="C145" s="4">
        <v>42258</v>
      </c>
      <c r="D145" s="2" t="s">
        <v>256</v>
      </c>
      <c r="E145" s="2" t="s">
        <v>77</v>
      </c>
      <c r="F145" s="7" t="s">
        <v>672</v>
      </c>
      <c r="G145" s="2" t="s">
        <v>213</v>
      </c>
      <c r="H145" s="7"/>
      <c r="I145" s="4">
        <v>42258</v>
      </c>
      <c r="J145" s="2" t="s">
        <v>42</v>
      </c>
      <c r="K145" s="2" t="s">
        <v>41</v>
      </c>
      <c r="L145" s="1" t="s">
        <v>6</v>
      </c>
      <c r="M145" s="1" t="s">
        <v>76</v>
      </c>
      <c r="N145" s="1">
        <v>157</v>
      </c>
    </row>
    <row r="146" spans="1:14" ht="30" x14ac:dyDescent="0.25">
      <c r="A146" s="1"/>
      <c r="B146" s="2" t="s">
        <v>110</v>
      </c>
      <c r="C146" s="4">
        <v>42258</v>
      </c>
      <c r="D146" s="2" t="s">
        <v>75</v>
      </c>
      <c r="E146" s="2" t="s">
        <v>77</v>
      </c>
      <c r="F146" s="7" t="s">
        <v>673</v>
      </c>
      <c r="G146" s="2" t="s">
        <v>213</v>
      </c>
      <c r="H146" s="7" t="s">
        <v>630</v>
      </c>
      <c r="I146" s="4">
        <v>42262</v>
      </c>
      <c r="J146" s="2" t="s">
        <v>42</v>
      </c>
      <c r="K146" s="2" t="s">
        <v>41</v>
      </c>
      <c r="L146" s="1" t="s">
        <v>6</v>
      </c>
      <c r="M146" s="1" t="s">
        <v>76</v>
      </c>
      <c r="N146" s="1">
        <v>158</v>
      </c>
    </row>
    <row r="147" spans="1:14" ht="30" x14ac:dyDescent="0.25">
      <c r="A147" s="1"/>
      <c r="B147" s="2" t="s">
        <v>110</v>
      </c>
      <c r="C147" s="4">
        <v>42258</v>
      </c>
      <c r="D147" s="2" t="s">
        <v>79</v>
      </c>
      <c r="E147" s="2" t="s">
        <v>415</v>
      </c>
      <c r="F147" s="7" t="s">
        <v>674</v>
      </c>
      <c r="G147" s="2" t="s">
        <v>213</v>
      </c>
      <c r="H147" s="7" t="s">
        <v>631</v>
      </c>
      <c r="I147" s="4">
        <v>42261</v>
      </c>
      <c r="J147" s="2" t="s">
        <v>42</v>
      </c>
      <c r="K147" s="2" t="s">
        <v>41</v>
      </c>
      <c r="L147" s="1" t="s">
        <v>6</v>
      </c>
      <c r="M147" s="1" t="s">
        <v>76</v>
      </c>
      <c r="N147" s="1">
        <v>159</v>
      </c>
    </row>
    <row r="148" spans="1:14" ht="30" x14ac:dyDescent="0.25">
      <c r="A148" s="1"/>
      <c r="B148" s="2" t="s">
        <v>110</v>
      </c>
      <c r="C148" s="4">
        <v>42258</v>
      </c>
      <c r="D148" s="2" t="s">
        <v>256</v>
      </c>
      <c r="E148" s="2" t="s">
        <v>415</v>
      </c>
      <c r="F148" s="7" t="s">
        <v>632</v>
      </c>
      <c r="G148" s="2" t="s">
        <v>213</v>
      </c>
      <c r="H148" s="7"/>
      <c r="I148" s="4">
        <v>42258</v>
      </c>
      <c r="J148" s="2" t="s">
        <v>42</v>
      </c>
      <c r="K148" s="2" t="s">
        <v>41</v>
      </c>
      <c r="L148" s="1" t="s">
        <v>6</v>
      </c>
      <c r="M148" s="1" t="s">
        <v>76</v>
      </c>
      <c r="N148" s="1">
        <v>160</v>
      </c>
    </row>
    <row r="149" spans="1:14" ht="30" x14ac:dyDescent="0.25">
      <c r="A149" s="1"/>
      <c r="B149" s="2" t="s">
        <v>110</v>
      </c>
      <c r="C149" s="4">
        <v>42258</v>
      </c>
      <c r="D149" s="2" t="s">
        <v>79</v>
      </c>
      <c r="E149" s="2" t="s">
        <v>77</v>
      </c>
      <c r="F149" s="7" t="s">
        <v>675</v>
      </c>
      <c r="G149" s="2" t="s">
        <v>213</v>
      </c>
      <c r="H149" s="7" t="s">
        <v>633</v>
      </c>
      <c r="I149" s="4">
        <v>42261</v>
      </c>
      <c r="J149" s="2" t="s">
        <v>42</v>
      </c>
      <c r="K149" s="2" t="s">
        <v>41</v>
      </c>
      <c r="L149" s="1" t="s">
        <v>6</v>
      </c>
      <c r="M149" s="1" t="s">
        <v>76</v>
      </c>
      <c r="N149" s="1">
        <v>161</v>
      </c>
    </row>
    <row r="150" spans="1:14" ht="45" x14ac:dyDescent="0.25">
      <c r="A150" s="1"/>
      <c r="B150" s="2" t="s">
        <v>110</v>
      </c>
      <c r="C150" s="4">
        <v>42258</v>
      </c>
      <c r="D150" s="2" t="s">
        <v>79</v>
      </c>
      <c r="E150" s="2" t="s">
        <v>77</v>
      </c>
      <c r="F150" s="7" t="s">
        <v>676</v>
      </c>
      <c r="G150" s="2" t="s">
        <v>213</v>
      </c>
      <c r="H150" s="7" t="s">
        <v>634</v>
      </c>
      <c r="I150" s="4">
        <v>42261</v>
      </c>
      <c r="J150" s="2" t="s">
        <v>42</v>
      </c>
      <c r="K150" s="2" t="s">
        <v>41</v>
      </c>
      <c r="L150" s="1" t="s">
        <v>6</v>
      </c>
      <c r="M150" s="1" t="s">
        <v>76</v>
      </c>
      <c r="N150" s="1">
        <v>162</v>
      </c>
    </row>
    <row r="151" spans="1:14" ht="30" x14ac:dyDescent="0.25">
      <c r="A151" s="1"/>
      <c r="B151" s="2" t="s">
        <v>110</v>
      </c>
      <c r="C151" s="4">
        <v>42258</v>
      </c>
      <c r="D151" s="2" t="s">
        <v>79</v>
      </c>
      <c r="E151" s="2" t="s">
        <v>77</v>
      </c>
      <c r="F151" s="7" t="s">
        <v>677</v>
      </c>
      <c r="G151" s="2" t="s">
        <v>213</v>
      </c>
      <c r="H151" s="7" t="s">
        <v>635</v>
      </c>
      <c r="I151" s="4">
        <v>42261</v>
      </c>
      <c r="J151" s="2" t="s">
        <v>42</v>
      </c>
      <c r="K151" s="2" t="s">
        <v>41</v>
      </c>
      <c r="L151" s="1" t="s">
        <v>6</v>
      </c>
      <c r="M151" s="1" t="s">
        <v>76</v>
      </c>
      <c r="N151" s="1">
        <v>163</v>
      </c>
    </row>
    <row r="152" spans="1:14" x14ac:dyDescent="0.25">
      <c r="A152" s="1"/>
      <c r="B152" s="2" t="s">
        <v>110</v>
      </c>
      <c r="C152" s="4">
        <v>42258</v>
      </c>
      <c r="D152" s="2" t="s">
        <v>75</v>
      </c>
      <c r="E152" s="2" t="s">
        <v>77</v>
      </c>
      <c r="F152" s="7" t="s">
        <v>678</v>
      </c>
      <c r="G152" s="2" t="s">
        <v>213</v>
      </c>
      <c r="H152" s="7" t="s">
        <v>636</v>
      </c>
      <c r="I152" s="4">
        <v>42262</v>
      </c>
      <c r="J152" s="2" t="s">
        <v>42</v>
      </c>
      <c r="K152" s="2" t="s">
        <v>42</v>
      </c>
      <c r="L152" s="1" t="s">
        <v>6</v>
      </c>
      <c r="M152" s="1" t="s">
        <v>76</v>
      </c>
      <c r="N152" s="1">
        <v>164</v>
      </c>
    </row>
    <row r="153" spans="1:14" x14ac:dyDescent="0.25">
      <c r="A153" s="1"/>
      <c r="B153" s="2" t="s">
        <v>110</v>
      </c>
      <c r="C153" s="4">
        <v>42258</v>
      </c>
      <c r="D153" s="2" t="s">
        <v>256</v>
      </c>
      <c r="E153" s="2" t="s">
        <v>77</v>
      </c>
      <c r="F153" s="7" t="s">
        <v>679</v>
      </c>
      <c r="G153" s="2" t="s">
        <v>213</v>
      </c>
      <c r="H153" s="7"/>
      <c r="I153" s="4">
        <v>42258</v>
      </c>
      <c r="J153" s="2" t="s">
        <v>42</v>
      </c>
      <c r="K153" s="2" t="s">
        <v>41</v>
      </c>
      <c r="L153" s="1" t="s">
        <v>6</v>
      </c>
      <c r="M153" s="1" t="s">
        <v>76</v>
      </c>
      <c r="N153" s="1">
        <v>165</v>
      </c>
    </row>
    <row r="154" spans="1:14" x14ac:dyDescent="0.25">
      <c r="A154" s="1"/>
      <c r="B154" s="2" t="s">
        <v>110</v>
      </c>
      <c r="C154" s="4">
        <v>42258</v>
      </c>
      <c r="D154" s="2" t="s">
        <v>79</v>
      </c>
      <c r="E154" s="2" t="s">
        <v>270</v>
      </c>
      <c r="F154" s="7" t="s">
        <v>637</v>
      </c>
      <c r="G154" s="2" t="s">
        <v>213</v>
      </c>
      <c r="H154" s="7" t="s">
        <v>680</v>
      </c>
      <c r="I154" s="4">
        <v>42261</v>
      </c>
      <c r="J154" s="2" t="s">
        <v>42</v>
      </c>
      <c r="K154" s="2" t="s">
        <v>41</v>
      </c>
      <c r="L154" s="1" t="s">
        <v>6</v>
      </c>
      <c r="M154" s="1" t="s">
        <v>76</v>
      </c>
      <c r="N154" s="1">
        <v>166</v>
      </c>
    </row>
    <row r="155" spans="1:14" ht="45" x14ac:dyDescent="0.25">
      <c r="A155" s="1"/>
      <c r="B155" s="2" t="s">
        <v>110</v>
      </c>
      <c r="C155" s="4">
        <v>42258</v>
      </c>
      <c r="D155" s="2" t="s">
        <v>75</v>
      </c>
      <c r="E155" s="2" t="s">
        <v>269</v>
      </c>
      <c r="F155" s="7" t="s">
        <v>681</v>
      </c>
      <c r="G155" s="2" t="s">
        <v>213</v>
      </c>
      <c r="H155" s="7" t="s">
        <v>682</v>
      </c>
      <c r="I155" s="4">
        <v>42261</v>
      </c>
      <c r="J155" s="2" t="s">
        <v>42</v>
      </c>
      <c r="K155" s="2" t="s">
        <v>41</v>
      </c>
      <c r="L155" s="1" t="s">
        <v>6</v>
      </c>
      <c r="M155" s="1" t="s">
        <v>76</v>
      </c>
      <c r="N155" s="1">
        <v>167</v>
      </c>
    </row>
    <row r="156" spans="1:14" x14ac:dyDescent="0.25">
      <c r="A156" s="1"/>
      <c r="B156" s="2" t="s">
        <v>110</v>
      </c>
      <c r="C156" s="4">
        <v>42258</v>
      </c>
      <c r="D156" s="2" t="s">
        <v>79</v>
      </c>
      <c r="E156" s="2" t="s">
        <v>269</v>
      </c>
      <c r="F156" s="7" t="s">
        <v>638</v>
      </c>
      <c r="G156" s="2" t="s">
        <v>213</v>
      </c>
      <c r="H156" s="7" t="s">
        <v>683</v>
      </c>
      <c r="I156" s="4">
        <v>42261</v>
      </c>
      <c r="J156" s="2" t="s">
        <v>42</v>
      </c>
      <c r="K156" s="2" t="s">
        <v>41</v>
      </c>
      <c r="L156" s="1" t="s">
        <v>6</v>
      </c>
      <c r="M156" s="1" t="s">
        <v>76</v>
      </c>
      <c r="N156" s="1">
        <v>168</v>
      </c>
    </row>
    <row r="157" spans="1:14" x14ac:dyDescent="0.25">
      <c r="A157" s="1"/>
      <c r="B157" s="2" t="s">
        <v>110</v>
      </c>
      <c r="C157" s="4">
        <v>42258</v>
      </c>
      <c r="D157" s="2" t="s">
        <v>79</v>
      </c>
      <c r="E157" s="2" t="s">
        <v>639</v>
      </c>
      <c r="F157" s="7" t="s">
        <v>640</v>
      </c>
      <c r="G157" s="2" t="s">
        <v>213</v>
      </c>
      <c r="H157" s="7" t="s">
        <v>641</v>
      </c>
      <c r="I157" s="4">
        <v>42261</v>
      </c>
      <c r="J157" s="2" t="s">
        <v>42</v>
      </c>
      <c r="K157" s="2" t="s">
        <v>41</v>
      </c>
      <c r="L157" s="1" t="s">
        <v>6</v>
      </c>
      <c r="M157" s="1" t="s">
        <v>76</v>
      </c>
      <c r="N157" s="1">
        <v>169</v>
      </c>
    </row>
    <row r="158" spans="1:14" ht="30" x14ac:dyDescent="0.25">
      <c r="A158" s="1"/>
      <c r="B158" s="2" t="s">
        <v>582</v>
      </c>
      <c r="C158" s="4">
        <v>42259</v>
      </c>
      <c r="D158" s="2" t="s">
        <v>256</v>
      </c>
      <c r="E158" s="2" t="s">
        <v>77</v>
      </c>
      <c r="F158" s="7" t="s">
        <v>684</v>
      </c>
      <c r="G158" s="2" t="s">
        <v>213</v>
      </c>
      <c r="H158" s="7"/>
      <c r="I158" s="4"/>
      <c r="J158" s="2" t="s">
        <v>116</v>
      </c>
      <c r="K158" s="2" t="s">
        <v>116</v>
      </c>
      <c r="L158" s="1" t="s">
        <v>6</v>
      </c>
      <c r="M158" s="1" t="s">
        <v>76</v>
      </c>
      <c r="N158" s="1">
        <v>170</v>
      </c>
    </row>
    <row r="159" spans="1:14" x14ac:dyDescent="0.25">
      <c r="A159" s="1"/>
      <c r="B159" s="2" t="s">
        <v>582</v>
      </c>
      <c r="C159" s="4">
        <v>42259</v>
      </c>
      <c r="D159" s="2" t="s">
        <v>79</v>
      </c>
      <c r="E159" s="2" t="s">
        <v>415</v>
      </c>
      <c r="F159" s="7" t="s">
        <v>685</v>
      </c>
      <c r="G159" s="2" t="s">
        <v>213</v>
      </c>
      <c r="H159" s="7" t="s">
        <v>642</v>
      </c>
      <c r="I159" s="4"/>
      <c r="J159" s="2" t="s">
        <v>116</v>
      </c>
      <c r="K159" s="2" t="s">
        <v>116</v>
      </c>
      <c r="L159" s="1" t="s">
        <v>6</v>
      </c>
      <c r="M159" s="1" t="s">
        <v>76</v>
      </c>
      <c r="N159" s="1">
        <v>171</v>
      </c>
    </row>
    <row r="160" spans="1:14" ht="30" x14ac:dyDescent="0.25">
      <c r="A160" s="1"/>
      <c r="B160" s="2" t="s">
        <v>582</v>
      </c>
      <c r="C160" s="4">
        <v>42259</v>
      </c>
      <c r="D160" s="2" t="s">
        <v>75</v>
      </c>
      <c r="E160" s="2" t="s">
        <v>77</v>
      </c>
      <c r="F160" s="7" t="s">
        <v>686</v>
      </c>
      <c r="G160" s="2" t="s">
        <v>213</v>
      </c>
      <c r="H160" s="7" t="s">
        <v>863</v>
      </c>
      <c r="I160" s="4"/>
      <c r="J160" s="2" t="s">
        <v>116</v>
      </c>
      <c r="K160" s="2" t="s">
        <v>116</v>
      </c>
      <c r="L160" s="1" t="s">
        <v>6</v>
      </c>
      <c r="M160" s="1" t="s">
        <v>76</v>
      </c>
      <c r="N160" s="1">
        <v>172</v>
      </c>
    </row>
    <row r="161" spans="1:14" ht="30" x14ac:dyDescent="0.25">
      <c r="A161" s="1"/>
      <c r="B161" s="2" t="s">
        <v>582</v>
      </c>
      <c r="C161" s="4">
        <v>42259</v>
      </c>
      <c r="D161" s="2" t="s">
        <v>75</v>
      </c>
      <c r="E161" s="2" t="s">
        <v>643</v>
      </c>
      <c r="F161" s="7" t="s">
        <v>644</v>
      </c>
      <c r="G161" s="2" t="s">
        <v>213</v>
      </c>
      <c r="H161" s="7" t="s">
        <v>645</v>
      </c>
      <c r="I161" s="4"/>
      <c r="J161" s="2" t="s">
        <v>116</v>
      </c>
      <c r="K161" s="2" t="s">
        <v>116</v>
      </c>
      <c r="L161" s="1" t="s">
        <v>6</v>
      </c>
      <c r="M161" s="1" t="s">
        <v>76</v>
      </c>
      <c r="N161" s="1">
        <v>173</v>
      </c>
    </row>
    <row r="162" spans="1:14" ht="30" x14ac:dyDescent="0.25">
      <c r="A162" s="1"/>
      <c r="B162" s="2" t="s">
        <v>582</v>
      </c>
      <c r="C162" s="4">
        <v>42259</v>
      </c>
      <c r="D162" s="2" t="s">
        <v>75</v>
      </c>
      <c r="E162" s="2" t="s">
        <v>643</v>
      </c>
      <c r="F162" s="7" t="s">
        <v>646</v>
      </c>
      <c r="G162" s="2" t="s">
        <v>213</v>
      </c>
      <c r="H162" s="7" t="s">
        <v>864</v>
      </c>
      <c r="I162" s="4"/>
      <c r="J162" s="2" t="s">
        <v>116</v>
      </c>
      <c r="K162" s="2" t="s">
        <v>116</v>
      </c>
      <c r="L162" s="1" t="s">
        <v>6</v>
      </c>
      <c r="M162" s="1" t="s">
        <v>76</v>
      </c>
      <c r="N162" s="1">
        <v>174</v>
      </c>
    </row>
    <row r="163" spans="1:14" x14ac:dyDescent="0.25">
      <c r="A163" s="1"/>
      <c r="B163" s="2" t="s">
        <v>582</v>
      </c>
      <c r="C163" s="4">
        <v>42259</v>
      </c>
      <c r="D163" s="2" t="s">
        <v>79</v>
      </c>
      <c r="E163" s="2" t="s">
        <v>643</v>
      </c>
      <c r="F163" s="7" t="s">
        <v>647</v>
      </c>
      <c r="G163" s="2" t="s">
        <v>213</v>
      </c>
      <c r="H163" s="7" t="s">
        <v>865</v>
      </c>
      <c r="I163" s="4"/>
      <c r="J163" s="2" t="s">
        <v>116</v>
      </c>
      <c r="K163" s="2" t="s">
        <v>116</v>
      </c>
      <c r="L163" s="1" t="s">
        <v>6</v>
      </c>
      <c r="M163" s="1" t="s">
        <v>76</v>
      </c>
      <c r="N163" s="1">
        <v>175</v>
      </c>
    </row>
    <row r="164" spans="1:14" ht="45" x14ac:dyDescent="0.25">
      <c r="A164" s="1"/>
      <c r="B164" s="2" t="s">
        <v>582</v>
      </c>
      <c r="C164" s="4">
        <v>42259</v>
      </c>
      <c r="D164" s="2" t="s">
        <v>75</v>
      </c>
      <c r="E164" s="2" t="s">
        <v>643</v>
      </c>
      <c r="F164" s="7" t="s">
        <v>687</v>
      </c>
      <c r="G164" s="2" t="s">
        <v>213</v>
      </c>
      <c r="H164" s="7" t="s">
        <v>866</v>
      </c>
      <c r="I164" s="4"/>
      <c r="J164" s="2" t="s">
        <v>116</v>
      </c>
      <c r="K164" s="2" t="s">
        <v>116</v>
      </c>
      <c r="L164" s="1" t="s">
        <v>6</v>
      </c>
      <c r="M164" s="1" t="s">
        <v>76</v>
      </c>
      <c r="N164" s="1">
        <v>176</v>
      </c>
    </row>
    <row r="165" spans="1:14" x14ac:dyDescent="0.25">
      <c r="A165" s="1"/>
      <c r="B165" s="2" t="s">
        <v>103</v>
      </c>
      <c r="C165" s="4">
        <v>42262</v>
      </c>
      <c r="D165" s="2" t="s">
        <v>256</v>
      </c>
      <c r="E165" s="2" t="s">
        <v>648</v>
      </c>
      <c r="F165" s="7" t="s">
        <v>649</v>
      </c>
      <c r="G165" s="2" t="s">
        <v>213</v>
      </c>
      <c r="H165" s="7"/>
      <c r="I165" s="4">
        <v>42262</v>
      </c>
      <c r="J165" s="2" t="s">
        <v>42</v>
      </c>
      <c r="K165" s="2" t="s">
        <v>36</v>
      </c>
      <c r="L165" s="1" t="s">
        <v>6</v>
      </c>
      <c r="M165" s="1" t="s">
        <v>76</v>
      </c>
      <c r="N165" s="1">
        <v>177</v>
      </c>
    </row>
    <row r="166" spans="1:14" x14ac:dyDescent="0.25">
      <c r="A166" s="1"/>
      <c r="B166" s="2" t="s">
        <v>114</v>
      </c>
      <c r="C166" s="4">
        <v>42263</v>
      </c>
      <c r="D166" s="2" t="s">
        <v>256</v>
      </c>
      <c r="E166" s="2" t="s">
        <v>485</v>
      </c>
      <c r="F166" s="7" t="s">
        <v>650</v>
      </c>
      <c r="G166" s="2" t="s">
        <v>213</v>
      </c>
      <c r="H166" s="7"/>
      <c r="I166" s="4">
        <v>42263</v>
      </c>
      <c r="J166" s="2" t="s">
        <v>42</v>
      </c>
      <c r="K166" s="2" t="s">
        <v>41</v>
      </c>
      <c r="L166" s="1" t="s">
        <v>6</v>
      </c>
      <c r="M166" s="1" t="s">
        <v>76</v>
      </c>
      <c r="N166" s="1">
        <v>178</v>
      </c>
    </row>
    <row r="167" spans="1:14" x14ac:dyDescent="0.25">
      <c r="A167" s="1"/>
      <c r="B167" s="2" t="s">
        <v>114</v>
      </c>
      <c r="C167" s="4">
        <v>42263</v>
      </c>
      <c r="D167" s="2" t="s">
        <v>75</v>
      </c>
      <c r="E167" s="2" t="s">
        <v>269</v>
      </c>
      <c r="F167" s="7" t="s">
        <v>651</v>
      </c>
      <c r="G167" s="2" t="s">
        <v>213</v>
      </c>
      <c r="H167" s="7" t="s">
        <v>688</v>
      </c>
      <c r="I167" s="4">
        <v>42263</v>
      </c>
      <c r="J167" s="2" t="s">
        <v>42</v>
      </c>
      <c r="K167" s="2" t="s">
        <v>116</v>
      </c>
      <c r="L167" s="1" t="s">
        <v>6</v>
      </c>
      <c r="M167" s="1" t="s">
        <v>76</v>
      </c>
      <c r="N167" s="1">
        <v>179</v>
      </c>
    </row>
    <row r="168" spans="1:14" x14ac:dyDescent="0.25">
      <c r="A168" s="1"/>
      <c r="B168" s="2" t="s">
        <v>114</v>
      </c>
      <c r="C168" s="4">
        <v>42263</v>
      </c>
      <c r="D168" s="2" t="s">
        <v>256</v>
      </c>
      <c r="E168" s="2" t="s">
        <v>269</v>
      </c>
      <c r="F168" s="7" t="s">
        <v>652</v>
      </c>
      <c r="G168" s="2" t="s">
        <v>213</v>
      </c>
      <c r="H168" s="7"/>
      <c r="I168" s="4">
        <v>42263</v>
      </c>
      <c r="J168" s="2" t="s">
        <v>42</v>
      </c>
      <c r="K168" s="2" t="s">
        <v>116</v>
      </c>
      <c r="L168" s="1" t="s">
        <v>6</v>
      </c>
      <c r="M168" s="1" t="s">
        <v>76</v>
      </c>
      <c r="N168" s="1">
        <v>180</v>
      </c>
    </row>
    <row r="169" spans="1:14" ht="30" x14ac:dyDescent="0.25">
      <c r="A169" s="1"/>
      <c r="B169" s="2" t="s">
        <v>114</v>
      </c>
      <c r="C169" s="4">
        <v>42263</v>
      </c>
      <c r="D169" s="2" t="s">
        <v>79</v>
      </c>
      <c r="E169" s="2" t="s">
        <v>77</v>
      </c>
      <c r="F169" s="7" t="s">
        <v>689</v>
      </c>
      <c r="G169" s="2" t="s">
        <v>213</v>
      </c>
      <c r="H169" s="7" t="s">
        <v>690</v>
      </c>
      <c r="I169" s="4">
        <v>42264</v>
      </c>
      <c r="J169" s="2" t="s">
        <v>42</v>
      </c>
      <c r="K169" s="2" t="s">
        <v>116</v>
      </c>
      <c r="L169" s="1" t="s">
        <v>6</v>
      </c>
      <c r="M169" s="1" t="s">
        <v>76</v>
      </c>
      <c r="N169" s="1">
        <v>181</v>
      </c>
    </row>
    <row r="170" spans="1:14" x14ac:dyDescent="0.25">
      <c r="A170" s="1"/>
      <c r="B170" s="2" t="s">
        <v>114</v>
      </c>
      <c r="C170" s="4">
        <v>42263</v>
      </c>
      <c r="D170" s="2" t="s">
        <v>75</v>
      </c>
      <c r="E170" s="2" t="s">
        <v>267</v>
      </c>
      <c r="F170" s="7" t="s">
        <v>653</v>
      </c>
      <c r="G170" s="2" t="s">
        <v>213</v>
      </c>
      <c r="H170" s="7" t="s">
        <v>654</v>
      </c>
      <c r="I170" s="4">
        <v>42263</v>
      </c>
      <c r="J170" s="2" t="s">
        <v>42</v>
      </c>
      <c r="K170" s="2" t="s">
        <v>116</v>
      </c>
      <c r="L170" s="1" t="s">
        <v>6</v>
      </c>
      <c r="M170" s="1" t="s">
        <v>76</v>
      </c>
      <c r="N170" s="1">
        <v>182</v>
      </c>
    </row>
    <row r="171" spans="1:14" x14ac:dyDescent="0.25">
      <c r="A171" s="1"/>
      <c r="B171" s="2" t="s">
        <v>114</v>
      </c>
      <c r="C171" s="4">
        <v>42263</v>
      </c>
      <c r="D171" s="2" t="s">
        <v>75</v>
      </c>
      <c r="E171" s="2" t="s">
        <v>270</v>
      </c>
      <c r="F171" s="7" t="s">
        <v>655</v>
      </c>
      <c r="G171" s="2" t="s">
        <v>213</v>
      </c>
      <c r="H171" s="7" t="s">
        <v>656</v>
      </c>
      <c r="I171" s="4">
        <v>42263</v>
      </c>
      <c r="J171" s="2" t="s">
        <v>42</v>
      </c>
      <c r="K171" s="2" t="s">
        <v>116</v>
      </c>
      <c r="L171" s="1" t="s">
        <v>6</v>
      </c>
      <c r="M171" s="1" t="s">
        <v>76</v>
      </c>
      <c r="N171" s="1">
        <v>183</v>
      </c>
    </row>
    <row r="172" spans="1:14" x14ac:dyDescent="0.25">
      <c r="A172" s="1"/>
      <c r="B172" s="2" t="s">
        <v>114</v>
      </c>
      <c r="C172" s="4">
        <v>42263</v>
      </c>
      <c r="D172" s="2" t="s">
        <v>79</v>
      </c>
      <c r="E172" s="2" t="s">
        <v>279</v>
      </c>
      <c r="F172" s="7" t="s">
        <v>657</v>
      </c>
      <c r="G172" s="2" t="s">
        <v>213</v>
      </c>
      <c r="H172" s="7" t="s">
        <v>658</v>
      </c>
      <c r="I172" s="4">
        <v>42263</v>
      </c>
      <c r="J172" s="2" t="s">
        <v>42</v>
      </c>
      <c r="K172" s="2" t="s">
        <v>116</v>
      </c>
      <c r="L172" s="1" t="s">
        <v>6</v>
      </c>
      <c r="M172" s="1" t="s">
        <v>76</v>
      </c>
      <c r="N172" s="1">
        <v>184</v>
      </c>
    </row>
    <row r="173" spans="1:14" x14ac:dyDescent="0.25">
      <c r="A173" s="1"/>
      <c r="B173" s="2" t="s">
        <v>114</v>
      </c>
      <c r="C173" s="4">
        <v>42263</v>
      </c>
      <c r="D173" s="2" t="s">
        <v>79</v>
      </c>
      <c r="E173" s="2" t="s">
        <v>77</v>
      </c>
      <c r="F173" s="7" t="s">
        <v>691</v>
      </c>
      <c r="G173" s="2" t="s">
        <v>213</v>
      </c>
      <c r="H173" s="7" t="s">
        <v>692</v>
      </c>
      <c r="I173" s="4">
        <v>42263</v>
      </c>
      <c r="J173" s="2" t="s">
        <v>42</v>
      </c>
      <c r="K173" s="2" t="s">
        <v>116</v>
      </c>
      <c r="L173" s="1" t="s">
        <v>6</v>
      </c>
      <c r="M173" s="1" t="s">
        <v>76</v>
      </c>
      <c r="N173" s="1">
        <v>185</v>
      </c>
    </row>
    <row r="174" spans="1:14" x14ac:dyDescent="0.25">
      <c r="A174" s="1"/>
      <c r="B174" s="2" t="s">
        <v>114</v>
      </c>
      <c r="C174" s="4">
        <v>42263</v>
      </c>
      <c r="D174" s="2" t="s">
        <v>256</v>
      </c>
      <c r="E174" s="2" t="s">
        <v>77</v>
      </c>
      <c r="F174" s="7" t="s">
        <v>693</v>
      </c>
      <c r="G174" s="2" t="s">
        <v>213</v>
      </c>
      <c r="H174" s="7"/>
      <c r="I174" s="4">
        <v>42263</v>
      </c>
      <c r="J174" s="2" t="s">
        <v>42</v>
      </c>
      <c r="K174" s="2" t="s">
        <v>116</v>
      </c>
      <c r="L174" s="1" t="s">
        <v>6</v>
      </c>
      <c r="M174" s="1" t="s">
        <v>76</v>
      </c>
      <c r="N174" s="1">
        <v>186</v>
      </c>
    </row>
    <row r="175" spans="1:14" x14ac:dyDescent="0.25">
      <c r="A175" s="1"/>
      <c r="B175" s="2" t="s">
        <v>114</v>
      </c>
      <c r="C175" s="4">
        <v>42263</v>
      </c>
      <c r="D175" s="2" t="s">
        <v>79</v>
      </c>
      <c r="E175" s="2" t="s">
        <v>425</v>
      </c>
      <c r="F175" s="7" t="s">
        <v>694</v>
      </c>
      <c r="G175" s="2" t="s">
        <v>213</v>
      </c>
      <c r="H175" s="7" t="s">
        <v>659</v>
      </c>
      <c r="I175" s="4">
        <v>42263</v>
      </c>
      <c r="J175" s="2" t="s">
        <v>42</v>
      </c>
      <c r="K175" s="2" t="s">
        <v>116</v>
      </c>
      <c r="L175" s="1" t="s">
        <v>6</v>
      </c>
      <c r="M175" s="1" t="s">
        <v>76</v>
      </c>
      <c r="N175" s="1">
        <v>187</v>
      </c>
    </row>
    <row r="176" spans="1:14" ht="45" x14ac:dyDescent="0.25">
      <c r="A176" s="1"/>
      <c r="B176" s="2" t="s">
        <v>114</v>
      </c>
      <c r="C176" s="4">
        <v>42263</v>
      </c>
      <c r="D176" s="2" t="s">
        <v>256</v>
      </c>
      <c r="E176" s="2" t="s">
        <v>77</v>
      </c>
      <c r="F176" s="7" t="s">
        <v>695</v>
      </c>
      <c r="G176" s="2" t="s">
        <v>213</v>
      </c>
      <c r="H176" s="7"/>
      <c r="I176" s="4">
        <v>42263</v>
      </c>
      <c r="J176" s="2" t="s">
        <v>42</v>
      </c>
      <c r="K176" s="2" t="s">
        <v>116</v>
      </c>
      <c r="L176" s="1" t="s">
        <v>6</v>
      </c>
      <c r="M176" s="1" t="s">
        <v>76</v>
      </c>
      <c r="N176" s="1">
        <v>188</v>
      </c>
    </row>
    <row r="177" spans="1:14" ht="30" x14ac:dyDescent="0.25">
      <c r="A177" s="1"/>
      <c r="B177" s="2" t="s">
        <v>114</v>
      </c>
      <c r="C177" s="4">
        <v>42263</v>
      </c>
      <c r="D177" s="2" t="s">
        <v>256</v>
      </c>
      <c r="E177" s="2" t="s">
        <v>77</v>
      </c>
      <c r="F177" s="7" t="s">
        <v>660</v>
      </c>
      <c r="G177" s="2" t="s">
        <v>213</v>
      </c>
      <c r="H177" s="7"/>
      <c r="I177" s="4">
        <v>42263</v>
      </c>
      <c r="J177" s="2" t="s">
        <v>42</v>
      </c>
      <c r="K177" s="2" t="s">
        <v>116</v>
      </c>
      <c r="L177" s="1" t="s">
        <v>6</v>
      </c>
      <c r="M177" s="1" t="s">
        <v>76</v>
      </c>
      <c r="N177" s="1">
        <v>189</v>
      </c>
    </row>
    <row r="178" spans="1:14" x14ac:dyDescent="0.25">
      <c r="A178" s="1"/>
      <c r="B178" s="2" t="s">
        <v>114</v>
      </c>
      <c r="C178" s="4">
        <v>42263</v>
      </c>
      <c r="D178" s="2" t="s">
        <v>79</v>
      </c>
      <c r="E178" s="2" t="s">
        <v>77</v>
      </c>
      <c r="F178" s="7" t="s">
        <v>696</v>
      </c>
      <c r="G178" s="2" t="s">
        <v>213</v>
      </c>
      <c r="H178" s="7" t="s">
        <v>661</v>
      </c>
      <c r="I178" s="4">
        <v>42263</v>
      </c>
      <c r="J178" s="2" t="s">
        <v>42</v>
      </c>
      <c r="K178" s="2" t="s">
        <v>116</v>
      </c>
      <c r="L178" s="1" t="s">
        <v>6</v>
      </c>
      <c r="M178" s="1" t="s">
        <v>76</v>
      </c>
      <c r="N178" s="1">
        <v>190</v>
      </c>
    </row>
    <row r="179" spans="1:14" x14ac:dyDescent="0.25">
      <c r="A179" s="1"/>
      <c r="B179" s="2" t="s">
        <v>114</v>
      </c>
      <c r="C179" s="4">
        <v>42263</v>
      </c>
      <c r="D179" s="2" t="s">
        <v>79</v>
      </c>
      <c r="E179" s="2" t="s">
        <v>279</v>
      </c>
      <c r="F179" s="7" t="s">
        <v>662</v>
      </c>
      <c r="G179" s="2" t="s">
        <v>213</v>
      </c>
      <c r="H179" s="7" t="s">
        <v>663</v>
      </c>
      <c r="I179" s="4">
        <v>42263</v>
      </c>
      <c r="J179" s="2" t="s">
        <v>42</v>
      </c>
      <c r="K179" s="2" t="s">
        <v>116</v>
      </c>
      <c r="L179" s="1" t="s">
        <v>6</v>
      </c>
      <c r="M179" s="1" t="s">
        <v>76</v>
      </c>
      <c r="N179" s="1">
        <v>191</v>
      </c>
    </row>
    <row r="180" spans="1:14" x14ac:dyDescent="0.25">
      <c r="A180" s="1"/>
      <c r="B180" s="2" t="s">
        <v>114</v>
      </c>
      <c r="C180" s="4">
        <v>42263</v>
      </c>
      <c r="D180" s="2" t="s">
        <v>75</v>
      </c>
      <c r="E180" s="2" t="s">
        <v>279</v>
      </c>
      <c r="F180" s="7" t="s">
        <v>664</v>
      </c>
      <c r="G180" s="2" t="s">
        <v>213</v>
      </c>
      <c r="H180" s="7" t="s">
        <v>665</v>
      </c>
      <c r="I180" s="4">
        <v>42263</v>
      </c>
      <c r="J180" s="2" t="s">
        <v>42</v>
      </c>
      <c r="K180" s="2" t="s">
        <v>116</v>
      </c>
      <c r="L180" s="1" t="s">
        <v>6</v>
      </c>
      <c r="M180" s="1" t="s">
        <v>76</v>
      </c>
      <c r="N180" s="1">
        <v>192</v>
      </c>
    </row>
    <row r="181" spans="1:14" ht="30" x14ac:dyDescent="0.25">
      <c r="A181" s="1"/>
      <c r="B181" s="2" t="s">
        <v>108</v>
      </c>
      <c r="C181" s="4">
        <v>42277</v>
      </c>
      <c r="D181" s="2" t="s">
        <v>256</v>
      </c>
      <c r="E181" s="2" t="s">
        <v>80</v>
      </c>
      <c r="F181" s="7" t="s">
        <v>901</v>
      </c>
      <c r="G181" s="2" t="s">
        <v>213</v>
      </c>
      <c r="H181" s="7"/>
      <c r="I181" s="4"/>
      <c r="J181" s="2" t="s">
        <v>116</v>
      </c>
      <c r="K181" s="2" t="s">
        <v>116</v>
      </c>
      <c r="L181" s="1" t="s">
        <v>6</v>
      </c>
      <c r="M181" s="1" t="s">
        <v>76</v>
      </c>
      <c r="N181" s="1">
        <v>193</v>
      </c>
    </row>
    <row r="182" spans="1:14" ht="30" x14ac:dyDescent="0.25">
      <c r="A182" s="1"/>
      <c r="B182" s="2" t="s">
        <v>108</v>
      </c>
      <c r="C182" s="4">
        <v>42277</v>
      </c>
      <c r="D182" s="2" t="s">
        <v>75</v>
      </c>
      <c r="E182" s="2" t="s">
        <v>80</v>
      </c>
      <c r="F182" s="7" t="s">
        <v>867</v>
      </c>
      <c r="G182" s="2" t="s">
        <v>213</v>
      </c>
      <c r="H182" s="7" t="s">
        <v>868</v>
      </c>
      <c r="I182" s="4"/>
      <c r="J182" s="2" t="s">
        <v>116</v>
      </c>
      <c r="K182" s="2" t="s">
        <v>116</v>
      </c>
      <c r="L182" s="1" t="s">
        <v>6</v>
      </c>
      <c r="M182" s="1" t="s">
        <v>76</v>
      </c>
      <c r="N182" s="1">
        <v>194</v>
      </c>
    </row>
    <row r="183" spans="1:14" ht="30" x14ac:dyDescent="0.25">
      <c r="A183" s="1"/>
      <c r="B183" s="2" t="s">
        <v>108</v>
      </c>
      <c r="C183" s="4">
        <v>42277</v>
      </c>
      <c r="D183" s="2" t="s">
        <v>79</v>
      </c>
      <c r="E183" s="2" t="s">
        <v>80</v>
      </c>
      <c r="F183" s="7" t="s">
        <v>902</v>
      </c>
      <c r="G183" s="2" t="s">
        <v>213</v>
      </c>
      <c r="H183" s="7" t="s">
        <v>869</v>
      </c>
      <c r="I183" s="4"/>
      <c r="J183" s="2" t="s">
        <v>116</v>
      </c>
      <c r="K183" s="2" t="s">
        <v>116</v>
      </c>
      <c r="L183" s="1" t="s">
        <v>6</v>
      </c>
      <c r="M183" s="1" t="s">
        <v>76</v>
      </c>
      <c r="N183" s="1">
        <v>195</v>
      </c>
    </row>
    <row r="184" spans="1:14" ht="30" x14ac:dyDescent="0.25">
      <c r="A184" s="1"/>
      <c r="B184" s="2" t="s">
        <v>108</v>
      </c>
      <c r="C184" s="4">
        <v>42277</v>
      </c>
      <c r="D184" s="2" t="s">
        <v>75</v>
      </c>
      <c r="E184" s="2" t="s">
        <v>80</v>
      </c>
      <c r="F184" s="7" t="s">
        <v>903</v>
      </c>
      <c r="G184" s="2" t="s">
        <v>213</v>
      </c>
      <c r="H184" s="7" t="s">
        <v>869</v>
      </c>
      <c r="I184" s="4"/>
      <c r="J184" s="2" t="s">
        <v>116</v>
      </c>
      <c r="K184" s="2" t="s">
        <v>116</v>
      </c>
      <c r="L184" s="1" t="s">
        <v>6</v>
      </c>
      <c r="M184" s="1" t="s">
        <v>76</v>
      </c>
      <c r="N184" s="1">
        <v>196</v>
      </c>
    </row>
    <row r="185" spans="1:14" x14ac:dyDescent="0.25">
      <c r="A185" s="1"/>
      <c r="B185" s="2" t="s">
        <v>108</v>
      </c>
      <c r="C185" s="4">
        <v>42277</v>
      </c>
      <c r="D185" s="2" t="s">
        <v>75</v>
      </c>
      <c r="E185" s="2" t="s">
        <v>275</v>
      </c>
      <c r="F185" s="7" t="s">
        <v>870</v>
      </c>
      <c r="G185" s="2" t="s">
        <v>213</v>
      </c>
      <c r="H185" s="7" t="s">
        <v>871</v>
      </c>
      <c r="I185" s="4"/>
      <c r="J185" s="2" t="s">
        <v>116</v>
      </c>
      <c r="K185" s="2" t="s">
        <v>116</v>
      </c>
      <c r="L185" s="1" t="s">
        <v>6</v>
      </c>
      <c r="M185" s="1" t="s">
        <v>76</v>
      </c>
      <c r="N185" s="1">
        <v>197</v>
      </c>
    </row>
    <row r="186" spans="1:14" x14ac:dyDescent="0.25">
      <c r="A186" s="1"/>
      <c r="B186" s="2" t="s">
        <v>108</v>
      </c>
      <c r="C186" s="4">
        <v>42278</v>
      </c>
      <c r="D186" s="2" t="s">
        <v>79</v>
      </c>
      <c r="E186" s="2" t="s">
        <v>269</v>
      </c>
      <c r="F186" s="7" t="s">
        <v>904</v>
      </c>
      <c r="G186" s="2" t="s">
        <v>213</v>
      </c>
      <c r="H186" s="7" t="s">
        <v>872</v>
      </c>
      <c r="I186" s="4"/>
      <c r="J186" s="2" t="s">
        <v>116</v>
      </c>
      <c r="K186" s="2" t="s">
        <v>116</v>
      </c>
      <c r="L186" s="1" t="s">
        <v>6</v>
      </c>
      <c r="M186" s="1" t="s">
        <v>76</v>
      </c>
      <c r="N186" s="1">
        <v>198</v>
      </c>
    </row>
    <row r="187" spans="1:14" x14ac:dyDescent="0.25">
      <c r="A187" s="1"/>
      <c r="B187" s="2" t="s">
        <v>108</v>
      </c>
      <c r="C187" s="4">
        <v>42278</v>
      </c>
      <c r="D187" s="2" t="s">
        <v>79</v>
      </c>
      <c r="E187" s="2" t="s">
        <v>270</v>
      </c>
      <c r="F187" s="7" t="s">
        <v>905</v>
      </c>
      <c r="G187" s="2" t="s">
        <v>213</v>
      </c>
      <c r="H187" s="7" t="s">
        <v>873</v>
      </c>
      <c r="I187" s="4"/>
      <c r="J187" s="2" t="s">
        <v>116</v>
      </c>
      <c r="K187" s="2" t="s">
        <v>116</v>
      </c>
      <c r="L187" s="1" t="s">
        <v>6</v>
      </c>
      <c r="M187" s="1" t="s">
        <v>76</v>
      </c>
      <c r="N187" s="1">
        <v>199</v>
      </c>
    </row>
    <row r="188" spans="1:14" ht="30" x14ac:dyDescent="0.25">
      <c r="A188" s="1"/>
      <c r="B188" s="2" t="s">
        <v>108</v>
      </c>
      <c r="C188" s="4">
        <v>42278</v>
      </c>
      <c r="D188" s="2" t="s">
        <v>256</v>
      </c>
      <c r="E188" s="2" t="s">
        <v>269</v>
      </c>
      <c r="F188" s="7" t="s">
        <v>874</v>
      </c>
      <c r="G188" s="2" t="s">
        <v>213</v>
      </c>
      <c r="H188" s="7"/>
      <c r="I188" s="4"/>
      <c r="J188" s="2" t="s">
        <v>116</v>
      </c>
      <c r="K188" s="2" t="s">
        <v>116</v>
      </c>
      <c r="L188" s="1" t="s">
        <v>6</v>
      </c>
      <c r="M188" s="1" t="s">
        <v>76</v>
      </c>
      <c r="N188" s="1">
        <v>200</v>
      </c>
    </row>
    <row r="189" spans="1:14" ht="30" x14ac:dyDescent="0.25">
      <c r="A189" s="1"/>
      <c r="B189" s="2" t="s">
        <v>108</v>
      </c>
      <c r="C189" s="4">
        <v>42278</v>
      </c>
      <c r="D189" s="2" t="s">
        <v>79</v>
      </c>
      <c r="E189" s="2" t="s">
        <v>270</v>
      </c>
      <c r="F189" s="7" t="s">
        <v>906</v>
      </c>
      <c r="G189" s="2" t="s">
        <v>213</v>
      </c>
      <c r="H189" s="7" t="s">
        <v>875</v>
      </c>
      <c r="I189" s="4"/>
      <c r="J189" s="2" t="s">
        <v>116</v>
      </c>
      <c r="K189" s="2" t="s">
        <v>116</v>
      </c>
      <c r="L189" s="1" t="s">
        <v>6</v>
      </c>
      <c r="M189" s="1" t="s">
        <v>76</v>
      </c>
      <c r="N189" s="1">
        <v>201</v>
      </c>
    </row>
    <row r="190" spans="1:14" ht="30" x14ac:dyDescent="0.25">
      <c r="A190" s="1"/>
      <c r="B190" s="2" t="s">
        <v>108</v>
      </c>
      <c r="C190" s="4">
        <v>42278</v>
      </c>
      <c r="D190" s="2" t="s">
        <v>79</v>
      </c>
      <c r="E190" s="2" t="s">
        <v>270</v>
      </c>
      <c r="F190" s="7" t="s">
        <v>876</v>
      </c>
      <c r="G190" s="2" t="s">
        <v>213</v>
      </c>
      <c r="H190" s="7" t="s">
        <v>877</v>
      </c>
      <c r="I190" s="4"/>
      <c r="J190" s="2" t="s">
        <v>116</v>
      </c>
      <c r="K190" s="2" t="s">
        <v>116</v>
      </c>
      <c r="L190" s="1" t="s">
        <v>6</v>
      </c>
      <c r="M190" s="1" t="s">
        <v>76</v>
      </c>
      <c r="N190" s="1">
        <v>202</v>
      </c>
    </row>
    <row r="191" spans="1:14" x14ac:dyDescent="0.25">
      <c r="A191" s="1"/>
      <c r="B191" s="2" t="s">
        <v>108</v>
      </c>
      <c r="C191" s="4">
        <v>42278</v>
      </c>
      <c r="D191" s="2" t="s">
        <v>256</v>
      </c>
      <c r="E191" s="2" t="s">
        <v>309</v>
      </c>
      <c r="F191" s="7" t="s">
        <v>878</v>
      </c>
      <c r="G191" s="2" t="s">
        <v>213</v>
      </c>
      <c r="H191" s="7"/>
      <c r="I191" s="4"/>
      <c r="J191" s="2" t="s">
        <v>116</v>
      </c>
      <c r="K191" s="2" t="s">
        <v>116</v>
      </c>
      <c r="L191" s="1" t="s">
        <v>6</v>
      </c>
      <c r="M191" s="1" t="s">
        <v>76</v>
      </c>
      <c r="N191" s="1">
        <v>203</v>
      </c>
    </row>
    <row r="192" spans="1:14" x14ac:dyDescent="0.25">
      <c r="A192" s="1"/>
      <c r="B192" s="2" t="s">
        <v>108</v>
      </c>
      <c r="C192" s="4">
        <v>42278</v>
      </c>
      <c r="D192" s="2" t="s">
        <v>75</v>
      </c>
      <c r="E192" s="2" t="s">
        <v>77</v>
      </c>
      <c r="F192" s="7" t="s">
        <v>879</v>
      </c>
      <c r="G192" s="2" t="s">
        <v>213</v>
      </c>
      <c r="H192" s="7" t="s">
        <v>880</v>
      </c>
      <c r="I192" s="4"/>
      <c r="J192" s="2" t="s">
        <v>116</v>
      </c>
      <c r="K192" s="2" t="s">
        <v>116</v>
      </c>
      <c r="L192" s="1" t="s">
        <v>6</v>
      </c>
      <c r="M192" s="1" t="s">
        <v>76</v>
      </c>
      <c r="N192" s="1">
        <v>204</v>
      </c>
    </row>
    <row r="193" spans="1:14" ht="30" x14ac:dyDescent="0.25">
      <c r="A193" s="1"/>
      <c r="B193" s="2" t="s">
        <v>105</v>
      </c>
      <c r="C193" s="4">
        <v>42275</v>
      </c>
      <c r="D193" s="2" t="s">
        <v>79</v>
      </c>
      <c r="E193" s="2" t="s">
        <v>300</v>
      </c>
      <c r="F193" s="7" t="s">
        <v>881</v>
      </c>
      <c r="G193" s="2" t="s">
        <v>213</v>
      </c>
      <c r="H193" s="7" t="s">
        <v>882</v>
      </c>
      <c r="I193" s="4">
        <v>42282</v>
      </c>
      <c r="J193" s="2" t="s">
        <v>42</v>
      </c>
      <c r="K193" s="2" t="s">
        <v>36</v>
      </c>
      <c r="L193" s="1" t="s">
        <v>6</v>
      </c>
      <c r="M193" s="1" t="s">
        <v>76</v>
      </c>
      <c r="N193" s="1">
        <v>205</v>
      </c>
    </row>
    <row r="194" spans="1:14" ht="30" x14ac:dyDescent="0.25">
      <c r="A194" s="1"/>
      <c r="B194" s="2" t="s">
        <v>105</v>
      </c>
      <c r="C194" s="4">
        <v>42275</v>
      </c>
      <c r="D194" s="2" t="s">
        <v>79</v>
      </c>
      <c r="E194" s="2" t="s">
        <v>300</v>
      </c>
      <c r="F194" s="7" t="s">
        <v>883</v>
      </c>
      <c r="G194" s="2" t="s">
        <v>213</v>
      </c>
      <c r="H194" s="7" t="s">
        <v>884</v>
      </c>
      <c r="I194" s="4">
        <v>42282</v>
      </c>
      <c r="J194" s="2" t="s">
        <v>42</v>
      </c>
      <c r="K194" s="2" t="s">
        <v>36</v>
      </c>
      <c r="L194" s="1" t="s">
        <v>6</v>
      </c>
      <c r="M194" s="1" t="s">
        <v>76</v>
      </c>
      <c r="N194" s="1">
        <v>206</v>
      </c>
    </row>
    <row r="195" spans="1:14" ht="30" x14ac:dyDescent="0.25">
      <c r="A195" s="1"/>
      <c r="B195" s="2" t="s">
        <v>105</v>
      </c>
      <c r="C195" s="4">
        <v>42275</v>
      </c>
      <c r="D195" s="2" t="s">
        <v>256</v>
      </c>
      <c r="E195" s="2" t="s">
        <v>300</v>
      </c>
      <c r="F195" s="7" t="s">
        <v>885</v>
      </c>
      <c r="G195" s="2" t="s">
        <v>213</v>
      </c>
      <c r="H195" s="7"/>
      <c r="I195" s="4">
        <v>42275</v>
      </c>
      <c r="J195" s="2" t="s">
        <v>42</v>
      </c>
      <c r="K195" s="2" t="s">
        <v>36</v>
      </c>
      <c r="L195" s="1" t="s">
        <v>6</v>
      </c>
      <c r="M195" s="1" t="s">
        <v>76</v>
      </c>
      <c r="N195" s="1">
        <v>207</v>
      </c>
    </row>
    <row r="196" spans="1:14" x14ac:dyDescent="0.25">
      <c r="A196" s="1"/>
      <c r="B196" s="2" t="s">
        <v>105</v>
      </c>
      <c r="C196" s="4">
        <v>42275</v>
      </c>
      <c r="D196" s="2" t="s">
        <v>256</v>
      </c>
      <c r="E196" s="2" t="s">
        <v>300</v>
      </c>
      <c r="F196" s="7" t="s">
        <v>886</v>
      </c>
      <c r="G196" s="2" t="s">
        <v>213</v>
      </c>
      <c r="H196" s="7"/>
      <c r="I196" s="4">
        <v>42275</v>
      </c>
      <c r="J196" s="2" t="s">
        <v>42</v>
      </c>
      <c r="K196" s="2" t="s">
        <v>36</v>
      </c>
      <c r="L196" s="1" t="s">
        <v>6</v>
      </c>
      <c r="M196" s="1" t="s">
        <v>76</v>
      </c>
      <c r="N196" s="1">
        <v>208</v>
      </c>
    </row>
    <row r="197" spans="1:14" x14ac:dyDescent="0.25">
      <c r="A197" s="1"/>
      <c r="B197" s="2" t="s">
        <v>107</v>
      </c>
      <c r="C197" s="4">
        <v>42276</v>
      </c>
      <c r="D197" s="2" t="s">
        <v>75</v>
      </c>
      <c r="E197" s="2" t="s">
        <v>887</v>
      </c>
      <c r="F197" s="7" t="s">
        <v>888</v>
      </c>
      <c r="G197" s="2" t="s">
        <v>213</v>
      </c>
      <c r="H197" s="7" t="s">
        <v>907</v>
      </c>
      <c r="I197" s="4">
        <v>42282</v>
      </c>
      <c r="J197" s="2" t="s">
        <v>42</v>
      </c>
      <c r="K197" s="2" t="s">
        <v>4346</v>
      </c>
      <c r="L197" s="1" t="s">
        <v>6</v>
      </c>
      <c r="M197" s="1" t="s">
        <v>76</v>
      </c>
      <c r="N197" s="1">
        <v>209</v>
      </c>
    </row>
    <row r="198" spans="1:14" ht="30" x14ac:dyDescent="0.25">
      <c r="A198" s="1"/>
      <c r="B198" s="2" t="s">
        <v>107</v>
      </c>
      <c r="C198" s="4">
        <v>42276</v>
      </c>
      <c r="D198" s="2" t="s">
        <v>79</v>
      </c>
      <c r="E198" s="2" t="s">
        <v>107</v>
      </c>
      <c r="F198" s="7" t="s">
        <v>908</v>
      </c>
      <c r="G198" s="2" t="s">
        <v>213</v>
      </c>
      <c r="H198" s="7" t="s">
        <v>889</v>
      </c>
      <c r="I198" s="4">
        <v>42282</v>
      </c>
      <c r="J198" s="2" t="s">
        <v>42</v>
      </c>
      <c r="K198" s="2" t="s">
        <v>4346</v>
      </c>
      <c r="L198" s="1" t="s">
        <v>6</v>
      </c>
      <c r="M198" s="1" t="s">
        <v>76</v>
      </c>
      <c r="N198" s="1">
        <v>210</v>
      </c>
    </row>
    <row r="199" spans="1:14" x14ac:dyDescent="0.25">
      <c r="A199" s="1"/>
      <c r="B199" s="2" t="s">
        <v>107</v>
      </c>
      <c r="C199" s="4">
        <v>42276</v>
      </c>
      <c r="D199" s="2" t="s">
        <v>79</v>
      </c>
      <c r="E199" s="2" t="s">
        <v>107</v>
      </c>
      <c r="F199" s="7" t="s">
        <v>890</v>
      </c>
      <c r="G199" s="2" t="s">
        <v>213</v>
      </c>
      <c r="H199" s="7" t="s">
        <v>891</v>
      </c>
      <c r="I199" s="4">
        <v>42282</v>
      </c>
      <c r="J199" s="2" t="s">
        <v>42</v>
      </c>
      <c r="K199" s="2" t="s">
        <v>4346</v>
      </c>
      <c r="L199" s="1" t="s">
        <v>6</v>
      </c>
      <c r="M199" s="1" t="s">
        <v>76</v>
      </c>
      <c r="N199" s="1">
        <v>211</v>
      </c>
    </row>
    <row r="200" spans="1:14" x14ac:dyDescent="0.25">
      <c r="A200" s="1"/>
      <c r="B200" s="2" t="s">
        <v>107</v>
      </c>
      <c r="C200" s="4">
        <v>42276</v>
      </c>
      <c r="D200" s="2" t="s">
        <v>79</v>
      </c>
      <c r="E200" s="2" t="s">
        <v>107</v>
      </c>
      <c r="F200" s="7" t="s">
        <v>892</v>
      </c>
      <c r="G200" s="2" t="s">
        <v>213</v>
      </c>
      <c r="H200" s="7" t="s">
        <v>893</v>
      </c>
      <c r="I200" s="4">
        <v>42282</v>
      </c>
      <c r="J200" s="2" t="s">
        <v>42</v>
      </c>
      <c r="K200" s="2" t="s">
        <v>4346</v>
      </c>
      <c r="L200" s="1" t="s">
        <v>6</v>
      </c>
      <c r="M200" s="1" t="s">
        <v>76</v>
      </c>
      <c r="N200" s="1">
        <v>212</v>
      </c>
    </row>
    <row r="201" spans="1:14" x14ac:dyDescent="0.25">
      <c r="A201" s="1"/>
      <c r="B201" s="2" t="s">
        <v>107</v>
      </c>
      <c r="C201" s="4">
        <v>42276</v>
      </c>
      <c r="D201" s="2" t="s">
        <v>75</v>
      </c>
      <c r="E201" s="2" t="s">
        <v>107</v>
      </c>
      <c r="F201" s="7" t="s">
        <v>894</v>
      </c>
      <c r="G201" s="2" t="s">
        <v>213</v>
      </c>
      <c r="H201" s="7" t="s">
        <v>895</v>
      </c>
      <c r="I201" s="4">
        <v>42282</v>
      </c>
      <c r="J201" s="2" t="s">
        <v>42</v>
      </c>
      <c r="K201" s="2" t="s">
        <v>4346</v>
      </c>
      <c r="L201" s="1" t="s">
        <v>6</v>
      </c>
      <c r="M201" s="1" t="s">
        <v>76</v>
      </c>
      <c r="N201" s="1">
        <v>213</v>
      </c>
    </row>
    <row r="202" spans="1:14" x14ac:dyDescent="0.25">
      <c r="A202" s="1"/>
      <c r="B202" s="2" t="s">
        <v>107</v>
      </c>
      <c r="C202" s="4">
        <v>42276</v>
      </c>
      <c r="D202" s="2" t="s">
        <v>75</v>
      </c>
      <c r="E202" s="2" t="s">
        <v>107</v>
      </c>
      <c r="F202" s="7" t="s">
        <v>896</v>
      </c>
      <c r="G202" s="2" t="s">
        <v>213</v>
      </c>
      <c r="H202" s="7" t="s">
        <v>2489</v>
      </c>
      <c r="I202" s="4">
        <v>42336</v>
      </c>
      <c r="J202" s="2" t="s">
        <v>42</v>
      </c>
      <c r="K202" s="2" t="s">
        <v>4346</v>
      </c>
      <c r="L202" s="1" t="s">
        <v>6</v>
      </c>
      <c r="M202" s="1" t="s">
        <v>76</v>
      </c>
      <c r="N202" s="1">
        <v>214</v>
      </c>
    </row>
    <row r="203" spans="1:14" x14ac:dyDescent="0.25">
      <c r="A203" s="1"/>
      <c r="B203" s="2" t="s">
        <v>697</v>
      </c>
      <c r="C203" s="4">
        <v>42313</v>
      </c>
      <c r="D203" s="2" t="s">
        <v>75</v>
      </c>
      <c r="E203" s="2" t="s">
        <v>275</v>
      </c>
      <c r="F203" s="7" t="s">
        <v>2490</v>
      </c>
      <c r="G203" s="2" t="s">
        <v>213</v>
      </c>
      <c r="H203" s="7" t="s">
        <v>2491</v>
      </c>
      <c r="I203" s="4">
        <v>42314</v>
      </c>
      <c r="J203" s="2" t="s">
        <v>116</v>
      </c>
      <c r="K203" s="2" t="s">
        <v>124</v>
      </c>
      <c r="L203" s="1" t="s">
        <v>6</v>
      </c>
      <c r="M203" s="1" t="s">
        <v>76</v>
      </c>
      <c r="N203" s="1">
        <v>230</v>
      </c>
    </row>
    <row r="204" spans="1:14" x14ac:dyDescent="0.25">
      <c r="A204" s="1"/>
      <c r="B204" s="2" t="s">
        <v>697</v>
      </c>
      <c r="C204" s="4">
        <v>42313</v>
      </c>
      <c r="D204" s="2" t="s">
        <v>75</v>
      </c>
      <c r="E204" s="2" t="s">
        <v>77</v>
      </c>
      <c r="F204" s="7" t="s">
        <v>2492</v>
      </c>
      <c r="G204" s="2" t="s">
        <v>213</v>
      </c>
      <c r="H204" s="7" t="s">
        <v>2493</v>
      </c>
      <c r="I204" s="4">
        <v>42314</v>
      </c>
      <c r="J204" s="2" t="s">
        <v>116</v>
      </c>
      <c r="K204" s="2" t="s">
        <v>124</v>
      </c>
      <c r="L204" s="1" t="s">
        <v>6</v>
      </c>
      <c r="M204" s="1" t="s">
        <v>76</v>
      </c>
      <c r="N204" s="1">
        <v>231</v>
      </c>
    </row>
    <row r="205" spans="1:14" x14ac:dyDescent="0.25">
      <c r="A205" s="1"/>
      <c r="B205" s="2" t="s">
        <v>697</v>
      </c>
      <c r="C205" s="4">
        <v>42313</v>
      </c>
      <c r="D205" s="2" t="s">
        <v>79</v>
      </c>
      <c r="E205" s="2" t="s">
        <v>245</v>
      </c>
      <c r="F205" s="7" t="s">
        <v>2494</v>
      </c>
      <c r="G205" s="2" t="s">
        <v>213</v>
      </c>
      <c r="H205" s="7" t="s">
        <v>2495</v>
      </c>
      <c r="I205" s="4">
        <v>42314</v>
      </c>
      <c r="J205" s="2" t="s">
        <v>116</v>
      </c>
      <c r="K205" s="2" t="s">
        <v>124</v>
      </c>
      <c r="L205" s="1" t="s">
        <v>6</v>
      </c>
      <c r="M205" s="1" t="s">
        <v>76</v>
      </c>
      <c r="N205" s="1">
        <v>232</v>
      </c>
    </row>
    <row r="206" spans="1:14" x14ac:dyDescent="0.25">
      <c r="A206" s="1"/>
      <c r="B206" s="2" t="s">
        <v>697</v>
      </c>
      <c r="C206" s="4">
        <v>42313</v>
      </c>
      <c r="D206" s="2" t="s">
        <v>256</v>
      </c>
      <c r="E206" s="2" t="s">
        <v>77</v>
      </c>
      <c r="F206" s="7" t="s">
        <v>2496</v>
      </c>
      <c r="G206" s="2" t="s">
        <v>213</v>
      </c>
      <c r="H206" s="7"/>
      <c r="I206" s="4"/>
      <c r="J206" s="2" t="s">
        <v>116</v>
      </c>
      <c r="K206" s="2" t="s">
        <v>124</v>
      </c>
      <c r="L206" s="1" t="s">
        <v>6</v>
      </c>
      <c r="M206" s="1" t="s">
        <v>76</v>
      </c>
      <c r="N206" s="1">
        <v>233</v>
      </c>
    </row>
    <row r="207" spans="1:14" ht="30" x14ac:dyDescent="0.25">
      <c r="A207" s="1"/>
      <c r="B207" s="2" t="s">
        <v>697</v>
      </c>
      <c r="C207" s="4">
        <v>42313</v>
      </c>
      <c r="D207" s="2" t="s">
        <v>79</v>
      </c>
      <c r="E207" s="2" t="s">
        <v>77</v>
      </c>
      <c r="F207" s="7" t="s">
        <v>2683</v>
      </c>
      <c r="G207" s="2" t="s">
        <v>213</v>
      </c>
      <c r="H207" s="7" t="s">
        <v>2684</v>
      </c>
      <c r="I207" s="4">
        <v>42314</v>
      </c>
      <c r="J207" s="2" t="s">
        <v>116</v>
      </c>
      <c r="K207" s="2" t="s">
        <v>124</v>
      </c>
      <c r="L207" s="1" t="s">
        <v>6</v>
      </c>
      <c r="M207" s="1" t="s">
        <v>76</v>
      </c>
      <c r="N207" s="1">
        <v>234</v>
      </c>
    </row>
    <row r="208" spans="1:14" ht="45" x14ac:dyDescent="0.25">
      <c r="A208" s="1"/>
      <c r="B208" s="2" t="s">
        <v>697</v>
      </c>
      <c r="C208" s="4">
        <v>42313</v>
      </c>
      <c r="D208" s="2" t="s">
        <v>79</v>
      </c>
      <c r="E208" s="2" t="s">
        <v>257</v>
      </c>
      <c r="F208" s="7" t="s">
        <v>2497</v>
      </c>
      <c r="G208" s="2" t="s">
        <v>213</v>
      </c>
      <c r="H208" s="7" t="s">
        <v>2498</v>
      </c>
      <c r="I208" s="4">
        <v>42314</v>
      </c>
      <c r="J208" s="2" t="s">
        <v>116</v>
      </c>
      <c r="K208" s="2" t="s">
        <v>124</v>
      </c>
      <c r="L208" s="1" t="s">
        <v>6</v>
      </c>
      <c r="M208" s="1" t="s">
        <v>76</v>
      </c>
      <c r="N208" s="1">
        <v>235</v>
      </c>
    </row>
    <row r="209" spans="1:14" ht="30" x14ac:dyDescent="0.25">
      <c r="A209" s="1"/>
      <c r="B209" s="2" t="s">
        <v>697</v>
      </c>
      <c r="C209" s="4">
        <v>42313</v>
      </c>
      <c r="D209" s="2" t="s">
        <v>79</v>
      </c>
      <c r="E209" s="2" t="s">
        <v>279</v>
      </c>
      <c r="F209" s="7" t="s">
        <v>2499</v>
      </c>
      <c r="G209" s="2" t="s">
        <v>213</v>
      </c>
      <c r="H209" s="7" t="s">
        <v>2500</v>
      </c>
      <c r="I209" s="4">
        <v>42314</v>
      </c>
      <c r="J209" s="2" t="s">
        <v>116</v>
      </c>
      <c r="K209" s="2" t="s">
        <v>124</v>
      </c>
      <c r="L209" s="1" t="s">
        <v>6</v>
      </c>
      <c r="M209" s="1" t="s">
        <v>76</v>
      </c>
      <c r="N209" s="1">
        <v>236</v>
      </c>
    </row>
    <row r="210" spans="1:14" ht="30" x14ac:dyDescent="0.25">
      <c r="A210" s="1"/>
      <c r="B210" s="2" t="s">
        <v>582</v>
      </c>
      <c r="C210" s="4">
        <v>42317</v>
      </c>
      <c r="D210" s="2" t="s">
        <v>75</v>
      </c>
      <c r="E210" s="2" t="s">
        <v>415</v>
      </c>
      <c r="F210" s="7" t="s">
        <v>2501</v>
      </c>
      <c r="G210" s="2" t="s">
        <v>213</v>
      </c>
      <c r="H210" s="7" t="s">
        <v>2502</v>
      </c>
      <c r="I210" s="4">
        <v>42336</v>
      </c>
      <c r="J210" s="2" t="s">
        <v>116</v>
      </c>
      <c r="K210" s="2" t="s">
        <v>116</v>
      </c>
      <c r="L210" s="1" t="s">
        <v>6</v>
      </c>
      <c r="M210" s="1" t="s">
        <v>76</v>
      </c>
      <c r="N210" s="1">
        <v>237</v>
      </c>
    </row>
    <row r="211" spans="1:14" ht="45" x14ac:dyDescent="0.25">
      <c r="A211" s="1"/>
      <c r="B211" s="2" t="s">
        <v>582</v>
      </c>
      <c r="C211" s="4">
        <v>42317</v>
      </c>
      <c r="D211" s="2" t="s">
        <v>75</v>
      </c>
      <c r="E211" s="2" t="s">
        <v>415</v>
      </c>
      <c r="F211" s="7" t="s">
        <v>2685</v>
      </c>
      <c r="G211" s="2" t="s">
        <v>213</v>
      </c>
      <c r="H211" s="7" t="s">
        <v>2503</v>
      </c>
      <c r="I211" s="4">
        <v>42336</v>
      </c>
      <c r="J211" s="2" t="s">
        <v>116</v>
      </c>
      <c r="K211" s="2" t="s">
        <v>116</v>
      </c>
      <c r="L211" s="1" t="s">
        <v>6</v>
      </c>
      <c r="M211" s="1" t="s">
        <v>76</v>
      </c>
      <c r="N211" s="1">
        <v>238</v>
      </c>
    </row>
    <row r="212" spans="1:14" x14ac:dyDescent="0.25">
      <c r="A212" s="1"/>
      <c r="B212" s="2" t="s">
        <v>699</v>
      </c>
      <c r="C212" s="4">
        <v>42324</v>
      </c>
      <c r="D212" s="2" t="s">
        <v>75</v>
      </c>
      <c r="E212" s="2" t="s">
        <v>77</v>
      </c>
      <c r="F212" s="7" t="s">
        <v>2504</v>
      </c>
      <c r="G212" s="2" t="s">
        <v>213</v>
      </c>
      <c r="H212" s="7" t="s">
        <v>2505</v>
      </c>
      <c r="I212" s="4">
        <v>42326</v>
      </c>
      <c r="J212" s="2" t="s">
        <v>116</v>
      </c>
      <c r="K212" s="2" t="s">
        <v>41</v>
      </c>
      <c r="L212" s="1" t="s">
        <v>6</v>
      </c>
      <c r="M212" s="1" t="s">
        <v>76</v>
      </c>
      <c r="N212" s="1">
        <v>240</v>
      </c>
    </row>
    <row r="213" spans="1:14" ht="30" x14ac:dyDescent="0.25">
      <c r="A213" s="1"/>
      <c r="B213" s="2" t="s">
        <v>699</v>
      </c>
      <c r="C213" s="4">
        <v>42324</v>
      </c>
      <c r="D213" s="2" t="s">
        <v>79</v>
      </c>
      <c r="E213" s="2" t="s">
        <v>270</v>
      </c>
      <c r="F213" s="7" t="s">
        <v>2506</v>
      </c>
      <c r="G213" s="2" t="s">
        <v>213</v>
      </c>
      <c r="H213" s="7" t="s">
        <v>2507</v>
      </c>
      <c r="I213" s="4">
        <v>42326</v>
      </c>
      <c r="J213" s="2" t="s">
        <v>116</v>
      </c>
      <c r="K213" s="2" t="s">
        <v>41</v>
      </c>
      <c r="L213" s="1" t="s">
        <v>6</v>
      </c>
      <c r="M213" s="1" t="s">
        <v>76</v>
      </c>
      <c r="N213" s="1">
        <v>241</v>
      </c>
    </row>
    <row r="214" spans="1:14" x14ac:dyDescent="0.25">
      <c r="A214" s="1"/>
      <c r="B214" s="2" t="s">
        <v>699</v>
      </c>
      <c r="C214" s="4">
        <v>42324</v>
      </c>
      <c r="D214" s="2" t="s">
        <v>79</v>
      </c>
      <c r="E214" s="2" t="s">
        <v>270</v>
      </c>
      <c r="F214" s="7" t="s">
        <v>2508</v>
      </c>
      <c r="G214" s="2" t="s">
        <v>213</v>
      </c>
      <c r="H214" s="7" t="s">
        <v>2509</v>
      </c>
      <c r="I214" s="4">
        <v>42326</v>
      </c>
      <c r="J214" s="2" t="s">
        <v>116</v>
      </c>
      <c r="K214" s="2" t="s">
        <v>41</v>
      </c>
      <c r="L214" s="1" t="s">
        <v>6</v>
      </c>
      <c r="M214" s="1" t="s">
        <v>76</v>
      </c>
      <c r="N214" s="1">
        <v>242</v>
      </c>
    </row>
    <row r="215" spans="1:14" ht="30" x14ac:dyDescent="0.25">
      <c r="A215" s="1"/>
      <c r="B215" s="2" t="s">
        <v>699</v>
      </c>
      <c r="C215" s="4">
        <v>42324</v>
      </c>
      <c r="D215" s="2" t="s">
        <v>75</v>
      </c>
      <c r="E215" s="2" t="s">
        <v>257</v>
      </c>
      <c r="F215" s="7" t="s">
        <v>2510</v>
      </c>
      <c r="G215" s="2" t="s">
        <v>213</v>
      </c>
      <c r="H215" s="7" t="s">
        <v>2511</v>
      </c>
      <c r="I215" s="4">
        <v>42326</v>
      </c>
      <c r="J215" s="2" t="s">
        <v>116</v>
      </c>
      <c r="K215" s="2" t="s">
        <v>41</v>
      </c>
      <c r="L215" s="1" t="s">
        <v>6</v>
      </c>
      <c r="M215" s="1" t="s">
        <v>76</v>
      </c>
      <c r="N215" s="1">
        <v>243</v>
      </c>
    </row>
    <row r="216" spans="1:14" x14ac:dyDescent="0.25">
      <c r="A216" s="1"/>
      <c r="B216" s="2" t="s">
        <v>699</v>
      </c>
      <c r="C216" s="4">
        <v>42324</v>
      </c>
      <c r="D216" s="2" t="s">
        <v>79</v>
      </c>
      <c r="E216" s="2" t="s">
        <v>270</v>
      </c>
      <c r="F216" s="7" t="s">
        <v>2512</v>
      </c>
      <c r="G216" s="2" t="s">
        <v>213</v>
      </c>
      <c r="H216" s="7" t="s">
        <v>2513</v>
      </c>
      <c r="I216" s="4">
        <v>42326</v>
      </c>
      <c r="J216" s="2" t="s">
        <v>116</v>
      </c>
      <c r="K216" s="2" t="s">
        <v>41</v>
      </c>
      <c r="L216" s="1" t="s">
        <v>6</v>
      </c>
      <c r="M216" s="1" t="s">
        <v>76</v>
      </c>
      <c r="N216" s="1">
        <v>244</v>
      </c>
    </row>
    <row r="217" spans="1:14" x14ac:dyDescent="0.25">
      <c r="A217" s="1"/>
      <c r="B217" s="2" t="s">
        <v>699</v>
      </c>
      <c r="C217" s="4">
        <v>42324</v>
      </c>
      <c r="D217" s="2" t="s">
        <v>75</v>
      </c>
      <c r="E217" s="2" t="s">
        <v>275</v>
      </c>
      <c r="F217" s="7" t="s">
        <v>2490</v>
      </c>
      <c r="G217" s="2" t="s">
        <v>213</v>
      </c>
      <c r="H217" s="7" t="s">
        <v>2514</v>
      </c>
      <c r="I217" s="4">
        <v>42326</v>
      </c>
      <c r="J217" s="2" t="s">
        <v>116</v>
      </c>
      <c r="K217" s="2" t="s">
        <v>41</v>
      </c>
      <c r="L217" s="1" t="s">
        <v>6</v>
      </c>
      <c r="M217" s="1" t="s">
        <v>76</v>
      </c>
      <c r="N217" s="1">
        <v>245</v>
      </c>
    </row>
    <row r="218" spans="1:14" ht="30" x14ac:dyDescent="0.25">
      <c r="A218" s="1"/>
      <c r="B218" s="2" t="s">
        <v>699</v>
      </c>
      <c r="C218" s="4">
        <v>42324</v>
      </c>
      <c r="D218" s="2" t="s">
        <v>79</v>
      </c>
      <c r="E218" s="2" t="s">
        <v>269</v>
      </c>
      <c r="F218" s="7" t="s">
        <v>2515</v>
      </c>
      <c r="G218" s="2" t="s">
        <v>213</v>
      </c>
      <c r="H218" s="7" t="s">
        <v>2516</v>
      </c>
      <c r="I218" s="4">
        <v>42326</v>
      </c>
      <c r="J218" s="2" t="s">
        <v>116</v>
      </c>
      <c r="K218" s="2" t="s">
        <v>41</v>
      </c>
      <c r="L218" s="1" t="s">
        <v>6</v>
      </c>
      <c r="M218" s="1" t="s">
        <v>76</v>
      </c>
      <c r="N218" s="1">
        <v>246</v>
      </c>
    </row>
    <row r="219" spans="1:14" x14ac:dyDescent="0.25">
      <c r="A219" s="1"/>
      <c r="B219" s="2" t="s">
        <v>699</v>
      </c>
      <c r="C219" s="4">
        <v>42326</v>
      </c>
      <c r="D219" s="2" t="s">
        <v>256</v>
      </c>
      <c r="E219" s="2" t="s">
        <v>279</v>
      </c>
      <c r="F219" s="7" t="s">
        <v>2517</v>
      </c>
      <c r="G219" s="2" t="s">
        <v>213</v>
      </c>
      <c r="H219" s="7"/>
      <c r="I219" s="4">
        <v>42326</v>
      </c>
      <c r="J219" s="2" t="s">
        <v>116</v>
      </c>
      <c r="K219" s="2" t="s">
        <v>41</v>
      </c>
      <c r="L219" s="1" t="s">
        <v>6</v>
      </c>
      <c r="M219" s="1" t="s">
        <v>76</v>
      </c>
      <c r="N219" s="1">
        <v>247</v>
      </c>
    </row>
    <row r="220" spans="1:14" x14ac:dyDescent="0.25">
      <c r="A220" s="1"/>
      <c r="B220" s="2" t="s">
        <v>103</v>
      </c>
      <c r="C220" s="4">
        <v>42327</v>
      </c>
      <c r="D220" s="2" t="s">
        <v>256</v>
      </c>
      <c r="E220" s="2" t="s">
        <v>648</v>
      </c>
      <c r="F220" s="7" t="s">
        <v>2518</v>
      </c>
      <c r="G220" s="2" t="s">
        <v>213</v>
      </c>
      <c r="H220" s="7"/>
      <c r="I220" s="4"/>
      <c r="J220" s="2" t="s">
        <v>116</v>
      </c>
      <c r="K220" s="2" t="s">
        <v>36</v>
      </c>
      <c r="L220" s="1" t="s">
        <v>6</v>
      </c>
      <c r="M220" s="1" t="s">
        <v>76</v>
      </c>
      <c r="N220" s="1">
        <v>248</v>
      </c>
    </row>
    <row r="221" spans="1:14" ht="30" x14ac:dyDescent="0.25">
      <c r="A221" s="1"/>
      <c r="B221" s="2" t="s">
        <v>697</v>
      </c>
      <c r="C221" s="4">
        <v>42335</v>
      </c>
      <c r="D221" s="2" t="s">
        <v>79</v>
      </c>
      <c r="E221" s="2" t="s">
        <v>415</v>
      </c>
      <c r="F221" s="7" t="s">
        <v>2519</v>
      </c>
      <c r="G221" s="2" t="s">
        <v>213</v>
      </c>
      <c r="H221" s="7" t="s">
        <v>2520</v>
      </c>
      <c r="I221" s="4">
        <v>42348</v>
      </c>
      <c r="J221" s="2" t="s">
        <v>116</v>
      </c>
      <c r="K221" s="2" t="s">
        <v>124</v>
      </c>
      <c r="L221" s="1" t="s">
        <v>6</v>
      </c>
      <c r="M221" s="1" t="s">
        <v>76</v>
      </c>
      <c r="N221" s="1">
        <v>259</v>
      </c>
    </row>
    <row r="222" spans="1:14" x14ac:dyDescent="0.25">
      <c r="A222" s="1"/>
      <c r="B222" s="2" t="s">
        <v>697</v>
      </c>
      <c r="C222" s="4">
        <v>42335</v>
      </c>
      <c r="D222" s="2" t="s">
        <v>256</v>
      </c>
      <c r="E222" s="2" t="s">
        <v>77</v>
      </c>
      <c r="F222" s="7" t="s">
        <v>2686</v>
      </c>
      <c r="G222" s="2" t="s">
        <v>213</v>
      </c>
      <c r="H222" s="7"/>
      <c r="I222" s="4">
        <v>42335</v>
      </c>
      <c r="J222" s="2" t="s">
        <v>116</v>
      </c>
      <c r="K222" s="2" t="s">
        <v>124</v>
      </c>
      <c r="L222" s="1" t="s">
        <v>6</v>
      </c>
      <c r="M222" s="1" t="s">
        <v>76</v>
      </c>
      <c r="N222" s="1">
        <v>260</v>
      </c>
    </row>
    <row r="223" spans="1:14" ht="30" x14ac:dyDescent="0.25">
      <c r="A223" s="1"/>
      <c r="B223" s="2" t="s">
        <v>105</v>
      </c>
      <c r="C223" s="4">
        <v>42333</v>
      </c>
      <c r="D223" s="2" t="s">
        <v>79</v>
      </c>
      <c r="E223" s="2" t="s">
        <v>300</v>
      </c>
      <c r="F223" s="7" t="s">
        <v>2521</v>
      </c>
      <c r="G223" s="2" t="s">
        <v>213</v>
      </c>
      <c r="H223" s="7" t="s">
        <v>2522</v>
      </c>
      <c r="I223" s="4">
        <v>42336</v>
      </c>
      <c r="J223" s="2" t="s">
        <v>116</v>
      </c>
      <c r="K223" s="2" t="s">
        <v>36</v>
      </c>
      <c r="L223" s="1" t="s">
        <v>6</v>
      </c>
      <c r="M223" s="1" t="s">
        <v>76</v>
      </c>
      <c r="N223" s="1">
        <v>261</v>
      </c>
    </row>
    <row r="224" spans="1:14" x14ac:dyDescent="0.25">
      <c r="A224" s="1"/>
      <c r="B224" s="2" t="s">
        <v>105</v>
      </c>
      <c r="C224" s="38">
        <v>42333</v>
      </c>
      <c r="D224" s="2" t="s">
        <v>256</v>
      </c>
      <c r="E224" s="2" t="s">
        <v>300</v>
      </c>
      <c r="F224" s="7" t="s">
        <v>2523</v>
      </c>
      <c r="G224" s="2" t="s">
        <v>213</v>
      </c>
      <c r="H224" s="7"/>
      <c r="I224" s="38">
        <v>42333</v>
      </c>
      <c r="J224" s="2" t="s">
        <v>116</v>
      </c>
      <c r="K224" s="2" t="s">
        <v>36</v>
      </c>
      <c r="L224" s="1" t="s">
        <v>6</v>
      </c>
      <c r="M224" s="1" t="s">
        <v>76</v>
      </c>
      <c r="N224" s="1">
        <v>262</v>
      </c>
    </row>
    <row r="225" spans="1:14" ht="30" x14ac:dyDescent="0.25">
      <c r="A225" s="1"/>
      <c r="B225" s="2" t="s">
        <v>697</v>
      </c>
      <c r="C225" s="38">
        <v>42336</v>
      </c>
      <c r="D225" s="2" t="s">
        <v>79</v>
      </c>
      <c r="E225" s="2" t="s">
        <v>77</v>
      </c>
      <c r="F225" s="7" t="s">
        <v>2687</v>
      </c>
      <c r="G225" s="2" t="s">
        <v>213</v>
      </c>
      <c r="H225" s="7" t="s">
        <v>2524</v>
      </c>
      <c r="I225" s="38">
        <v>42348</v>
      </c>
      <c r="J225" s="2" t="s">
        <v>116</v>
      </c>
      <c r="K225" s="2" t="s">
        <v>124</v>
      </c>
      <c r="L225" s="1" t="s">
        <v>6</v>
      </c>
      <c r="M225" s="1" t="s">
        <v>76</v>
      </c>
      <c r="N225" s="1">
        <v>263</v>
      </c>
    </row>
    <row r="226" spans="1:14" ht="30" x14ac:dyDescent="0.25">
      <c r="A226" s="1"/>
      <c r="B226" s="2" t="s">
        <v>697</v>
      </c>
      <c r="C226" s="38">
        <v>42336</v>
      </c>
      <c r="D226" s="2" t="s">
        <v>79</v>
      </c>
      <c r="E226" s="2" t="s">
        <v>77</v>
      </c>
      <c r="F226" s="7" t="s">
        <v>2688</v>
      </c>
      <c r="G226" s="2" t="s">
        <v>213</v>
      </c>
      <c r="H226" s="7" t="s">
        <v>2689</v>
      </c>
      <c r="I226" s="38">
        <v>42348</v>
      </c>
      <c r="J226" s="2" t="s">
        <v>116</v>
      </c>
      <c r="K226" s="2" t="s">
        <v>124</v>
      </c>
      <c r="L226" s="1" t="s">
        <v>6</v>
      </c>
      <c r="M226" s="1" t="s">
        <v>76</v>
      </c>
      <c r="N226" s="1">
        <v>264</v>
      </c>
    </row>
    <row r="227" spans="1:14" x14ac:dyDescent="0.25">
      <c r="A227" s="1"/>
      <c r="B227" s="2" t="s">
        <v>697</v>
      </c>
      <c r="C227" s="38">
        <v>42336</v>
      </c>
      <c r="D227" s="2" t="s">
        <v>75</v>
      </c>
      <c r="E227" s="2" t="s">
        <v>77</v>
      </c>
      <c r="F227" s="7" t="s">
        <v>2525</v>
      </c>
      <c r="G227" s="2" t="s">
        <v>213</v>
      </c>
      <c r="H227" s="7" t="s">
        <v>2526</v>
      </c>
      <c r="I227" s="38">
        <v>42348</v>
      </c>
      <c r="J227" s="2" t="s">
        <v>116</v>
      </c>
      <c r="K227" s="2" t="s">
        <v>124</v>
      </c>
      <c r="L227" s="1" t="s">
        <v>6</v>
      </c>
      <c r="M227" s="1" t="s">
        <v>76</v>
      </c>
      <c r="N227" s="1">
        <v>265</v>
      </c>
    </row>
    <row r="228" spans="1:14" ht="30" x14ac:dyDescent="0.25">
      <c r="A228" s="1"/>
      <c r="B228" s="2" t="s">
        <v>697</v>
      </c>
      <c r="C228" s="38">
        <v>42336</v>
      </c>
      <c r="D228" s="2" t="s">
        <v>75</v>
      </c>
      <c r="E228" s="2" t="s">
        <v>270</v>
      </c>
      <c r="F228" s="7" t="s">
        <v>2527</v>
      </c>
      <c r="G228" s="2" t="s">
        <v>213</v>
      </c>
      <c r="H228" s="7" t="s">
        <v>2528</v>
      </c>
      <c r="I228" s="38">
        <v>42348</v>
      </c>
      <c r="J228" s="2" t="s">
        <v>116</v>
      </c>
      <c r="K228" s="2" t="s">
        <v>124</v>
      </c>
      <c r="L228" s="1" t="s">
        <v>6</v>
      </c>
      <c r="M228" s="1" t="s">
        <v>76</v>
      </c>
      <c r="N228" s="1">
        <v>266</v>
      </c>
    </row>
    <row r="229" spans="1:14" ht="45" x14ac:dyDescent="0.25">
      <c r="A229" s="1"/>
      <c r="B229" s="2" t="s">
        <v>697</v>
      </c>
      <c r="C229" s="38">
        <v>42336</v>
      </c>
      <c r="D229" s="2" t="s">
        <v>75</v>
      </c>
      <c r="E229" s="2" t="s">
        <v>279</v>
      </c>
      <c r="F229" s="7" t="s">
        <v>2529</v>
      </c>
      <c r="G229" s="2" t="s">
        <v>213</v>
      </c>
      <c r="H229" s="7" t="s">
        <v>2690</v>
      </c>
      <c r="I229" s="38">
        <v>42348</v>
      </c>
      <c r="J229" s="2" t="s">
        <v>116</v>
      </c>
      <c r="K229" s="2" t="s">
        <v>124</v>
      </c>
      <c r="L229" s="1" t="s">
        <v>6</v>
      </c>
      <c r="M229" s="1" t="s">
        <v>76</v>
      </c>
      <c r="N229" s="1">
        <v>267</v>
      </c>
    </row>
    <row r="230" spans="1:14" ht="30" x14ac:dyDescent="0.25">
      <c r="A230" s="1"/>
      <c r="B230" s="2" t="s">
        <v>699</v>
      </c>
      <c r="C230" s="38">
        <v>42346</v>
      </c>
      <c r="D230" s="2" t="s">
        <v>256</v>
      </c>
      <c r="E230" s="2" t="s">
        <v>77</v>
      </c>
      <c r="F230" s="7" t="s">
        <v>2530</v>
      </c>
      <c r="G230" s="2" t="s">
        <v>213</v>
      </c>
      <c r="H230" s="7"/>
      <c r="I230" s="38">
        <v>42346</v>
      </c>
      <c r="J230" s="2" t="s">
        <v>116</v>
      </c>
      <c r="K230" s="2" t="s">
        <v>41</v>
      </c>
      <c r="L230" s="1" t="s">
        <v>6</v>
      </c>
      <c r="M230" s="1" t="s">
        <v>76</v>
      </c>
      <c r="N230" s="1">
        <v>268</v>
      </c>
    </row>
    <row r="231" spans="1:14" ht="30" x14ac:dyDescent="0.25">
      <c r="A231" s="1"/>
      <c r="B231" s="2" t="s">
        <v>699</v>
      </c>
      <c r="C231" s="38">
        <v>42346</v>
      </c>
      <c r="D231" s="2" t="s">
        <v>79</v>
      </c>
      <c r="E231" s="2" t="s">
        <v>267</v>
      </c>
      <c r="F231" s="7" t="s">
        <v>2691</v>
      </c>
      <c r="G231" s="2" t="s">
        <v>213</v>
      </c>
      <c r="H231" s="7" t="s">
        <v>2531</v>
      </c>
      <c r="I231" s="38">
        <v>42347</v>
      </c>
      <c r="J231" s="2" t="s">
        <v>116</v>
      </c>
      <c r="K231" s="2" t="s">
        <v>41</v>
      </c>
      <c r="L231" s="1" t="s">
        <v>6</v>
      </c>
      <c r="M231" s="1" t="s">
        <v>76</v>
      </c>
      <c r="N231" s="1">
        <v>269</v>
      </c>
    </row>
    <row r="232" spans="1:14" x14ac:dyDescent="0.25">
      <c r="A232" s="1"/>
      <c r="B232" s="2" t="s">
        <v>699</v>
      </c>
      <c r="C232" s="38">
        <v>42347</v>
      </c>
      <c r="D232" s="2" t="s">
        <v>79</v>
      </c>
      <c r="E232" s="2" t="s">
        <v>77</v>
      </c>
      <c r="F232" s="7" t="s">
        <v>2532</v>
      </c>
      <c r="G232" s="2" t="s">
        <v>213</v>
      </c>
      <c r="H232" s="7" t="s">
        <v>2533</v>
      </c>
      <c r="I232" s="38">
        <v>42347</v>
      </c>
      <c r="J232" s="2" t="s">
        <v>116</v>
      </c>
      <c r="K232" s="2" t="s">
        <v>41</v>
      </c>
      <c r="L232" s="1" t="s">
        <v>6</v>
      </c>
      <c r="M232" s="1" t="s">
        <v>76</v>
      </c>
      <c r="N232" s="1">
        <v>270</v>
      </c>
    </row>
    <row r="233" spans="1:14" x14ac:dyDescent="0.25">
      <c r="A233" s="1"/>
      <c r="B233" s="2" t="s">
        <v>699</v>
      </c>
      <c r="C233" s="38">
        <v>42347</v>
      </c>
      <c r="D233" s="2" t="s">
        <v>256</v>
      </c>
      <c r="E233" s="2" t="s">
        <v>77</v>
      </c>
      <c r="F233" s="7" t="s">
        <v>2534</v>
      </c>
      <c r="G233" s="2" t="s">
        <v>213</v>
      </c>
      <c r="H233" s="7"/>
      <c r="I233" s="38">
        <v>42347</v>
      </c>
      <c r="J233" s="2" t="s">
        <v>116</v>
      </c>
      <c r="K233" s="2" t="s">
        <v>41</v>
      </c>
      <c r="L233" s="1" t="s">
        <v>6</v>
      </c>
      <c r="M233" s="1" t="s">
        <v>76</v>
      </c>
      <c r="N233" s="1">
        <v>271</v>
      </c>
    </row>
    <row r="234" spans="1:14" x14ac:dyDescent="0.25">
      <c r="A234" s="1"/>
      <c r="B234" s="2" t="s">
        <v>699</v>
      </c>
      <c r="C234" s="38">
        <v>42347</v>
      </c>
      <c r="D234" s="2" t="s">
        <v>79</v>
      </c>
      <c r="E234" s="2" t="s">
        <v>77</v>
      </c>
      <c r="F234" s="7" t="s">
        <v>2692</v>
      </c>
      <c r="G234" s="2" t="s">
        <v>213</v>
      </c>
      <c r="H234" s="7" t="s">
        <v>2535</v>
      </c>
      <c r="I234" s="38">
        <v>42347</v>
      </c>
      <c r="J234" s="2" t="s">
        <v>116</v>
      </c>
      <c r="K234" s="2" t="s">
        <v>41</v>
      </c>
      <c r="L234" s="1" t="s">
        <v>6</v>
      </c>
      <c r="M234" s="1" t="s">
        <v>76</v>
      </c>
      <c r="N234" s="1">
        <v>272</v>
      </c>
    </row>
    <row r="235" spans="1:14" x14ac:dyDescent="0.25">
      <c r="A235" s="1"/>
      <c r="B235" s="2" t="s">
        <v>699</v>
      </c>
      <c r="C235" s="38">
        <v>42347</v>
      </c>
      <c r="D235" s="2" t="s">
        <v>75</v>
      </c>
      <c r="E235" s="2" t="s">
        <v>279</v>
      </c>
      <c r="F235" s="7" t="s">
        <v>2536</v>
      </c>
      <c r="G235" s="2" t="s">
        <v>213</v>
      </c>
      <c r="H235" s="7" t="s">
        <v>2537</v>
      </c>
      <c r="I235" s="38">
        <v>42348</v>
      </c>
      <c r="J235" s="2" t="s">
        <v>116</v>
      </c>
      <c r="K235" s="2" t="s">
        <v>41</v>
      </c>
      <c r="L235" s="1" t="s">
        <v>6</v>
      </c>
      <c r="M235" s="1" t="s">
        <v>76</v>
      </c>
      <c r="N235" s="1">
        <v>273</v>
      </c>
    </row>
    <row r="236" spans="1:14" ht="30" x14ac:dyDescent="0.25">
      <c r="A236" s="1"/>
      <c r="B236" s="2" t="s">
        <v>699</v>
      </c>
      <c r="C236" s="38">
        <v>42347</v>
      </c>
      <c r="D236" s="2" t="s">
        <v>79</v>
      </c>
      <c r="E236" s="2" t="s">
        <v>279</v>
      </c>
      <c r="F236" s="7" t="s">
        <v>2693</v>
      </c>
      <c r="G236" s="2" t="s">
        <v>213</v>
      </c>
      <c r="H236" s="7" t="s">
        <v>2538</v>
      </c>
      <c r="I236" s="38">
        <v>42348</v>
      </c>
      <c r="J236" s="2" t="s">
        <v>116</v>
      </c>
      <c r="K236" s="2" t="s">
        <v>41</v>
      </c>
      <c r="L236" s="1" t="s">
        <v>6</v>
      </c>
      <c r="M236" s="1" t="s">
        <v>76</v>
      </c>
      <c r="N236" s="1">
        <v>274</v>
      </c>
    </row>
    <row r="237" spans="1:14" x14ac:dyDescent="0.25">
      <c r="A237" s="1"/>
      <c r="B237" s="2" t="s">
        <v>699</v>
      </c>
      <c r="C237" s="38">
        <v>42347</v>
      </c>
      <c r="D237" s="2" t="s">
        <v>75</v>
      </c>
      <c r="E237" s="2" t="s">
        <v>270</v>
      </c>
      <c r="F237" s="7" t="s">
        <v>2539</v>
      </c>
      <c r="G237" s="2" t="s">
        <v>213</v>
      </c>
      <c r="H237" s="7" t="s">
        <v>2540</v>
      </c>
      <c r="I237" s="38">
        <v>42347</v>
      </c>
      <c r="J237" s="2" t="s">
        <v>116</v>
      </c>
      <c r="K237" s="2" t="s">
        <v>41</v>
      </c>
      <c r="L237" s="1" t="s">
        <v>6</v>
      </c>
      <c r="M237" s="1" t="s">
        <v>76</v>
      </c>
      <c r="N237" s="1">
        <v>275</v>
      </c>
    </row>
    <row r="238" spans="1:14" x14ac:dyDescent="0.25">
      <c r="A238" s="1"/>
      <c r="B238" s="2" t="s">
        <v>699</v>
      </c>
      <c r="C238" s="38">
        <v>42347</v>
      </c>
      <c r="D238" s="2" t="s">
        <v>75</v>
      </c>
      <c r="E238" s="2" t="s">
        <v>275</v>
      </c>
      <c r="F238" s="7" t="s">
        <v>2694</v>
      </c>
      <c r="G238" s="2" t="s">
        <v>213</v>
      </c>
      <c r="H238" s="7" t="s">
        <v>2541</v>
      </c>
      <c r="I238" s="38">
        <v>42348</v>
      </c>
      <c r="J238" s="2" t="s">
        <v>116</v>
      </c>
      <c r="K238" s="2" t="s">
        <v>41</v>
      </c>
      <c r="L238" s="1" t="s">
        <v>6</v>
      </c>
      <c r="M238" s="1" t="s">
        <v>76</v>
      </c>
      <c r="N238" s="1">
        <v>276</v>
      </c>
    </row>
    <row r="239" spans="1:14" x14ac:dyDescent="0.25">
      <c r="A239" s="1"/>
      <c r="B239" s="2" t="s">
        <v>699</v>
      </c>
      <c r="C239" s="38">
        <v>42347</v>
      </c>
      <c r="D239" s="2" t="s">
        <v>79</v>
      </c>
      <c r="E239" s="2" t="s">
        <v>415</v>
      </c>
      <c r="F239" s="7" t="s">
        <v>2542</v>
      </c>
      <c r="G239" s="2" t="s">
        <v>213</v>
      </c>
      <c r="H239" s="7" t="s">
        <v>2543</v>
      </c>
      <c r="I239" s="38">
        <v>42348</v>
      </c>
      <c r="J239" s="2" t="s">
        <v>116</v>
      </c>
      <c r="K239" s="2" t="s">
        <v>41</v>
      </c>
      <c r="L239" s="1" t="s">
        <v>6</v>
      </c>
      <c r="M239" s="1" t="s">
        <v>76</v>
      </c>
      <c r="N239" s="1">
        <v>277</v>
      </c>
    </row>
    <row r="240" spans="1:14" ht="30" x14ac:dyDescent="0.25">
      <c r="A240" s="1"/>
      <c r="B240" s="2" t="s">
        <v>699</v>
      </c>
      <c r="C240" s="38">
        <v>42347</v>
      </c>
      <c r="D240" s="2" t="s">
        <v>79</v>
      </c>
      <c r="E240" s="2" t="s">
        <v>425</v>
      </c>
      <c r="F240" s="7" t="s">
        <v>2544</v>
      </c>
      <c r="G240" s="2" t="s">
        <v>213</v>
      </c>
      <c r="H240" s="7" t="s">
        <v>2545</v>
      </c>
      <c r="I240" s="38">
        <v>42348</v>
      </c>
      <c r="J240" s="2" t="s">
        <v>116</v>
      </c>
      <c r="K240" s="2" t="s">
        <v>41</v>
      </c>
      <c r="L240" s="1" t="s">
        <v>6</v>
      </c>
      <c r="M240" s="1" t="s">
        <v>76</v>
      </c>
      <c r="N240" s="1">
        <v>278</v>
      </c>
    </row>
    <row r="241" spans="1:14" x14ac:dyDescent="0.25">
      <c r="A241" s="1"/>
      <c r="B241" s="2" t="s">
        <v>699</v>
      </c>
      <c r="C241" s="38">
        <v>42347</v>
      </c>
      <c r="D241" s="2" t="s">
        <v>79</v>
      </c>
      <c r="E241" s="2" t="s">
        <v>887</v>
      </c>
      <c r="F241" s="7" t="s">
        <v>2546</v>
      </c>
      <c r="G241" s="2" t="s">
        <v>213</v>
      </c>
      <c r="H241" s="7" t="s">
        <v>2545</v>
      </c>
      <c r="I241" s="38">
        <v>42348</v>
      </c>
      <c r="J241" s="2" t="s">
        <v>116</v>
      </c>
      <c r="K241" s="2" t="s">
        <v>41</v>
      </c>
      <c r="L241" s="1" t="s">
        <v>6</v>
      </c>
      <c r="M241" s="1" t="s">
        <v>76</v>
      </c>
      <c r="N241" s="1">
        <v>279</v>
      </c>
    </row>
    <row r="242" spans="1:14" x14ac:dyDescent="0.25">
      <c r="A242" s="1"/>
      <c r="B242" s="2" t="s">
        <v>699</v>
      </c>
      <c r="C242" s="38">
        <v>42347</v>
      </c>
      <c r="D242" s="2" t="s">
        <v>256</v>
      </c>
      <c r="E242" s="2" t="s">
        <v>279</v>
      </c>
      <c r="F242" s="7" t="s">
        <v>2547</v>
      </c>
      <c r="G242" s="2" t="s">
        <v>213</v>
      </c>
      <c r="H242" s="7"/>
      <c r="I242" s="38">
        <v>42347</v>
      </c>
      <c r="J242" s="2" t="s">
        <v>116</v>
      </c>
      <c r="K242" s="2" t="s">
        <v>41</v>
      </c>
      <c r="L242" s="1" t="s">
        <v>6</v>
      </c>
      <c r="M242" s="1" t="s">
        <v>76</v>
      </c>
      <c r="N242" s="1">
        <v>280</v>
      </c>
    </row>
    <row r="243" spans="1:14" x14ac:dyDescent="0.25">
      <c r="A243" s="1"/>
      <c r="B243" s="2" t="s">
        <v>699</v>
      </c>
      <c r="C243" s="38">
        <v>42347</v>
      </c>
      <c r="D243" s="2" t="s">
        <v>75</v>
      </c>
      <c r="E243" s="2" t="s">
        <v>270</v>
      </c>
      <c r="F243" s="7" t="s">
        <v>2548</v>
      </c>
      <c r="G243" s="2" t="s">
        <v>213</v>
      </c>
      <c r="H243" s="7" t="s">
        <v>2549</v>
      </c>
      <c r="I243" s="38">
        <v>42348</v>
      </c>
      <c r="J243" s="2" t="s">
        <v>116</v>
      </c>
      <c r="K243" s="2" t="s">
        <v>41</v>
      </c>
      <c r="L243" s="1" t="s">
        <v>6</v>
      </c>
      <c r="M243" s="1" t="s">
        <v>76</v>
      </c>
      <c r="N243" s="1">
        <v>281</v>
      </c>
    </row>
    <row r="244" spans="1:14" ht="30" x14ac:dyDescent="0.25">
      <c r="A244" s="1"/>
      <c r="B244" s="2" t="s">
        <v>699</v>
      </c>
      <c r="C244" s="38">
        <v>42347</v>
      </c>
      <c r="D244" s="2" t="s">
        <v>79</v>
      </c>
      <c r="E244" s="2" t="s">
        <v>279</v>
      </c>
      <c r="F244" s="7" t="s">
        <v>2550</v>
      </c>
      <c r="G244" s="2" t="s">
        <v>213</v>
      </c>
      <c r="H244" s="7" t="s">
        <v>2551</v>
      </c>
      <c r="I244" s="38">
        <v>42347</v>
      </c>
      <c r="J244" s="2" t="s">
        <v>116</v>
      </c>
      <c r="K244" s="2" t="s">
        <v>41</v>
      </c>
      <c r="L244" s="1" t="s">
        <v>6</v>
      </c>
      <c r="M244" s="1" t="s">
        <v>76</v>
      </c>
      <c r="N244" s="1">
        <v>282</v>
      </c>
    </row>
    <row r="245" spans="1:14" x14ac:dyDescent="0.25">
      <c r="A245" s="1"/>
      <c r="B245" s="2" t="s">
        <v>699</v>
      </c>
      <c r="C245" s="38">
        <v>42348</v>
      </c>
      <c r="D245" s="2" t="s">
        <v>75</v>
      </c>
      <c r="E245" s="2" t="s">
        <v>270</v>
      </c>
      <c r="F245" s="7" t="s">
        <v>2552</v>
      </c>
      <c r="G245" s="2" t="s">
        <v>213</v>
      </c>
      <c r="H245" s="7" t="s">
        <v>2553</v>
      </c>
      <c r="I245" s="38">
        <v>42348</v>
      </c>
      <c r="J245" s="2" t="s">
        <v>116</v>
      </c>
      <c r="K245" s="2" t="s">
        <v>41</v>
      </c>
      <c r="L245" s="1" t="s">
        <v>6</v>
      </c>
      <c r="M245" s="1" t="s">
        <v>76</v>
      </c>
      <c r="N245" s="1">
        <v>283</v>
      </c>
    </row>
    <row r="246" spans="1:14" x14ac:dyDescent="0.25">
      <c r="A246" s="1"/>
      <c r="B246" s="2" t="s">
        <v>699</v>
      </c>
      <c r="C246" s="38">
        <v>42348</v>
      </c>
      <c r="D246" s="2" t="s">
        <v>75</v>
      </c>
      <c r="E246" s="2" t="s">
        <v>269</v>
      </c>
      <c r="F246" s="7" t="s">
        <v>2554</v>
      </c>
      <c r="G246" s="2" t="s">
        <v>213</v>
      </c>
      <c r="H246" s="7" t="s">
        <v>2555</v>
      </c>
      <c r="I246" s="38">
        <v>42348</v>
      </c>
      <c r="J246" s="2" t="s">
        <v>116</v>
      </c>
      <c r="K246" s="2" t="s">
        <v>41</v>
      </c>
      <c r="L246" s="1" t="s">
        <v>6</v>
      </c>
      <c r="M246" s="1" t="s">
        <v>76</v>
      </c>
      <c r="N246" s="1">
        <v>284</v>
      </c>
    </row>
    <row r="247" spans="1:14" ht="30" x14ac:dyDescent="0.25">
      <c r="A247" s="1"/>
      <c r="B247" s="2" t="s">
        <v>699</v>
      </c>
      <c r="C247" s="38">
        <v>42348</v>
      </c>
      <c r="D247" s="2" t="s">
        <v>256</v>
      </c>
      <c r="E247" s="2" t="s">
        <v>269</v>
      </c>
      <c r="F247" s="7" t="s">
        <v>2556</v>
      </c>
      <c r="G247" s="2" t="s">
        <v>213</v>
      </c>
      <c r="H247" s="7"/>
      <c r="I247" s="38">
        <v>42348</v>
      </c>
      <c r="J247" s="2" t="s">
        <v>116</v>
      </c>
      <c r="K247" s="2" t="s">
        <v>41</v>
      </c>
      <c r="L247" s="1" t="s">
        <v>6</v>
      </c>
      <c r="M247" s="1" t="s">
        <v>76</v>
      </c>
      <c r="N247" s="1">
        <v>285</v>
      </c>
    </row>
    <row r="248" spans="1:14" x14ac:dyDescent="0.25">
      <c r="A248" s="1"/>
      <c r="B248" s="2" t="s">
        <v>699</v>
      </c>
      <c r="C248" s="38">
        <v>42348</v>
      </c>
      <c r="D248" s="2" t="s">
        <v>256</v>
      </c>
      <c r="E248" s="2" t="s">
        <v>279</v>
      </c>
      <c r="F248" s="7" t="s">
        <v>2557</v>
      </c>
      <c r="G248" s="2" t="s">
        <v>213</v>
      </c>
      <c r="H248" s="7"/>
      <c r="I248" s="38">
        <v>42348</v>
      </c>
      <c r="J248" s="2" t="s">
        <v>116</v>
      </c>
      <c r="K248" s="2" t="s">
        <v>41</v>
      </c>
      <c r="L248" s="1" t="s">
        <v>6</v>
      </c>
      <c r="M248" s="1" t="s">
        <v>76</v>
      </c>
      <c r="N248" s="1">
        <v>286</v>
      </c>
    </row>
    <row r="249" spans="1:14" x14ac:dyDescent="0.25">
      <c r="A249" s="1"/>
      <c r="B249" s="2" t="s">
        <v>699</v>
      </c>
      <c r="C249" s="38">
        <v>42348</v>
      </c>
      <c r="D249" s="2" t="s">
        <v>256</v>
      </c>
      <c r="E249" s="2" t="s">
        <v>279</v>
      </c>
      <c r="F249" s="7" t="s">
        <v>2695</v>
      </c>
      <c r="G249" s="2" t="s">
        <v>213</v>
      </c>
      <c r="H249" s="7"/>
      <c r="I249" s="38">
        <v>42348</v>
      </c>
      <c r="J249" s="2" t="s">
        <v>116</v>
      </c>
      <c r="K249" s="2" t="s">
        <v>41</v>
      </c>
      <c r="L249" s="1" t="s">
        <v>6</v>
      </c>
      <c r="M249" s="1" t="s">
        <v>76</v>
      </c>
      <c r="N249" s="1">
        <v>287</v>
      </c>
    </row>
    <row r="250" spans="1:14" x14ac:dyDescent="0.25">
      <c r="A250" s="1"/>
      <c r="B250" s="2" t="s">
        <v>699</v>
      </c>
      <c r="C250" s="38">
        <v>42348</v>
      </c>
      <c r="D250" s="2" t="s">
        <v>256</v>
      </c>
      <c r="E250" s="2" t="s">
        <v>267</v>
      </c>
      <c r="F250" s="7" t="s">
        <v>2558</v>
      </c>
      <c r="G250" s="2" t="s">
        <v>213</v>
      </c>
      <c r="H250" s="7"/>
      <c r="I250" s="38">
        <v>42348</v>
      </c>
      <c r="J250" s="2" t="s">
        <v>116</v>
      </c>
      <c r="K250" s="2" t="s">
        <v>41</v>
      </c>
      <c r="L250" s="1" t="s">
        <v>6</v>
      </c>
      <c r="M250" s="1" t="s">
        <v>76</v>
      </c>
      <c r="N250" s="1">
        <v>288</v>
      </c>
    </row>
    <row r="251" spans="1:14" x14ac:dyDescent="0.25">
      <c r="A251" s="1"/>
      <c r="B251" s="2" t="s">
        <v>699</v>
      </c>
      <c r="C251" s="38">
        <v>42352</v>
      </c>
      <c r="D251" s="2" t="s">
        <v>79</v>
      </c>
      <c r="E251" s="2" t="s">
        <v>279</v>
      </c>
      <c r="F251" s="7" t="s">
        <v>2559</v>
      </c>
      <c r="G251" s="2" t="s">
        <v>213</v>
      </c>
      <c r="H251" s="7" t="s">
        <v>2560</v>
      </c>
      <c r="I251" s="38">
        <v>42352</v>
      </c>
      <c r="J251" s="2" t="s">
        <v>116</v>
      </c>
      <c r="K251" s="2" t="s">
        <v>41</v>
      </c>
      <c r="L251" s="1" t="s">
        <v>6</v>
      </c>
      <c r="M251" s="1" t="s">
        <v>76</v>
      </c>
      <c r="N251" s="1">
        <v>290</v>
      </c>
    </row>
    <row r="252" spans="1:14" x14ac:dyDescent="0.25">
      <c r="A252" s="1"/>
      <c r="B252" s="2" t="s">
        <v>699</v>
      </c>
      <c r="C252" s="38">
        <v>42352</v>
      </c>
      <c r="D252" s="2" t="s">
        <v>75</v>
      </c>
      <c r="E252" s="2" t="s">
        <v>267</v>
      </c>
      <c r="F252" s="7" t="s">
        <v>2561</v>
      </c>
      <c r="G252" s="2" t="s">
        <v>213</v>
      </c>
      <c r="H252" s="7" t="s">
        <v>2562</v>
      </c>
      <c r="I252" s="38">
        <v>42352</v>
      </c>
      <c r="J252" s="2" t="s">
        <v>116</v>
      </c>
      <c r="K252" s="2" t="s">
        <v>41</v>
      </c>
      <c r="L252" s="1" t="s">
        <v>6</v>
      </c>
      <c r="M252" s="1" t="s">
        <v>76</v>
      </c>
      <c r="N252" s="1">
        <v>291</v>
      </c>
    </row>
    <row r="253" spans="1:14" ht="30" x14ac:dyDescent="0.25">
      <c r="A253" s="1"/>
      <c r="B253" s="2" t="s">
        <v>699</v>
      </c>
      <c r="C253" s="38">
        <v>42352</v>
      </c>
      <c r="D253" s="2" t="s">
        <v>79</v>
      </c>
      <c r="E253" s="2" t="s">
        <v>270</v>
      </c>
      <c r="F253" s="7" t="s">
        <v>2696</v>
      </c>
      <c r="G253" s="2" t="s">
        <v>213</v>
      </c>
      <c r="H253" s="7" t="s">
        <v>2563</v>
      </c>
      <c r="I253" s="38">
        <v>42352</v>
      </c>
      <c r="J253" s="2" t="s">
        <v>116</v>
      </c>
      <c r="K253" s="2" t="s">
        <v>41</v>
      </c>
      <c r="L253" s="1" t="s">
        <v>6</v>
      </c>
      <c r="M253" s="1" t="s">
        <v>76</v>
      </c>
      <c r="N253" s="1">
        <v>292</v>
      </c>
    </row>
    <row r="254" spans="1:14" x14ac:dyDescent="0.25">
      <c r="A254" s="1"/>
      <c r="B254" s="2" t="s">
        <v>699</v>
      </c>
      <c r="C254" s="38">
        <v>42352</v>
      </c>
      <c r="D254" s="2" t="s">
        <v>79</v>
      </c>
      <c r="E254" s="2" t="s">
        <v>270</v>
      </c>
      <c r="F254" s="7" t="s">
        <v>2564</v>
      </c>
      <c r="G254" s="2" t="s">
        <v>213</v>
      </c>
      <c r="H254" s="7" t="s">
        <v>2565</v>
      </c>
      <c r="I254" s="38">
        <v>42352</v>
      </c>
      <c r="J254" s="2" t="s">
        <v>116</v>
      </c>
      <c r="K254" s="2" t="s">
        <v>41</v>
      </c>
      <c r="L254" s="1" t="s">
        <v>6</v>
      </c>
      <c r="M254" s="1" t="s">
        <v>76</v>
      </c>
      <c r="N254" s="1">
        <v>293</v>
      </c>
    </row>
    <row r="255" spans="1:14" ht="30" x14ac:dyDescent="0.25">
      <c r="A255" s="1"/>
      <c r="B255" s="2" t="s">
        <v>699</v>
      </c>
      <c r="C255" s="38">
        <v>42352</v>
      </c>
      <c r="D255" s="2" t="s">
        <v>79</v>
      </c>
      <c r="E255" s="2" t="s">
        <v>270</v>
      </c>
      <c r="F255" s="7" t="s">
        <v>2566</v>
      </c>
      <c r="G255" s="2" t="s">
        <v>213</v>
      </c>
      <c r="H255" s="7" t="s">
        <v>2567</v>
      </c>
      <c r="I255" s="38">
        <v>42352</v>
      </c>
      <c r="J255" s="2" t="s">
        <v>116</v>
      </c>
      <c r="K255" s="2" t="s">
        <v>41</v>
      </c>
      <c r="L255" s="1" t="s">
        <v>6</v>
      </c>
      <c r="M255" s="1" t="s">
        <v>76</v>
      </c>
      <c r="N255" s="1">
        <v>294</v>
      </c>
    </row>
    <row r="256" spans="1:14" ht="30" x14ac:dyDescent="0.25">
      <c r="A256" s="1"/>
      <c r="B256" s="2" t="s">
        <v>699</v>
      </c>
      <c r="C256" s="38">
        <v>42353</v>
      </c>
      <c r="D256" s="2" t="s">
        <v>75</v>
      </c>
      <c r="E256" s="2" t="s">
        <v>279</v>
      </c>
      <c r="F256" s="7" t="s">
        <v>2568</v>
      </c>
      <c r="G256" s="2" t="s">
        <v>213</v>
      </c>
      <c r="H256" s="7" t="s">
        <v>2697</v>
      </c>
      <c r="I256" s="38">
        <v>42353</v>
      </c>
      <c r="J256" s="2" t="s">
        <v>116</v>
      </c>
      <c r="K256" s="2" t="s">
        <v>41</v>
      </c>
      <c r="L256" s="1" t="s">
        <v>6</v>
      </c>
      <c r="M256" s="1" t="s">
        <v>76</v>
      </c>
      <c r="N256" s="1">
        <v>295</v>
      </c>
    </row>
    <row r="257" spans="1:14" ht="30" x14ac:dyDescent="0.25">
      <c r="A257" s="1"/>
      <c r="B257" s="2" t="s">
        <v>699</v>
      </c>
      <c r="C257" s="38">
        <v>42353</v>
      </c>
      <c r="D257" s="2" t="s">
        <v>256</v>
      </c>
      <c r="E257" s="2" t="s">
        <v>257</v>
      </c>
      <c r="F257" s="7" t="s">
        <v>2569</v>
      </c>
      <c r="G257" s="2" t="s">
        <v>213</v>
      </c>
      <c r="H257" s="7"/>
      <c r="I257" s="38">
        <v>42353</v>
      </c>
      <c r="J257" s="2" t="s">
        <v>116</v>
      </c>
      <c r="K257" s="2" t="s">
        <v>41</v>
      </c>
      <c r="L257" s="1" t="s">
        <v>6</v>
      </c>
      <c r="M257" s="1" t="s">
        <v>76</v>
      </c>
      <c r="N257" s="1">
        <v>296</v>
      </c>
    </row>
    <row r="258" spans="1:14" x14ac:dyDescent="0.25">
      <c r="A258" s="1"/>
      <c r="B258" s="2" t="s">
        <v>699</v>
      </c>
      <c r="C258" s="38">
        <v>42353</v>
      </c>
      <c r="D258" s="2" t="s">
        <v>75</v>
      </c>
      <c r="E258" s="2" t="s">
        <v>257</v>
      </c>
      <c r="F258" s="7" t="s">
        <v>2570</v>
      </c>
      <c r="G258" s="2" t="s">
        <v>213</v>
      </c>
      <c r="H258" s="7" t="s">
        <v>2571</v>
      </c>
      <c r="I258" s="38">
        <v>42353</v>
      </c>
      <c r="J258" s="2" t="s">
        <v>116</v>
      </c>
      <c r="K258" s="2" t="s">
        <v>41</v>
      </c>
      <c r="L258" s="1" t="s">
        <v>6</v>
      </c>
      <c r="M258" s="1" t="s">
        <v>76</v>
      </c>
      <c r="N258" s="1">
        <v>297</v>
      </c>
    </row>
    <row r="259" spans="1:14" x14ac:dyDescent="0.25">
      <c r="A259" s="1"/>
      <c r="B259" s="2" t="s">
        <v>699</v>
      </c>
      <c r="C259" s="38">
        <v>42353</v>
      </c>
      <c r="D259" s="2" t="s">
        <v>79</v>
      </c>
      <c r="E259" s="2" t="s">
        <v>257</v>
      </c>
      <c r="F259" s="7" t="s">
        <v>2572</v>
      </c>
      <c r="G259" s="2" t="s">
        <v>213</v>
      </c>
      <c r="H259" s="7" t="s">
        <v>2573</v>
      </c>
      <c r="I259" s="38">
        <v>42353</v>
      </c>
      <c r="J259" s="2" t="s">
        <v>116</v>
      </c>
      <c r="K259" s="2" t="s">
        <v>41</v>
      </c>
      <c r="L259" s="1" t="s">
        <v>6</v>
      </c>
      <c r="M259" s="1" t="s">
        <v>76</v>
      </c>
      <c r="N259" s="1">
        <v>298</v>
      </c>
    </row>
    <row r="260" spans="1:14" x14ac:dyDescent="0.25">
      <c r="A260" s="1"/>
      <c r="B260" s="2" t="s">
        <v>699</v>
      </c>
      <c r="C260" s="38">
        <v>42353</v>
      </c>
      <c r="D260" s="2" t="s">
        <v>256</v>
      </c>
      <c r="E260" s="2" t="s">
        <v>257</v>
      </c>
      <c r="F260" s="7" t="s">
        <v>2574</v>
      </c>
      <c r="G260" s="2" t="s">
        <v>213</v>
      </c>
      <c r="H260" s="7"/>
      <c r="I260" s="38">
        <v>42353</v>
      </c>
      <c r="J260" s="2" t="s">
        <v>116</v>
      </c>
      <c r="K260" s="2" t="s">
        <v>41</v>
      </c>
      <c r="L260" s="1" t="s">
        <v>6</v>
      </c>
      <c r="M260" s="1" t="s">
        <v>76</v>
      </c>
      <c r="N260" s="1">
        <v>299</v>
      </c>
    </row>
    <row r="261" spans="1:14" x14ac:dyDescent="0.25">
      <c r="A261" s="1"/>
      <c r="B261" s="2" t="s">
        <v>699</v>
      </c>
      <c r="C261" s="38">
        <v>42353</v>
      </c>
      <c r="D261" s="2" t="s">
        <v>79</v>
      </c>
      <c r="E261" s="2" t="s">
        <v>257</v>
      </c>
      <c r="F261" s="7" t="s">
        <v>2575</v>
      </c>
      <c r="G261" s="2" t="s">
        <v>213</v>
      </c>
      <c r="H261" s="7" t="s">
        <v>2576</v>
      </c>
      <c r="I261" s="38">
        <v>42353</v>
      </c>
      <c r="J261" s="2" t="s">
        <v>116</v>
      </c>
      <c r="K261" s="2" t="s">
        <v>41</v>
      </c>
      <c r="L261" s="1" t="s">
        <v>6</v>
      </c>
      <c r="M261" s="1" t="s">
        <v>76</v>
      </c>
      <c r="N261" s="1">
        <v>300</v>
      </c>
    </row>
    <row r="262" spans="1:14" x14ac:dyDescent="0.25">
      <c r="A262" s="1"/>
      <c r="B262" s="2" t="s">
        <v>699</v>
      </c>
      <c r="C262" s="38">
        <v>42353</v>
      </c>
      <c r="D262" s="2" t="s">
        <v>75</v>
      </c>
      <c r="E262" s="2" t="s">
        <v>275</v>
      </c>
      <c r="F262" s="7" t="s">
        <v>2577</v>
      </c>
      <c r="G262" s="2" t="s">
        <v>213</v>
      </c>
      <c r="H262" s="7" t="s">
        <v>2578</v>
      </c>
      <c r="I262" s="38">
        <v>42353</v>
      </c>
      <c r="J262" s="2" t="s">
        <v>116</v>
      </c>
      <c r="K262" s="2" t="s">
        <v>41</v>
      </c>
      <c r="L262" s="1" t="s">
        <v>6</v>
      </c>
      <c r="M262" s="1" t="s">
        <v>76</v>
      </c>
      <c r="N262" s="1">
        <v>301</v>
      </c>
    </row>
    <row r="263" spans="1:14" x14ac:dyDescent="0.25">
      <c r="A263" s="1"/>
      <c r="B263" s="2" t="s">
        <v>699</v>
      </c>
      <c r="C263" s="38">
        <v>42353</v>
      </c>
      <c r="D263" s="2" t="s">
        <v>75</v>
      </c>
      <c r="E263" s="2" t="s">
        <v>257</v>
      </c>
      <c r="F263" s="7" t="s">
        <v>2579</v>
      </c>
      <c r="G263" s="2" t="s">
        <v>213</v>
      </c>
      <c r="H263" s="7" t="s">
        <v>2580</v>
      </c>
      <c r="I263" s="38">
        <v>42353</v>
      </c>
      <c r="J263" s="2" t="s">
        <v>116</v>
      </c>
      <c r="K263" s="2" t="s">
        <v>41</v>
      </c>
      <c r="L263" s="1" t="s">
        <v>6</v>
      </c>
      <c r="M263" s="1" t="s">
        <v>76</v>
      </c>
      <c r="N263" s="1">
        <v>303</v>
      </c>
    </row>
    <row r="264" spans="1:14" x14ac:dyDescent="0.25">
      <c r="A264" s="1"/>
      <c r="B264" s="2" t="s">
        <v>699</v>
      </c>
      <c r="C264" s="38">
        <v>42353</v>
      </c>
      <c r="D264" s="2" t="s">
        <v>79</v>
      </c>
      <c r="E264" s="2" t="s">
        <v>270</v>
      </c>
      <c r="F264" s="7" t="s">
        <v>2698</v>
      </c>
      <c r="G264" s="2" t="s">
        <v>213</v>
      </c>
      <c r="H264" s="7" t="s">
        <v>2581</v>
      </c>
      <c r="I264" s="38">
        <v>42353</v>
      </c>
      <c r="J264" s="2" t="s">
        <v>116</v>
      </c>
      <c r="K264" s="2" t="s">
        <v>41</v>
      </c>
      <c r="L264" s="1" t="s">
        <v>6</v>
      </c>
      <c r="M264" s="1" t="s">
        <v>76</v>
      </c>
      <c r="N264" s="1">
        <v>304</v>
      </c>
    </row>
    <row r="265" spans="1:14" x14ac:dyDescent="0.25">
      <c r="A265" s="1"/>
      <c r="B265" s="2" t="s">
        <v>699</v>
      </c>
      <c r="C265" s="38">
        <v>42359</v>
      </c>
      <c r="D265" s="2" t="s">
        <v>79</v>
      </c>
      <c r="E265" s="2" t="s">
        <v>267</v>
      </c>
      <c r="F265" s="7" t="s">
        <v>2699</v>
      </c>
      <c r="G265" s="2" t="s">
        <v>213</v>
      </c>
      <c r="H265" s="7" t="s">
        <v>2582</v>
      </c>
      <c r="I265" s="38">
        <v>42359</v>
      </c>
      <c r="J265" s="2" t="s">
        <v>116</v>
      </c>
      <c r="K265" s="2" t="s">
        <v>41</v>
      </c>
      <c r="L265" s="1" t="s">
        <v>6</v>
      </c>
      <c r="M265" s="1" t="s">
        <v>76</v>
      </c>
      <c r="N265" s="1">
        <v>306</v>
      </c>
    </row>
    <row r="266" spans="1:14" ht="30" x14ac:dyDescent="0.25">
      <c r="A266" s="1"/>
      <c r="B266" s="2" t="s">
        <v>699</v>
      </c>
      <c r="C266" s="38">
        <v>42359</v>
      </c>
      <c r="D266" s="2" t="s">
        <v>79</v>
      </c>
      <c r="E266" s="2" t="s">
        <v>275</v>
      </c>
      <c r="F266" s="7" t="s">
        <v>2583</v>
      </c>
      <c r="G266" s="2" t="s">
        <v>213</v>
      </c>
      <c r="H266" s="7" t="s">
        <v>2584</v>
      </c>
      <c r="I266" s="38">
        <v>42359</v>
      </c>
      <c r="J266" s="2" t="s">
        <v>116</v>
      </c>
      <c r="K266" s="2" t="s">
        <v>41</v>
      </c>
      <c r="L266" s="1" t="s">
        <v>6</v>
      </c>
      <c r="M266" s="1" t="s">
        <v>76</v>
      </c>
      <c r="N266" s="1">
        <v>307</v>
      </c>
    </row>
    <row r="267" spans="1:14" x14ac:dyDescent="0.25">
      <c r="A267" s="1"/>
      <c r="B267" s="2" t="s">
        <v>699</v>
      </c>
      <c r="C267" s="38">
        <v>42359</v>
      </c>
      <c r="D267" s="2" t="s">
        <v>75</v>
      </c>
      <c r="E267" s="2" t="s">
        <v>77</v>
      </c>
      <c r="F267" s="7" t="s">
        <v>2585</v>
      </c>
      <c r="G267" s="2" t="s">
        <v>213</v>
      </c>
      <c r="H267" s="7" t="s">
        <v>2580</v>
      </c>
      <c r="I267" s="38">
        <v>42359</v>
      </c>
      <c r="J267" s="2" t="s">
        <v>116</v>
      </c>
      <c r="K267" s="2" t="s">
        <v>41</v>
      </c>
      <c r="L267" s="1" t="s">
        <v>6</v>
      </c>
      <c r="M267" s="1" t="s">
        <v>76</v>
      </c>
      <c r="N267" s="1">
        <v>309</v>
      </c>
    </row>
    <row r="268" spans="1:14" x14ac:dyDescent="0.25">
      <c r="A268" s="1"/>
      <c r="B268" s="2" t="s">
        <v>699</v>
      </c>
      <c r="C268" s="38">
        <v>42359</v>
      </c>
      <c r="D268" s="2" t="s">
        <v>75</v>
      </c>
      <c r="E268" s="2" t="s">
        <v>2586</v>
      </c>
      <c r="F268" s="7" t="s">
        <v>2587</v>
      </c>
      <c r="G268" s="2" t="s">
        <v>213</v>
      </c>
      <c r="H268" s="7" t="s">
        <v>2588</v>
      </c>
      <c r="I268" s="38">
        <v>42359</v>
      </c>
      <c r="J268" s="2" t="s">
        <v>116</v>
      </c>
      <c r="K268" s="2" t="s">
        <v>41</v>
      </c>
      <c r="L268" s="1" t="s">
        <v>6</v>
      </c>
      <c r="M268" s="1" t="s">
        <v>76</v>
      </c>
      <c r="N268" s="1">
        <v>310</v>
      </c>
    </row>
    <row r="269" spans="1:14" ht="75" x14ac:dyDescent="0.25">
      <c r="A269" s="1"/>
      <c r="B269" s="2" t="s">
        <v>105</v>
      </c>
      <c r="C269" s="38">
        <v>42371</v>
      </c>
      <c r="D269" s="2" t="s">
        <v>75</v>
      </c>
      <c r="E269" s="2" t="s">
        <v>2589</v>
      </c>
      <c r="F269" s="7" t="s">
        <v>2590</v>
      </c>
      <c r="G269" s="2" t="s">
        <v>213</v>
      </c>
      <c r="H269" s="7" t="s">
        <v>2700</v>
      </c>
      <c r="I269" s="38">
        <v>42390</v>
      </c>
      <c r="J269" s="2" t="s">
        <v>1105</v>
      </c>
      <c r="K269" s="2" t="s">
        <v>36</v>
      </c>
      <c r="L269" s="1" t="s">
        <v>6</v>
      </c>
      <c r="M269" s="1" t="s">
        <v>76</v>
      </c>
      <c r="N269" s="1">
        <v>311</v>
      </c>
    </row>
    <row r="270" spans="1:14" ht="45" x14ac:dyDescent="0.25">
      <c r="A270" s="1"/>
      <c r="B270" s="2" t="s">
        <v>909</v>
      </c>
      <c r="C270" s="38">
        <v>42376</v>
      </c>
      <c r="D270" s="2" t="s">
        <v>75</v>
      </c>
      <c r="E270" s="2" t="s">
        <v>269</v>
      </c>
      <c r="F270" s="7" t="s">
        <v>2701</v>
      </c>
      <c r="G270" s="2" t="s">
        <v>213</v>
      </c>
      <c r="H270" s="7" t="s">
        <v>2702</v>
      </c>
      <c r="I270" s="38">
        <v>42376</v>
      </c>
      <c r="J270" s="2" t="s">
        <v>1105</v>
      </c>
      <c r="K270" s="2" t="s">
        <v>41</v>
      </c>
      <c r="L270" s="1" t="s">
        <v>6</v>
      </c>
      <c r="M270" s="1" t="s">
        <v>76</v>
      </c>
      <c r="N270" s="1">
        <v>312</v>
      </c>
    </row>
    <row r="271" spans="1:14" x14ac:dyDescent="0.25">
      <c r="A271" s="1"/>
      <c r="B271" s="2" t="s">
        <v>909</v>
      </c>
      <c r="C271" s="38">
        <v>42376</v>
      </c>
      <c r="D271" s="2" t="s">
        <v>79</v>
      </c>
      <c r="E271" s="2" t="s">
        <v>77</v>
      </c>
      <c r="F271" s="7" t="s">
        <v>2591</v>
      </c>
      <c r="G271" s="2" t="s">
        <v>213</v>
      </c>
      <c r="H271" s="7" t="s">
        <v>2592</v>
      </c>
      <c r="I271" s="38">
        <v>42376</v>
      </c>
      <c r="J271" s="2" t="s">
        <v>1105</v>
      </c>
      <c r="K271" s="2" t="s">
        <v>41</v>
      </c>
      <c r="L271" s="1" t="s">
        <v>6</v>
      </c>
      <c r="M271" s="1" t="s">
        <v>76</v>
      </c>
      <c r="N271" s="1">
        <v>313</v>
      </c>
    </row>
    <row r="272" spans="1:14" ht="60" x14ac:dyDescent="0.25">
      <c r="A272" s="1"/>
      <c r="B272" s="2" t="s">
        <v>909</v>
      </c>
      <c r="C272" s="38">
        <v>42376</v>
      </c>
      <c r="D272" s="2" t="s">
        <v>256</v>
      </c>
      <c r="E272" s="2" t="s">
        <v>257</v>
      </c>
      <c r="F272" s="7" t="s">
        <v>2703</v>
      </c>
      <c r="G272" s="2" t="s">
        <v>213</v>
      </c>
      <c r="H272" s="7"/>
      <c r="I272" s="38">
        <v>42376</v>
      </c>
      <c r="J272" s="2" t="s">
        <v>1105</v>
      </c>
      <c r="K272" s="2" t="s">
        <v>41</v>
      </c>
      <c r="L272" s="1" t="s">
        <v>6</v>
      </c>
      <c r="M272" s="1" t="s">
        <v>76</v>
      </c>
      <c r="N272" s="1">
        <v>316</v>
      </c>
    </row>
    <row r="273" spans="1:14" ht="30" x14ac:dyDescent="0.25">
      <c r="A273" s="1"/>
      <c r="B273" s="2" t="s">
        <v>909</v>
      </c>
      <c r="C273" s="38">
        <v>42376</v>
      </c>
      <c r="D273" s="2" t="s">
        <v>79</v>
      </c>
      <c r="E273" s="2" t="s">
        <v>267</v>
      </c>
      <c r="F273" s="7" t="s">
        <v>2593</v>
      </c>
      <c r="G273" s="2" t="s">
        <v>213</v>
      </c>
      <c r="H273" s="7" t="s">
        <v>2594</v>
      </c>
      <c r="I273" s="38">
        <v>42376</v>
      </c>
      <c r="J273" s="2" t="s">
        <v>1105</v>
      </c>
      <c r="K273" s="2" t="s">
        <v>41</v>
      </c>
      <c r="L273" s="1" t="s">
        <v>6</v>
      </c>
      <c r="M273" s="1" t="s">
        <v>76</v>
      </c>
      <c r="N273" s="1">
        <v>317</v>
      </c>
    </row>
    <row r="274" spans="1:14" x14ac:dyDescent="0.25">
      <c r="A274" s="1"/>
      <c r="B274" s="2" t="s">
        <v>909</v>
      </c>
      <c r="C274" s="38">
        <v>42376</v>
      </c>
      <c r="D274" s="2" t="s">
        <v>79</v>
      </c>
      <c r="E274" s="2" t="s">
        <v>269</v>
      </c>
      <c r="F274" s="7" t="s">
        <v>2595</v>
      </c>
      <c r="G274" s="2" t="s">
        <v>213</v>
      </c>
      <c r="H274" s="7" t="s">
        <v>2596</v>
      </c>
      <c r="I274" s="38">
        <v>42376</v>
      </c>
      <c r="J274" s="2" t="s">
        <v>1105</v>
      </c>
      <c r="K274" s="2" t="s">
        <v>41</v>
      </c>
      <c r="L274" s="1" t="s">
        <v>6</v>
      </c>
      <c r="M274" s="1" t="s">
        <v>76</v>
      </c>
      <c r="N274" s="1">
        <v>319</v>
      </c>
    </row>
    <row r="275" spans="1:14" x14ac:dyDescent="0.25">
      <c r="A275" s="1"/>
      <c r="B275" s="2" t="s">
        <v>909</v>
      </c>
      <c r="C275" s="38">
        <v>42376</v>
      </c>
      <c r="D275" s="2" t="s">
        <v>256</v>
      </c>
      <c r="E275" s="2" t="s">
        <v>267</v>
      </c>
      <c r="F275" s="7" t="s">
        <v>2597</v>
      </c>
      <c r="G275" s="2" t="s">
        <v>213</v>
      </c>
      <c r="H275" s="7"/>
      <c r="I275" s="38">
        <v>42376</v>
      </c>
      <c r="J275" s="2" t="s">
        <v>1105</v>
      </c>
      <c r="K275" s="2" t="s">
        <v>41</v>
      </c>
      <c r="L275" s="1" t="s">
        <v>6</v>
      </c>
      <c r="M275" s="1" t="s">
        <v>76</v>
      </c>
      <c r="N275" s="1">
        <v>320</v>
      </c>
    </row>
    <row r="276" spans="1:14" x14ac:dyDescent="0.25">
      <c r="A276" s="1"/>
      <c r="B276" s="2" t="s">
        <v>110</v>
      </c>
      <c r="C276" s="38">
        <v>42377</v>
      </c>
      <c r="D276" s="2" t="s">
        <v>256</v>
      </c>
      <c r="E276" s="2" t="s">
        <v>279</v>
      </c>
      <c r="F276" s="7" t="s">
        <v>2598</v>
      </c>
      <c r="G276" s="2" t="s">
        <v>213</v>
      </c>
      <c r="H276" s="7"/>
      <c r="I276" s="38">
        <v>42377</v>
      </c>
      <c r="J276" s="2" t="s">
        <v>1105</v>
      </c>
      <c r="K276" s="2" t="s">
        <v>41</v>
      </c>
      <c r="L276" s="1" t="s">
        <v>6</v>
      </c>
      <c r="M276" s="1" t="s">
        <v>76</v>
      </c>
      <c r="N276" s="1">
        <v>321</v>
      </c>
    </row>
    <row r="277" spans="1:14" x14ac:dyDescent="0.25">
      <c r="A277" s="1"/>
      <c r="B277" s="2" t="s">
        <v>114</v>
      </c>
      <c r="C277" s="38">
        <v>42378</v>
      </c>
      <c r="D277" s="2" t="s">
        <v>75</v>
      </c>
      <c r="E277" s="2" t="s">
        <v>267</v>
      </c>
      <c r="F277" s="7" t="s">
        <v>2599</v>
      </c>
      <c r="G277" s="2" t="s">
        <v>213</v>
      </c>
      <c r="H277" s="7" t="s">
        <v>2600</v>
      </c>
      <c r="I277" s="38"/>
      <c r="J277" s="2" t="s">
        <v>1105</v>
      </c>
      <c r="K277" s="2" t="s">
        <v>116</v>
      </c>
      <c r="L277" s="1" t="s">
        <v>6</v>
      </c>
      <c r="M277" s="1" t="s">
        <v>76</v>
      </c>
      <c r="N277" s="1">
        <v>322</v>
      </c>
    </row>
    <row r="278" spans="1:14" x14ac:dyDescent="0.25">
      <c r="A278" s="1"/>
      <c r="B278" s="2" t="s">
        <v>108</v>
      </c>
      <c r="C278" s="38">
        <v>42378</v>
      </c>
      <c r="D278" s="2" t="s">
        <v>75</v>
      </c>
      <c r="E278" s="2" t="s">
        <v>267</v>
      </c>
      <c r="F278" s="7" t="s">
        <v>2599</v>
      </c>
      <c r="G278" s="2" t="s">
        <v>213</v>
      </c>
      <c r="H278" s="7" t="s">
        <v>2601</v>
      </c>
      <c r="I278" s="38"/>
      <c r="J278" s="2" t="s">
        <v>1105</v>
      </c>
      <c r="K278" s="2" t="s">
        <v>116</v>
      </c>
      <c r="L278" s="1" t="s">
        <v>6</v>
      </c>
      <c r="M278" s="1" t="s">
        <v>76</v>
      </c>
      <c r="N278" s="1">
        <v>323</v>
      </c>
    </row>
    <row r="279" spans="1:14" x14ac:dyDescent="0.25">
      <c r="A279" s="1"/>
      <c r="B279" s="2" t="s">
        <v>107</v>
      </c>
      <c r="C279" s="38">
        <v>42388</v>
      </c>
      <c r="D279" s="2" t="s">
        <v>79</v>
      </c>
      <c r="E279" s="2" t="s">
        <v>107</v>
      </c>
      <c r="F279" s="7" t="s">
        <v>2602</v>
      </c>
      <c r="G279" s="2" t="s">
        <v>213</v>
      </c>
      <c r="H279" s="7" t="s">
        <v>2704</v>
      </c>
      <c r="I279" s="38">
        <v>42448</v>
      </c>
      <c r="J279" s="2" t="s">
        <v>116</v>
      </c>
      <c r="K279" s="2" t="s">
        <v>116</v>
      </c>
      <c r="L279" s="1" t="s">
        <v>6</v>
      </c>
      <c r="M279" s="1" t="s">
        <v>76</v>
      </c>
      <c r="N279" s="1">
        <v>324</v>
      </c>
    </row>
    <row r="280" spans="1:14" ht="60" x14ac:dyDescent="0.25">
      <c r="A280" s="1"/>
      <c r="B280" s="2" t="s">
        <v>581</v>
      </c>
      <c r="C280" s="38">
        <v>42388</v>
      </c>
      <c r="D280" s="2" t="s">
        <v>79</v>
      </c>
      <c r="E280" s="2" t="s">
        <v>279</v>
      </c>
      <c r="F280" s="7" t="s">
        <v>2603</v>
      </c>
      <c r="G280" s="2" t="s">
        <v>213</v>
      </c>
      <c r="H280" s="7" t="s">
        <v>2705</v>
      </c>
      <c r="I280" s="38">
        <v>42394</v>
      </c>
      <c r="J280" s="2" t="s">
        <v>557</v>
      </c>
      <c r="K280" s="2" t="s">
        <v>116</v>
      </c>
      <c r="L280" s="1" t="s">
        <v>6</v>
      </c>
      <c r="M280" s="1" t="s">
        <v>76</v>
      </c>
      <c r="N280" s="1">
        <v>325</v>
      </c>
    </row>
    <row r="281" spans="1:14" ht="60" x14ac:dyDescent="0.25">
      <c r="A281" s="1"/>
      <c r="B281" s="2" t="s">
        <v>581</v>
      </c>
      <c r="C281" s="38">
        <v>42388</v>
      </c>
      <c r="D281" s="2" t="s">
        <v>256</v>
      </c>
      <c r="E281" s="2" t="s">
        <v>270</v>
      </c>
      <c r="F281" s="7" t="s">
        <v>2706</v>
      </c>
      <c r="G281" s="2" t="s">
        <v>213</v>
      </c>
      <c r="H281" s="7"/>
      <c r="I281" s="38">
        <v>42388</v>
      </c>
      <c r="J281" s="2" t="s">
        <v>557</v>
      </c>
      <c r="K281" s="2" t="s">
        <v>116</v>
      </c>
      <c r="L281" s="1" t="s">
        <v>6</v>
      </c>
      <c r="M281" s="1" t="s">
        <v>76</v>
      </c>
      <c r="N281" s="1">
        <v>326</v>
      </c>
    </row>
    <row r="282" spans="1:14" ht="60" x14ac:dyDescent="0.25">
      <c r="A282" s="1"/>
      <c r="B282" s="2" t="s">
        <v>581</v>
      </c>
      <c r="C282" s="38">
        <v>42388</v>
      </c>
      <c r="D282" s="2" t="s">
        <v>256</v>
      </c>
      <c r="E282" s="2" t="s">
        <v>270</v>
      </c>
      <c r="F282" s="7" t="s">
        <v>2707</v>
      </c>
      <c r="G282" s="2" t="s">
        <v>213</v>
      </c>
      <c r="H282" s="7"/>
      <c r="I282" s="38">
        <v>42388</v>
      </c>
      <c r="J282" s="2" t="s">
        <v>557</v>
      </c>
      <c r="K282" s="2" t="s">
        <v>116</v>
      </c>
      <c r="L282" s="1" t="s">
        <v>6</v>
      </c>
      <c r="M282" s="1" t="s">
        <v>76</v>
      </c>
      <c r="N282" s="1">
        <v>327</v>
      </c>
    </row>
    <row r="283" spans="1:14" x14ac:dyDescent="0.25">
      <c r="A283" s="1"/>
      <c r="B283" s="2" t="s">
        <v>909</v>
      </c>
      <c r="C283" s="38">
        <v>42406</v>
      </c>
      <c r="D283" s="2" t="s">
        <v>79</v>
      </c>
      <c r="E283" s="2" t="s">
        <v>270</v>
      </c>
      <c r="F283" s="7" t="s">
        <v>2708</v>
      </c>
      <c r="G283" s="2" t="s">
        <v>213</v>
      </c>
      <c r="H283" s="7" t="s">
        <v>2604</v>
      </c>
      <c r="I283" s="38">
        <v>42645</v>
      </c>
      <c r="J283" s="2" t="s">
        <v>1105</v>
      </c>
      <c r="K283" s="2" t="s">
        <v>41</v>
      </c>
      <c r="L283" s="1" t="s">
        <v>6</v>
      </c>
      <c r="M283" s="1" t="s">
        <v>76</v>
      </c>
      <c r="N283" s="1">
        <v>328</v>
      </c>
    </row>
    <row r="284" spans="1:14" ht="60" x14ac:dyDescent="0.25">
      <c r="A284" s="1"/>
      <c r="B284" s="2" t="s">
        <v>909</v>
      </c>
      <c r="C284" s="38">
        <v>42406</v>
      </c>
      <c r="D284" s="2" t="s">
        <v>75</v>
      </c>
      <c r="E284" s="2" t="s">
        <v>415</v>
      </c>
      <c r="F284" s="7" t="s">
        <v>2709</v>
      </c>
      <c r="G284" s="2" t="s">
        <v>213</v>
      </c>
      <c r="H284" s="7" t="s">
        <v>2605</v>
      </c>
      <c r="I284" s="38">
        <v>42410</v>
      </c>
      <c r="J284" s="2" t="s">
        <v>1105</v>
      </c>
      <c r="K284" s="2" t="s">
        <v>41</v>
      </c>
      <c r="L284" s="1" t="s">
        <v>6</v>
      </c>
      <c r="M284" s="1" t="s">
        <v>76</v>
      </c>
      <c r="N284" s="1">
        <v>329</v>
      </c>
    </row>
    <row r="285" spans="1:14" x14ac:dyDescent="0.25">
      <c r="A285" s="1"/>
      <c r="B285" s="2" t="s">
        <v>909</v>
      </c>
      <c r="C285" s="38">
        <v>42406</v>
      </c>
      <c r="D285" s="2" t="s">
        <v>75</v>
      </c>
      <c r="E285" s="2" t="s">
        <v>245</v>
      </c>
      <c r="F285" s="7" t="s">
        <v>2606</v>
      </c>
      <c r="G285" s="2" t="s">
        <v>213</v>
      </c>
      <c r="H285" s="7" t="s">
        <v>2607</v>
      </c>
      <c r="I285" s="38">
        <v>42410</v>
      </c>
      <c r="J285" s="2" t="s">
        <v>1105</v>
      </c>
      <c r="K285" s="2" t="s">
        <v>41</v>
      </c>
      <c r="L285" s="1" t="s">
        <v>6</v>
      </c>
      <c r="M285" s="1" t="s">
        <v>76</v>
      </c>
      <c r="N285" s="1">
        <v>330</v>
      </c>
    </row>
    <row r="286" spans="1:14" ht="30" x14ac:dyDescent="0.25">
      <c r="A286" s="1"/>
      <c r="B286" s="2" t="s">
        <v>909</v>
      </c>
      <c r="C286" s="38">
        <v>42406</v>
      </c>
      <c r="D286" s="2" t="s">
        <v>79</v>
      </c>
      <c r="E286" s="2" t="s">
        <v>279</v>
      </c>
      <c r="F286" s="7" t="s">
        <v>2710</v>
      </c>
      <c r="G286" s="2" t="s">
        <v>213</v>
      </c>
      <c r="H286" s="7" t="s">
        <v>2608</v>
      </c>
      <c r="I286" s="38">
        <v>42410</v>
      </c>
      <c r="J286" s="2" t="s">
        <v>1105</v>
      </c>
      <c r="K286" s="2" t="s">
        <v>41</v>
      </c>
      <c r="L286" s="1" t="s">
        <v>6</v>
      </c>
      <c r="M286" s="1" t="s">
        <v>76</v>
      </c>
      <c r="N286" s="1">
        <v>331</v>
      </c>
    </row>
    <row r="287" spans="1:14" x14ac:dyDescent="0.25">
      <c r="A287" s="1"/>
      <c r="B287" s="2" t="s">
        <v>909</v>
      </c>
      <c r="C287" s="38">
        <v>42406</v>
      </c>
      <c r="D287" s="2" t="s">
        <v>79</v>
      </c>
      <c r="E287" s="2" t="s">
        <v>270</v>
      </c>
      <c r="F287" s="7" t="s">
        <v>2711</v>
      </c>
      <c r="G287" s="2" t="s">
        <v>213</v>
      </c>
      <c r="H287" s="7" t="s">
        <v>2609</v>
      </c>
      <c r="I287" s="38">
        <v>42410</v>
      </c>
      <c r="J287" s="2" t="s">
        <v>1105</v>
      </c>
      <c r="K287" s="2" t="s">
        <v>41</v>
      </c>
      <c r="L287" s="1" t="s">
        <v>6</v>
      </c>
      <c r="M287" s="1" t="s">
        <v>76</v>
      </c>
      <c r="N287" s="1">
        <v>332</v>
      </c>
    </row>
    <row r="288" spans="1:14" x14ac:dyDescent="0.25">
      <c r="A288" s="1"/>
      <c r="B288" s="2" t="s">
        <v>909</v>
      </c>
      <c r="C288" s="38">
        <v>42406</v>
      </c>
      <c r="D288" s="2" t="s">
        <v>79</v>
      </c>
      <c r="E288" s="2" t="s">
        <v>275</v>
      </c>
      <c r="F288" s="7" t="s">
        <v>2712</v>
      </c>
      <c r="G288" s="2" t="s">
        <v>213</v>
      </c>
      <c r="H288" s="7" t="s">
        <v>2610</v>
      </c>
      <c r="I288" s="38">
        <v>42410</v>
      </c>
      <c r="J288" s="2" t="s">
        <v>1105</v>
      </c>
      <c r="K288" s="2" t="s">
        <v>41</v>
      </c>
      <c r="L288" s="1" t="s">
        <v>6</v>
      </c>
      <c r="M288" s="1" t="s">
        <v>76</v>
      </c>
      <c r="N288" s="1">
        <v>333</v>
      </c>
    </row>
    <row r="289" spans="1:14" ht="30" x14ac:dyDescent="0.25">
      <c r="A289" s="1"/>
      <c r="B289" s="2" t="s">
        <v>909</v>
      </c>
      <c r="C289" s="38">
        <v>42406</v>
      </c>
      <c r="D289" s="2" t="s">
        <v>75</v>
      </c>
      <c r="E289" s="2" t="s">
        <v>267</v>
      </c>
      <c r="F289" s="7" t="s">
        <v>2713</v>
      </c>
      <c r="G289" s="2" t="s">
        <v>213</v>
      </c>
      <c r="H289" s="7" t="s">
        <v>2611</v>
      </c>
      <c r="I289" s="38">
        <v>42410</v>
      </c>
      <c r="J289" s="2" t="s">
        <v>1105</v>
      </c>
      <c r="K289" s="2" t="s">
        <v>41</v>
      </c>
      <c r="L289" s="1" t="s">
        <v>6</v>
      </c>
      <c r="M289" s="1" t="s">
        <v>76</v>
      </c>
      <c r="N289" s="1">
        <v>334</v>
      </c>
    </row>
    <row r="290" spans="1:14" ht="45" x14ac:dyDescent="0.25">
      <c r="A290" s="1"/>
      <c r="B290" s="2" t="s">
        <v>909</v>
      </c>
      <c r="C290" s="38">
        <v>42406</v>
      </c>
      <c r="D290" s="2" t="s">
        <v>75</v>
      </c>
      <c r="E290" s="2" t="s">
        <v>77</v>
      </c>
      <c r="F290" s="7" t="s">
        <v>2714</v>
      </c>
      <c r="G290" s="2" t="s">
        <v>213</v>
      </c>
      <c r="H290" s="7" t="s">
        <v>2612</v>
      </c>
      <c r="I290" s="38">
        <v>42410</v>
      </c>
      <c r="J290" s="2" t="s">
        <v>1105</v>
      </c>
      <c r="K290" s="2" t="s">
        <v>41</v>
      </c>
      <c r="L290" s="1" t="s">
        <v>6</v>
      </c>
      <c r="M290" s="1" t="s">
        <v>76</v>
      </c>
      <c r="N290" s="1">
        <v>335</v>
      </c>
    </row>
    <row r="291" spans="1:14" x14ac:dyDescent="0.25">
      <c r="A291" s="1"/>
      <c r="B291" s="2" t="s">
        <v>909</v>
      </c>
      <c r="C291" s="38">
        <v>42406</v>
      </c>
      <c r="D291" s="2" t="s">
        <v>79</v>
      </c>
      <c r="E291" s="2" t="s">
        <v>485</v>
      </c>
      <c r="F291" s="7" t="s">
        <v>2715</v>
      </c>
      <c r="G291" s="2" t="s">
        <v>213</v>
      </c>
      <c r="H291" s="7" t="s">
        <v>2613</v>
      </c>
      <c r="I291" s="38">
        <v>42438</v>
      </c>
      <c r="J291" s="2" t="s">
        <v>1105</v>
      </c>
      <c r="K291" s="2" t="s">
        <v>41</v>
      </c>
      <c r="L291" s="1" t="s">
        <v>6</v>
      </c>
      <c r="M291" s="1" t="s">
        <v>76</v>
      </c>
      <c r="N291" s="1">
        <v>336</v>
      </c>
    </row>
    <row r="292" spans="1:14" ht="45" x14ac:dyDescent="0.25">
      <c r="A292" s="1"/>
      <c r="B292" s="2" t="s">
        <v>909</v>
      </c>
      <c r="C292" s="38">
        <v>42406</v>
      </c>
      <c r="D292" s="2" t="s">
        <v>75</v>
      </c>
      <c r="E292" s="2" t="s">
        <v>639</v>
      </c>
      <c r="F292" s="7" t="s">
        <v>2716</v>
      </c>
      <c r="G292" s="2" t="s">
        <v>213</v>
      </c>
      <c r="H292" s="7" t="s">
        <v>2614</v>
      </c>
      <c r="I292" s="38">
        <v>42410</v>
      </c>
      <c r="J292" s="2" t="s">
        <v>1105</v>
      </c>
      <c r="K292" s="2" t="s">
        <v>41</v>
      </c>
      <c r="L292" s="1" t="s">
        <v>6</v>
      </c>
      <c r="M292" s="1" t="s">
        <v>76</v>
      </c>
      <c r="N292" s="1">
        <v>337</v>
      </c>
    </row>
    <row r="293" spans="1:14" ht="60" x14ac:dyDescent="0.25">
      <c r="A293" s="1"/>
      <c r="B293" s="2" t="s">
        <v>909</v>
      </c>
      <c r="C293" s="38">
        <v>42406</v>
      </c>
      <c r="D293" s="2" t="s">
        <v>256</v>
      </c>
      <c r="E293" s="2" t="s">
        <v>77</v>
      </c>
      <c r="F293" s="7" t="s">
        <v>2717</v>
      </c>
      <c r="G293" s="2" t="s">
        <v>213</v>
      </c>
      <c r="H293" s="7"/>
      <c r="I293" s="38"/>
      <c r="J293" s="2" t="s">
        <v>1105</v>
      </c>
      <c r="K293" s="2" t="s">
        <v>41</v>
      </c>
      <c r="L293" s="1" t="s">
        <v>6</v>
      </c>
      <c r="M293" s="1" t="s">
        <v>76</v>
      </c>
      <c r="N293" s="1">
        <v>338</v>
      </c>
    </row>
    <row r="294" spans="1:14" x14ac:dyDescent="0.25">
      <c r="A294" s="1"/>
      <c r="B294" s="2" t="s">
        <v>909</v>
      </c>
      <c r="C294" s="38">
        <v>42406</v>
      </c>
      <c r="D294" s="2" t="s">
        <v>75</v>
      </c>
      <c r="E294" s="2" t="s">
        <v>269</v>
      </c>
      <c r="F294" s="7" t="s">
        <v>2718</v>
      </c>
      <c r="G294" s="2" t="s">
        <v>213</v>
      </c>
      <c r="H294" s="7" t="s">
        <v>2615</v>
      </c>
      <c r="I294" s="38">
        <v>42410</v>
      </c>
      <c r="J294" s="2" t="s">
        <v>1105</v>
      </c>
      <c r="K294" s="2" t="s">
        <v>41</v>
      </c>
      <c r="L294" s="1" t="s">
        <v>6</v>
      </c>
      <c r="M294" s="1" t="s">
        <v>76</v>
      </c>
      <c r="N294" s="1">
        <v>339</v>
      </c>
    </row>
    <row r="295" spans="1:14" ht="45" x14ac:dyDescent="0.25">
      <c r="A295" s="1"/>
      <c r="B295" s="2" t="s">
        <v>103</v>
      </c>
      <c r="C295" s="38">
        <v>42416</v>
      </c>
      <c r="D295" s="2" t="s">
        <v>75</v>
      </c>
      <c r="E295" s="2" t="s">
        <v>235</v>
      </c>
      <c r="F295" s="7" t="s">
        <v>2719</v>
      </c>
      <c r="G295" s="2" t="s">
        <v>213</v>
      </c>
      <c r="H295" s="7" t="s">
        <v>2720</v>
      </c>
      <c r="I295" s="38"/>
      <c r="J295" s="2" t="s">
        <v>1105</v>
      </c>
      <c r="K295" s="2" t="s">
        <v>116</v>
      </c>
      <c r="L295" s="1" t="s">
        <v>6</v>
      </c>
      <c r="M295" s="1" t="s">
        <v>76</v>
      </c>
      <c r="N295" s="1">
        <v>340</v>
      </c>
    </row>
    <row r="296" spans="1:14" ht="105" x14ac:dyDescent="0.25">
      <c r="A296" s="1"/>
      <c r="B296" s="2" t="s">
        <v>103</v>
      </c>
      <c r="C296" s="38">
        <v>42416</v>
      </c>
      <c r="D296" s="2" t="s">
        <v>75</v>
      </c>
      <c r="E296" s="2" t="s">
        <v>235</v>
      </c>
      <c r="F296" s="7" t="s">
        <v>2721</v>
      </c>
      <c r="G296" s="2" t="s">
        <v>213</v>
      </c>
      <c r="H296" s="7" t="s">
        <v>2722</v>
      </c>
      <c r="I296" s="38"/>
      <c r="J296" s="2" t="s">
        <v>1105</v>
      </c>
      <c r="K296" s="2" t="s">
        <v>116</v>
      </c>
      <c r="L296" s="1" t="s">
        <v>6</v>
      </c>
      <c r="M296" s="1" t="s">
        <v>76</v>
      </c>
      <c r="N296" s="1">
        <v>341</v>
      </c>
    </row>
    <row r="297" spans="1:14" ht="75" x14ac:dyDescent="0.25">
      <c r="A297" s="1"/>
      <c r="B297" s="2" t="s">
        <v>103</v>
      </c>
      <c r="C297" s="38">
        <v>42416</v>
      </c>
      <c r="D297" s="2" t="s">
        <v>75</v>
      </c>
      <c r="E297" s="2" t="s">
        <v>2616</v>
      </c>
      <c r="F297" s="7" t="s">
        <v>2723</v>
      </c>
      <c r="G297" s="2" t="s">
        <v>213</v>
      </c>
      <c r="H297" s="7" t="s">
        <v>2724</v>
      </c>
      <c r="I297" s="38"/>
      <c r="J297" s="2" t="s">
        <v>1105</v>
      </c>
      <c r="K297" s="2" t="s">
        <v>116</v>
      </c>
      <c r="L297" s="1" t="s">
        <v>6</v>
      </c>
      <c r="M297" s="1" t="s">
        <v>76</v>
      </c>
      <c r="N297" s="1">
        <v>342</v>
      </c>
    </row>
    <row r="298" spans="1:14" ht="45" x14ac:dyDescent="0.25">
      <c r="A298" s="1"/>
      <c r="B298" s="2" t="s">
        <v>103</v>
      </c>
      <c r="C298" s="38">
        <v>42416</v>
      </c>
      <c r="D298" s="2" t="s">
        <v>75</v>
      </c>
      <c r="E298" s="2" t="s">
        <v>77</v>
      </c>
      <c r="F298" s="7" t="s">
        <v>2725</v>
      </c>
      <c r="G298" s="2" t="s">
        <v>213</v>
      </c>
      <c r="H298" s="7" t="s">
        <v>2726</v>
      </c>
      <c r="I298" s="38"/>
      <c r="J298" s="2" t="s">
        <v>1105</v>
      </c>
      <c r="K298" s="2" t="s">
        <v>116</v>
      </c>
      <c r="L298" s="1" t="s">
        <v>6</v>
      </c>
      <c r="M298" s="1" t="s">
        <v>76</v>
      </c>
      <c r="N298" s="1">
        <v>343</v>
      </c>
    </row>
    <row r="299" spans="1:14" x14ac:dyDescent="0.25">
      <c r="A299" s="1"/>
      <c r="B299" s="2" t="s">
        <v>911</v>
      </c>
      <c r="C299" s="38">
        <v>42423</v>
      </c>
      <c r="D299" s="2" t="s">
        <v>256</v>
      </c>
      <c r="E299" s="2" t="s">
        <v>267</v>
      </c>
      <c r="F299" s="7" t="s">
        <v>2727</v>
      </c>
      <c r="G299" s="2" t="s">
        <v>213</v>
      </c>
      <c r="H299" s="7"/>
      <c r="I299" s="38">
        <v>42423</v>
      </c>
      <c r="J299" s="2" t="s">
        <v>116</v>
      </c>
      <c r="K299" s="2" t="s">
        <v>41</v>
      </c>
      <c r="L299" s="1" t="s">
        <v>6</v>
      </c>
      <c r="M299" s="1" t="s">
        <v>76</v>
      </c>
      <c r="N299" s="1">
        <v>344</v>
      </c>
    </row>
    <row r="300" spans="1:14" x14ac:dyDescent="0.25">
      <c r="A300" s="1"/>
      <c r="B300" s="2" t="s">
        <v>911</v>
      </c>
      <c r="C300" s="38">
        <v>42423</v>
      </c>
      <c r="D300" s="2" t="s">
        <v>79</v>
      </c>
      <c r="E300" s="2" t="s">
        <v>270</v>
      </c>
      <c r="F300" s="7" t="s">
        <v>2728</v>
      </c>
      <c r="G300" s="2" t="s">
        <v>213</v>
      </c>
      <c r="H300" s="7" t="s">
        <v>2617</v>
      </c>
      <c r="I300" s="38">
        <v>42423</v>
      </c>
      <c r="J300" s="2" t="s">
        <v>116</v>
      </c>
      <c r="K300" s="2" t="s">
        <v>41</v>
      </c>
      <c r="L300" s="1" t="s">
        <v>6</v>
      </c>
      <c r="M300" s="1" t="s">
        <v>76</v>
      </c>
      <c r="N300" s="1">
        <v>345</v>
      </c>
    </row>
    <row r="301" spans="1:14" x14ac:dyDescent="0.25">
      <c r="A301" s="1"/>
      <c r="B301" s="2" t="s">
        <v>911</v>
      </c>
      <c r="C301" s="38">
        <v>42423</v>
      </c>
      <c r="D301" s="2" t="s">
        <v>256</v>
      </c>
      <c r="E301" s="2" t="s">
        <v>270</v>
      </c>
      <c r="F301" s="7" t="s">
        <v>2729</v>
      </c>
      <c r="G301" s="2" t="s">
        <v>213</v>
      </c>
      <c r="H301" s="7"/>
      <c r="I301" s="38">
        <v>42423</v>
      </c>
      <c r="J301" s="2" t="s">
        <v>116</v>
      </c>
      <c r="K301" s="2" t="s">
        <v>41</v>
      </c>
      <c r="L301" s="1" t="s">
        <v>6</v>
      </c>
      <c r="M301" s="1" t="s">
        <v>76</v>
      </c>
      <c r="N301" s="1">
        <v>346</v>
      </c>
    </row>
    <row r="302" spans="1:14" x14ac:dyDescent="0.25">
      <c r="A302" s="1"/>
      <c r="B302" s="2" t="s">
        <v>911</v>
      </c>
      <c r="C302" s="38">
        <v>42423</v>
      </c>
      <c r="D302" s="2" t="s">
        <v>256</v>
      </c>
      <c r="E302" s="2" t="s">
        <v>267</v>
      </c>
      <c r="F302" s="7" t="s">
        <v>2730</v>
      </c>
      <c r="G302" s="2" t="s">
        <v>213</v>
      </c>
      <c r="H302" s="7"/>
      <c r="I302" s="38">
        <v>42423</v>
      </c>
      <c r="J302" s="2" t="s">
        <v>116</v>
      </c>
      <c r="K302" s="2" t="s">
        <v>41</v>
      </c>
      <c r="L302" s="1" t="s">
        <v>6</v>
      </c>
      <c r="M302" s="1" t="s">
        <v>76</v>
      </c>
      <c r="N302" s="1">
        <v>347</v>
      </c>
    </row>
    <row r="303" spans="1:14" x14ac:dyDescent="0.25">
      <c r="A303" s="1"/>
      <c r="B303" s="2" t="s">
        <v>911</v>
      </c>
      <c r="C303" s="38">
        <v>42423</v>
      </c>
      <c r="D303" s="2" t="s">
        <v>75</v>
      </c>
      <c r="E303" s="2" t="s">
        <v>77</v>
      </c>
      <c r="F303" s="7" t="s">
        <v>2731</v>
      </c>
      <c r="G303" s="2" t="s">
        <v>213</v>
      </c>
      <c r="H303" s="7" t="s">
        <v>2618</v>
      </c>
      <c r="I303" s="38">
        <v>42423</v>
      </c>
      <c r="J303" s="2" t="s">
        <v>116</v>
      </c>
      <c r="K303" s="2" t="s">
        <v>41</v>
      </c>
      <c r="L303" s="1" t="s">
        <v>6</v>
      </c>
      <c r="M303" s="1" t="s">
        <v>76</v>
      </c>
      <c r="N303" s="1">
        <v>348</v>
      </c>
    </row>
    <row r="304" spans="1:14" ht="30" x14ac:dyDescent="0.25">
      <c r="A304" s="1"/>
      <c r="B304" s="2" t="s">
        <v>911</v>
      </c>
      <c r="C304" s="38">
        <v>42423</v>
      </c>
      <c r="D304" s="2" t="s">
        <v>75</v>
      </c>
      <c r="E304" s="2" t="s">
        <v>269</v>
      </c>
      <c r="F304" s="7" t="s">
        <v>2732</v>
      </c>
      <c r="G304" s="2" t="s">
        <v>213</v>
      </c>
      <c r="H304" s="7" t="s">
        <v>2733</v>
      </c>
      <c r="I304" s="38">
        <v>42423</v>
      </c>
      <c r="J304" s="2" t="s">
        <v>116</v>
      </c>
      <c r="K304" s="2" t="s">
        <v>41</v>
      </c>
      <c r="L304" s="1" t="s">
        <v>6</v>
      </c>
      <c r="M304" s="1" t="s">
        <v>76</v>
      </c>
      <c r="N304" s="1">
        <v>349</v>
      </c>
    </row>
    <row r="305" spans="1:14" ht="30" x14ac:dyDescent="0.25">
      <c r="A305" s="1"/>
      <c r="B305" s="2" t="s">
        <v>697</v>
      </c>
      <c r="C305" s="38">
        <v>42425</v>
      </c>
      <c r="D305" s="2" t="s">
        <v>75</v>
      </c>
      <c r="E305" s="2" t="s">
        <v>428</v>
      </c>
      <c r="F305" s="7" t="s">
        <v>2619</v>
      </c>
      <c r="G305" s="2" t="s">
        <v>213</v>
      </c>
      <c r="H305" s="7" t="s">
        <v>2620</v>
      </c>
      <c r="I305" s="38">
        <v>42444</v>
      </c>
      <c r="J305" s="2" t="s">
        <v>1105</v>
      </c>
      <c r="K305" s="2" t="s">
        <v>124</v>
      </c>
      <c r="L305" s="1" t="s">
        <v>6</v>
      </c>
      <c r="M305" s="1" t="s">
        <v>76</v>
      </c>
      <c r="N305" s="1">
        <v>350</v>
      </c>
    </row>
    <row r="306" spans="1:14" x14ac:dyDescent="0.25">
      <c r="A306" s="1"/>
      <c r="B306" s="2" t="s">
        <v>697</v>
      </c>
      <c r="C306" s="38">
        <v>42425</v>
      </c>
      <c r="D306" s="2" t="s">
        <v>75</v>
      </c>
      <c r="E306" s="2" t="s">
        <v>270</v>
      </c>
      <c r="F306" s="7" t="s">
        <v>2621</v>
      </c>
      <c r="G306" s="2" t="s">
        <v>213</v>
      </c>
      <c r="H306" s="7" t="s">
        <v>2622</v>
      </c>
      <c r="I306" s="38">
        <v>42433</v>
      </c>
      <c r="J306" s="2" t="s">
        <v>1105</v>
      </c>
      <c r="K306" s="2" t="s">
        <v>124</v>
      </c>
      <c r="L306" s="1" t="s">
        <v>6</v>
      </c>
      <c r="M306" s="1" t="s">
        <v>76</v>
      </c>
      <c r="N306" s="1">
        <v>351</v>
      </c>
    </row>
    <row r="307" spans="1:14" x14ac:dyDescent="0.25">
      <c r="A307" s="1"/>
      <c r="B307" s="2" t="s">
        <v>697</v>
      </c>
      <c r="C307" s="38">
        <v>42425</v>
      </c>
      <c r="D307" s="2" t="s">
        <v>75</v>
      </c>
      <c r="E307" s="2" t="s">
        <v>275</v>
      </c>
      <c r="F307" s="7" t="s">
        <v>2623</v>
      </c>
      <c r="G307" s="2" t="s">
        <v>213</v>
      </c>
      <c r="H307" s="7" t="s">
        <v>2624</v>
      </c>
      <c r="I307" s="38">
        <v>42433</v>
      </c>
      <c r="J307" s="2" t="s">
        <v>1105</v>
      </c>
      <c r="K307" s="2" t="s">
        <v>124</v>
      </c>
      <c r="L307" s="1" t="s">
        <v>6</v>
      </c>
      <c r="M307" s="1" t="s">
        <v>76</v>
      </c>
      <c r="N307" s="1">
        <v>352</v>
      </c>
    </row>
    <row r="308" spans="1:14" ht="30" x14ac:dyDescent="0.25">
      <c r="A308" s="1"/>
      <c r="B308" s="2" t="s">
        <v>697</v>
      </c>
      <c r="C308" s="38">
        <v>42425</v>
      </c>
      <c r="D308" s="2" t="s">
        <v>75</v>
      </c>
      <c r="E308" s="2" t="s">
        <v>279</v>
      </c>
      <c r="F308" s="7" t="s">
        <v>2625</v>
      </c>
      <c r="G308" s="2" t="s">
        <v>213</v>
      </c>
      <c r="H308" s="7" t="s">
        <v>2626</v>
      </c>
      <c r="I308" s="38">
        <v>42433</v>
      </c>
      <c r="J308" s="2" t="s">
        <v>1105</v>
      </c>
      <c r="K308" s="2" t="s">
        <v>124</v>
      </c>
      <c r="L308" s="1" t="s">
        <v>6</v>
      </c>
      <c r="M308" s="1" t="s">
        <v>76</v>
      </c>
      <c r="N308" s="1">
        <v>353</v>
      </c>
    </row>
    <row r="309" spans="1:14" ht="30" x14ac:dyDescent="0.25">
      <c r="A309" s="1"/>
      <c r="B309" s="2" t="s">
        <v>697</v>
      </c>
      <c r="C309" s="38">
        <v>42425</v>
      </c>
      <c r="D309" s="2" t="s">
        <v>75</v>
      </c>
      <c r="E309" s="2" t="s">
        <v>80</v>
      </c>
      <c r="F309" s="7" t="s">
        <v>2627</v>
      </c>
      <c r="G309" s="2" t="s">
        <v>213</v>
      </c>
      <c r="H309" s="7" t="s">
        <v>2628</v>
      </c>
      <c r="I309" s="38">
        <v>42433</v>
      </c>
      <c r="J309" s="2" t="s">
        <v>1105</v>
      </c>
      <c r="K309" s="2" t="s">
        <v>124</v>
      </c>
      <c r="L309" s="1" t="s">
        <v>6</v>
      </c>
      <c r="M309" s="1" t="s">
        <v>76</v>
      </c>
      <c r="N309" s="1">
        <v>354</v>
      </c>
    </row>
    <row r="310" spans="1:14" x14ac:dyDescent="0.25">
      <c r="A310" s="1"/>
      <c r="B310" s="2" t="s">
        <v>913</v>
      </c>
      <c r="C310" s="38">
        <v>42429</v>
      </c>
      <c r="D310" s="2" t="s">
        <v>256</v>
      </c>
      <c r="E310" s="2" t="s">
        <v>648</v>
      </c>
      <c r="F310" s="7" t="s">
        <v>2734</v>
      </c>
      <c r="G310" s="2" t="s">
        <v>213</v>
      </c>
      <c r="H310" s="7"/>
      <c r="I310" s="38">
        <v>42429</v>
      </c>
      <c r="J310" s="2" t="s">
        <v>1105</v>
      </c>
      <c r="K310" s="2" t="s">
        <v>36</v>
      </c>
      <c r="L310" s="1" t="s">
        <v>6</v>
      </c>
      <c r="M310" s="1" t="s">
        <v>76</v>
      </c>
      <c r="N310" s="1">
        <v>355</v>
      </c>
    </row>
    <row r="311" spans="1:14" x14ac:dyDescent="0.25">
      <c r="A311" s="1"/>
      <c r="B311" s="2" t="s">
        <v>915</v>
      </c>
      <c r="C311" s="38">
        <v>42431</v>
      </c>
      <c r="D311" s="2" t="s">
        <v>256</v>
      </c>
      <c r="E311" s="2" t="s">
        <v>267</v>
      </c>
      <c r="F311" s="7" t="s">
        <v>2629</v>
      </c>
      <c r="G311" s="2" t="s">
        <v>213</v>
      </c>
      <c r="H311" s="7"/>
      <c r="I311" s="38">
        <v>42431</v>
      </c>
      <c r="J311" s="2" t="s">
        <v>116</v>
      </c>
      <c r="K311" s="2" t="s">
        <v>116</v>
      </c>
      <c r="L311" s="1" t="s">
        <v>6</v>
      </c>
      <c r="M311" s="1" t="s">
        <v>76</v>
      </c>
      <c r="N311" s="1">
        <v>356</v>
      </c>
    </row>
    <row r="312" spans="1:14" x14ac:dyDescent="0.25">
      <c r="A312" s="1"/>
      <c r="B312" s="2" t="s">
        <v>915</v>
      </c>
      <c r="C312" s="38">
        <v>42431</v>
      </c>
      <c r="D312" s="2" t="s">
        <v>79</v>
      </c>
      <c r="E312" s="2" t="s">
        <v>85</v>
      </c>
      <c r="F312" s="7" t="s">
        <v>2630</v>
      </c>
      <c r="G312" s="2" t="s">
        <v>213</v>
      </c>
      <c r="H312" s="7" t="s">
        <v>2631</v>
      </c>
      <c r="I312" s="38">
        <v>42431</v>
      </c>
      <c r="J312" s="2" t="s">
        <v>116</v>
      </c>
      <c r="K312" s="2" t="s">
        <v>116</v>
      </c>
      <c r="L312" s="1" t="s">
        <v>6</v>
      </c>
      <c r="M312" s="1" t="s">
        <v>76</v>
      </c>
      <c r="N312" s="1">
        <v>357</v>
      </c>
    </row>
    <row r="313" spans="1:14" ht="30" x14ac:dyDescent="0.25">
      <c r="A313" s="1"/>
      <c r="B313" s="2" t="s">
        <v>915</v>
      </c>
      <c r="C313" s="38">
        <v>42431</v>
      </c>
      <c r="D313" s="2" t="s">
        <v>256</v>
      </c>
      <c r="E313" s="2" t="s">
        <v>267</v>
      </c>
      <c r="F313" s="7" t="s">
        <v>2632</v>
      </c>
      <c r="G313" s="2" t="s">
        <v>213</v>
      </c>
      <c r="H313" s="7"/>
      <c r="I313" s="38">
        <v>42431</v>
      </c>
      <c r="J313" s="2" t="s">
        <v>116</v>
      </c>
      <c r="K313" s="2" t="s">
        <v>116</v>
      </c>
      <c r="L313" s="1" t="s">
        <v>6</v>
      </c>
      <c r="M313" s="1" t="s">
        <v>76</v>
      </c>
      <c r="N313" s="1">
        <v>358</v>
      </c>
    </row>
    <row r="314" spans="1:14" ht="45" x14ac:dyDescent="0.25">
      <c r="A314" s="1"/>
      <c r="B314" s="2" t="s">
        <v>913</v>
      </c>
      <c r="C314" s="38">
        <v>42432</v>
      </c>
      <c r="D314" s="2" t="s">
        <v>79</v>
      </c>
      <c r="E314" s="2" t="s">
        <v>270</v>
      </c>
      <c r="F314" s="7" t="s">
        <v>2735</v>
      </c>
      <c r="G314" s="2" t="s">
        <v>213</v>
      </c>
      <c r="H314" s="7" t="s">
        <v>2633</v>
      </c>
      <c r="I314" s="38">
        <v>42432</v>
      </c>
      <c r="J314" s="2" t="s">
        <v>1105</v>
      </c>
      <c r="K314" s="2" t="s">
        <v>36</v>
      </c>
      <c r="L314" s="1" t="s">
        <v>6</v>
      </c>
      <c r="M314" s="1" t="s">
        <v>76</v>
      </c>
      <c r="N314" s="1">
        <v>359</v>
      </c>
    </row>
    <row r="315" spans="1:14" x14ac:dyDescent="0.25">
      <c r="A315" s="1"/>
      <c r="B315" s="2" t="s">
        <v>913</v>
      </c>
      <c r="C315" s="38">
        <v>42432</v>
      </c>
      <c r="D315" s="2" t="s">
        <v>79</v>
      </c>
      <c r="E315" s="2" t="s">
        <v>267</v>
      </c>
      <c r="F315" s="7" t="s">
        <v>2736</v>
      </c>
      <c r="G315" s="2" t="s">
        <v>213</v>
      </c>
      <c r="H315" s="7" t="s">
        <v>2634</v>
      </c>
      <c r="I315" s="38">
        <v>42432</v>
      </c>
      <c r="J315" s="2" t="s">
        <v>1105</v>
      </c>
      <c r="K315" s="2" t="s">
        <v>36</v>
      </c>
      <c r="L315" s="1" t="s">
        <v>6</v>
      </c>
      <c r="M315" s="1" t="s">
        <v>76</v>
      </c>
      <c r="N315" s="1">
        <v>360</v>
      </c>
    </row>
    <row r="316" spans="1:14" ht="30" x14ac:dyDescent="0.25">
      <c r="A316" s="1"/>
      <c r="B316" s="2" t="s">
        <v>913</v>
      </c>
      <c r="C316" s="38">
        <v>42432</v>
      </c>
      <c r="D316" s="2" t="s">
        <v>256</v>
      </c>
      <c r="E316" s="2" t="s">
        <v>425</v>
      </c>
      <c r="F316" s="7" t="s">
        <v>2737</v>
      </c>
      <c r="G316" s="2" t="s">
        <v>213</v>
      </c>
      <c r="H316" s="7"/>
      <c r="I316" s="38">
        <v>42432</v>
      </c>
      <c r="J316" s="2" t="s">
        <v>1105</v>
      </c>
      <c r="K316" s="2" t="s">
        <v>36</v>
      </c>
      <c r="L316" s="1" t="s">
        <v>6</v>
      </c>
      <c r="M316" s="1" t="s">
        <v>76</v>
      </c>
      <c r="N316" s="1">
        <v>361</v>
      </c>
    </row>
    <row r="317" spans="1:14" x14ac:dyDescent="0.25">
      <c r="A317" s="1"/>
      <c r="B317" s="2" t="s">
        <v>913</v>
      </c>
      <c r="C317" s="38">
        <v>42433</v>
      </c>
      <c r="D317" s="2" t="s">
        <v>256</v>
      </c>
      <c r="E317" s="2" t="s">
        <v>648</v>
      </c>
      <c r="F317" s="7" t="s">
        <v>2738</v>
      </c>
      <c r="G317" s="2" t="s">
        <v>213</v>
      </c>
      <c r="H317" s="7"/>
      <c r="I317" s="38">
        <v>42433</v>
      </c>
      <c r="J317" s="2" t="s">
        <v>1105</v>
      </c>
      <c r="K317" s="2" t="s">
        <v>36</v>
      </c>
      <c r="L317" s="1" t="s">
        <v>6</v>
      </c>
      <c r="M317" s="1" t="s">
        <v>76</v>
      </c>
      <c r="N317" s="1">
        <v>362</v>
      </c>
    </row>
    <row r="318" spans="1:14" ht="45" x14ac:dyDescent="0.25">
      <c r="A318" s="1"/>
      <c r="B318" s="2" t="s">
        <v>911</v>
      </c>
      <c r="C318" s="38">
        <v>42433</v>
      </c>
      <c r="D318" s="2" t="s">
        <v>79</v>
      </c>
      <c r="E318" s="2" t="s">
        <v>267</v>
      </c>
      <c r="F318" s="7" t="s">
        <v>2739</v>
      </c>
      <c r="G318" s="2" t="s">
        <v>213</v>
      </c>
      <c r="H318" s="7" t="s">
        <v>2635</v>
      </c>
      <c r="I318" s="38">
        <v>42433</v>
      </c>
      <c r="J318" s="2" t="s">
        <v>1105</v>
      </c>
      <c r="K318" s="2" t="s">
        <v>41</v>
      </c>
      <c r="L318" s="1" t="s">
        <v>6</v>
      </c>
      <c r="M318" s="1" t="s">
        <v>76</v>
      </c>
      <c r="N318" s="1">
        <v>363</v>
      </c>
    </row>
    <row r="319" spans="1:14" ht="45" x14ac:dyDescent="0.25">
      <c r="A319" s="1"/>
      <c r="B319" s="2" t="s">
        <v>911</v>
      </c>
      <c r="C319" s="38">
        <v>42433</v>
      </c>
      <c r="D319" s="2" t="s">
        <v>79</v>
      </c>
      <c r="E319" s="2" t="s">
        <v>77</v>
      </c>
      <c r="F319" s="7" t="s">
        <v>2740</v>
      </c>
      <c r="G319" s="2" t="s">
        <v>213</v>
      </c>
      <c r="H319" s="7" t="s">
        <v>2636</v>
      </c>
      <c r="I319" s="38">
        <v>42433</v>
      </c>
      <c r="J319" s="2" t="s">
        <v>1105</v>
      </c>
      <c r="K319" s="2" t="s">
        <v>41</v>
      </c>
      <c r="L319" s="1" t="s">
        <v>6</v>
      </c>
      <c r="M319" s="1" t="s">
        <v>76</v>
      </c>
      <c r="N319" s="1">
        <v>364</v>
      </c>
    </row>
    <row r="320" spans="1:14" ht="45" x14ac:dyDescent="0.25">
      <c r="A320" s="1"/>
      <c r="B320" s="2" t="s">
        <v>911</v>
      </c>
      <c r="C320" s="38">
        <v>42433</v>
      </c>
      <c r="D320" s="2" t="s">
        <v>79</v>
      </c>
      <c r="E320" s="2" t="s">
        <v>279</v>
      </c>
      <c r="F320" s="7" t="s">
        <v>2741</v>
      </c>
      <c r="G320" s="2" t="s">
        <v>213</v>
      </c>
      <c r="H320" s="7" t="s">
        <v>2742</v>
      </c>
      <c r="I320" s="38">
        <v>42433</v>
      </c>
      <c r="J320" s="2" t="s">
        <v>1105</v>
      </c>
      <c r="K320" s="2" t="s">
        <v>41</v>
      </c>
      <c r="L320" s="1" t="s">
        <v>6</v>
      </c>
      <c r="M320" s="1" t="s">
        <v>76</v>
      </c>
      <c r="N320" s="1">
        <v>365</v>
      </c>
    </row>
    <row r="321" spans="1:14" ht="45" x14ac:dyDescent="0.25">
      <c r="A321" s="1"/>
      <c r="B321" s="2" t="s">
        <v>911</v>
      </c>
      <c r="C321" s="38">
        <v>42433</v>
      </c>
      <c r="D321" s="2" t="s">
        <v>79</v>
      </c>
      <c r="E321" s="2" t="s">
        <v>270</v>
      </c>
      <c r="F321" s="7" t="s">
        <v>2743</v>
      </c>
      <c r="G321" s="2" t="s">
        <v>213</v>
      </c>
      <c r="H321" s="7" t="s">
        <v>2637</v>
      </c>
      <c r="I321" s="38">
        <v>42433</v>
      </c>
      <c r="J321" s="2" t="s">
        <v>1105</v>
      </c>
      <c r="K321" s="2" t="s">
        <v>41</v>
      </c>
      <c r="L321" s="1" t="s">
        <v>6</v>
      </c>
      <c r="M321" s="1" t="s">
        <v>76</v>
      </c>
      <c r="N321" s="1">
        <v>366</v>
      </c>
    </row>
    <row r="322" spans="1:14" ht="135" x14ac:dyDescent="0.25">
      <c r="A322" s="1"/>
      <c r="B322" s="2" t="s">
        <v>909</v>
      </c>
      <c r="C322" s="38">
        <v>42436</v>
      </c>
      <c r="D322" s="2" t="s">
        <v>79</v>
      </c>
      <c r="E322" s="2" t="s">
        <v>309</v>
      </c>
      <c r="F322" s="7" t="s">
        <v>2744</v>
      </c>
      <c r="G322" s="2" t="s">
        <v>213</v>
      </c>
      <c r="H322" s="7" t="s">
        <v>2638</v>
      </c>
      <c r="I322" s="38">
        <v>42437</v>
      </c>
      <c r="J322" s="2" t="s">
        <v>1105</v>
      </c>
      <c r="K322" s="2" t="s">
        <v>41</v>
      </c>
      <c r="L322" s="1" t="s">
        <v>6</v>
      </c>
      <c r="M322" s="1" t="s">
        <v>76</v>
      </c>
      <c r="N322" s="1">
        <v>367</v>
      </c>
    </row>
    <row r="323" spans="1:14" ht="90" x14ac:dyDescent="0.25">
      <c r="A323" s="1"/>
      <c r="B323" s="2" t="s">
        <v>909</v>
      </c>
      <c r="C323" s="38">
        <v>42436</v>
      </c>
      <c r="D323" s="2" t="s">
        <v>79</v>
      </c>
      <c r="E323" s="2" t="s">
        <v>77</v>
      </c>
      <c r="F323" s="7" t="s">
        <v>2745</v>
      </c>
      <c r="G323" s="2" t="s">
        <v>213</v>
      </c>
      <c r="H323" s="7" t="s">
        <v>2639</v>
      </c>
      <c r="I323" s="38">
        <v>42437</v>
      </c>
      <c r="J323" s="2" t="s">
        <v>1105</v>
      </c>
      <c r="K323" s="2" t="s">
        <v>41</v>
      </c>
      <c r="L323" s="1" t="s">
        <v>6</v>
      </c>
      <c r="M323" s="1" t="s">
        <v>76</v>
      </c>
      <c r="N323" s="1">
        <v>368</v>
      </c>
    </row>
    <row r="324" spans="1:14" ht="45" x14ac:dyDescent="0.25">
      <c r="A324" s="1"/>
      <c r="B324" s="2" t="s">
        <v>909</v>
      </c>
      <c r="C324" s="38">
        <v>42436</v>
      </c>
      <c r="D324" s="2" t="s">
        <v>79</v>
      </c>
      <c r="E324" s="2" t="s">
        <v>2640</v>
      </c>
      <c r="F324" s="7" t="s">
        <v>2746</v>
      </c>
      <c r="G324" s="2" t="s">
        <v>213</v>
      </c>
      <c r="H324" s="7" t="s">
        <v>2641</v>
      </c>
      <c r="I324" s="38">
        <v>42438</v>
      </c>
      <c r="J324" s="2" t="s">
        <v>1105</v>
      </c>
      <c r="K324" s="2" t="s">
        <v>41</v>
      </c>
      <c r="L324" s="1" t="s">
        <v>6</v>
      </c>
      <c r="M324" s="1" t="s">
        <v>76</v>
      </c>
      <c r="N324" s="1">
        <v>369</v>
      </c>
    </row>
    <row r="325" spans="1:14" ht="45" x14ac:dyDescent="0.25">
      <c r="A325" s="1"/>
      <c r="B325" s="2" t="s">
        <v>909</v>
      </c>
      <c r="C325" s="38">
        <v>42436</v>
      </c>
      <c r="D325" s="2" t="s">
        <v>79</v>
      </c>
      <c r="E325" s="2" t="s">
        <v>80</v>
      </c>
      <c r="F325" s="7" t="s">
        <v>2747</v>
      </c>
      <c r="G325" s="2" t="s">
        <v>213</v>
      </c>
      <c r="H325" s="7" t="s">
        <v>2642</v>
      </c>
      <c r="I325" s="38">
        <v>42437</v>
      </c>
      <c r="J325" s="2" t="s">
        <v>1105</v>
      </c>
      <c r="K325" s="2" t="s">
        <v>41</v>
      </c>
      <c r="L325" s="1" t="s">
        <v>6</v>
      </c>
      <c r="M325" s="1" t="s">
        <v>76</v>
      </c>
      <c r="N325" s="1">
        <v>370</v>
      </c>
    </row>
    <row r="326" spans="1:14" ht="30" x14ac:dyDescent="0.25">
      <c r="A326" s="1"/>
      <c r="B326" s="2" t="s">
        <v>909</v>
      </c>
      <c r="C326" s="38">
        <v>42436</v>
      </c>
      <c r="D326" s="2" t="s">
        <v>75</v>
      </c>
      <c r="E326" s="2" t="s">
        <v>257</v>
      </c>
      <c r="F326" s="7" t="s">
        <v>2748</v>
      </c>
      <c r="G326" s="2" t="s">
        <v>213</v>
      </c>
      <c r="H326" s="7" t="s">
        <v>2643</v>
      </c>
      <c r="I326" s="38">
        <v>42437</v>
      </c>
      <c r="J326" s="2" t="s">
        <v>1105</v>
      </c>
      <c r="K326" s="2" t="s">
        <v>41</v>
      </c>
      <c r="L326" s="1" t="s">
        <v>6</v>
      </c>
      <c r="M326" s="1" t="s">
        <v>76</v>
      </c>
      <c r="N326" s="1">
        <v>371</v>
      </c>
    </row>
    <row r="327" spans="1:14" ht="165" x14ac:dyDescent="0.25">
      <c r="A327" s="1"/>
      <c r="B327" s="2" t="s">
        <v>909</v>
      </c>
      <c r="C327" s="38">
        <v>42436</v>
      </c>
      <c r="D327" s="2" t="s">
        <v>75</v>
      </c>
      <c r="E327" s="2" t="s">
        <v>279</v>
      </c>
      <c r="F327" s="7" t="s">
        <v>2749</v>
      </c>
      <c r="G327" s="2" t="s">
        <v>213</v>
      </c>
      <c r="H327" s="7" t="s">
        <v>2750</v>
      </c>
      <c r="I327" s="38">
        <v>42437</v>
      </c>
      <c r="J327" s="2" t="s">
        <v>1105</v>
      </c>
      <c r="K327" s="2" t="s">
        <v>41</v>
      </c>
      <c r="L327" s="1" t="s">
        <v>6</v>
      </c>
      <c r="M327" s="1" t="s">
        <v>76</v>
      </c>
      <c r="N327" s="1">
        <v>372</v>
      </c>
    </row>
    <row r="328" spans="1:14" ht="60" x14ac:dyDescent="0.25">
      <c r="A328" s="1"/>
      <c r="B328" s="2" t="s">
        <v>909</v>
      </c>
      <c r="C328" s="38">
        <v>42436</v>
      </c>
      <c r="D328" s="2" t="s">
        <v>79</v>
      </c>
      <c r="E328" s="2" t="s">
        <v>77</v>
      </c>
      <c r="F328" s="7" t="s">
        <v>2751</v>
      </c>
      <c r="G328" s="2" t="s">
        <v>213</v>
      </c>
      <c r="H328" s="7" t="s">
        <v>2644</v>
      </c>
      <c r="I328" s="38">
        <v>42437</v>
      </c>
      <c r="J328" s="2" t="s">
        <v>1105</v>
      </c>
      <c r="K328" s="2" t="s">
        <v>41</v>
      </c>
      <c r="L328" s="1" t="s">
        <v>6</v>
      </c>
      <c r="M328" s="1" t="s">
        <v>76</v>
      </c>
      <c r="N328" s="1">
        <v>373</v>
      </c>
    </row>
    <row r="329" spans="1:14" ht="60" x14ac:dyDescent="0.25">
      <c r="A329" s="1"/>
      <c r="B329" s="2" t="s">
        <v>909</v>
      </c>
      <c r="C329" s="38">
        <v>42436</v>
      </c>
      <c r="D329" s="2" t="s">
        <v>79</v>
      </c>
      <c r="E329" s="2" t="s">
        <v>2640</v>
      </c>
      <c r="F329" s="7" t="s">
        <v>2752</v>
      </c>
      <c r="G329" s="2" t="s">
        <v>213</v>
      </c>
      <c r="H329" s="7" t="s">
        <v>2645</v>
      </c>
      <c r="I329" s="38">
        <v>42436</v>
      </c>
      <c r="J329" s="2" t="s">
        <v>1105</v>
      </c>
      <c r="K329" s="2" t="s">
        <v>41</v>
      </c>
      <c r="L329" s="1" t="s">
        <v>6</v>
      </c>
      <c r="M329" s="1" t="s">
        <v>76</v>
      </c>
      <c r="N329" s="1">
        <v>374</v>
      </c>
    </row>
    <row r="330" spans="1:14" ht="75" x14ac:dyDescent="0.25">
      <c r="A330" s="1"/>
      <c r="B330" s="2" t="s">
        <v>909</v>
      </c>
      <c r="C330" s="38">
        <v>42436</v>
      </c>
      <c r="D330" s="2" t="s">
        <v>79</v>
      </c>
      <c r="E330" s="2" t="s">
        <v>80</v>
      </c>
      <c r="F330" s="7" t="s">
        <v>2753</v>
      </c>
      <c r="G330" s="2" t="s">
        <v>213</v>
      </c>
      <c r="H330" s="7" t="s">
        <v>2646</v>
      </c>
      <c r="I330" s="38">
        <v>42437</v>
      </c>
      <c r="J330" s="2" t="s">
        <v>1105</v>
      </c>
      <c r="K330" s="2" t="s">
        <v>41</v>
      </c>
      <c r="L330" s="1" t="s">
        <v>6</v>
      </c>
      <c r="M330" s="1" t="s">
        <v>76</v>
      </c>
      <c r="N330" s="1">
        <v>375</v>
      </c>
    </row>
    <row r="331" spans="1:14" ht="75" x14ac:dyDescent="0.25">
      <c r="A331" s="1"/>
      <c r="B331" s="2" t="s">
        <v>909</v>
      </c>
      <c r="C331" s="38">
        <v>42436</v>
      </c>
      <c r="D331" s="2" t="s">
        <v>79</v>
      </c>
      <c r="E331" s="2" t="s">
        <v>80</v>
      </c>
      <c r="F331" s="7" t="s">
        <v>2754</v>
      </c>
      <c r="G331" s="2" t="s">
        <v>213</v>
      </c>
      <c r="H331" s="7" t="s">
        <v>2647</v>
      </c>
      <c r="I331" s="38">
        <v>42437</v>
      </c>
      <c r="J331" s="2" t="s">
        <v>1105</v>
      </c>
      <c r="K331" s="2" t="s">
        <v>41</v>
      </c>
      <c r="L331" s="1" t="s">
        <v>6</v>
      </c>
      <c r="M331" s="1" t="s">
        <v>76</v>
      </c>
      <c r="N331" s="1">
        <v>376</v>
      </c>
    </row>
    <row r="332" spans="1:14" ht="210" x14ac:dyDescent="0.25">
      <c r="A332" s="1"/>
      <c r="B332" s="2" t="s">
        <v>909</v>
      </c>
      <c r="C332" s="38">
        <v>42436</v>
      </c>
      <c r="D332" s="2" t="s">
        <v>256</v>
      </c>
      <c r="E332" s="2" t="s">
        <v>80</v>
      </c>
      <c r="F332" s="7" t="s">
        <v>2755</v>
      </c>
      <c r="G332" s="2" t="s">
        <v>213</v>
      </c>
      <c r="H332" s="7"/>
      <c r="I332" s="38">
        <v>42437</v>
      </c>
      <c r="J332" s="2" t="s">
        <v>1105</v>
      </c>
      <c r="K332" s="2" t="s">
        <v>41</v>
      </c>
      <c r="L332" s="1" t="s">
        <v>6</v>
      </c>
      <c r="M332" s="1" t="s">
        <v>76</v>
      </c>
      <c r="N332" s="1">
        <v>377</v>
      </c>
    </row>
    <row r="333" spans="1:14" ht="105" x14ac:dyDescent="0.25">
      <c r="A333" s="1"/>
      <c r="B333" s="2" t="s">
        <v>909</v>
      </c>
      <c r="C333" s="38">
        <v>42436</v>
      </c>
      <c r="D333" s="2" t="s">
        <v>79</v>
      </c>
      <c r="E333" s="2" t="s">
        <v>275</v>
      </c>
      <c r="F333" s="7" t="s">
        <v>2756</v>
      </c>
      <c r="G333" s="2" t="s">
        <v>213</v>
      </c>
      <c r="H333" s="7" t="s">
        <v>2648</v>
      </c>
      <c r="I333" s="38">
        <v>42437</v>
      </c>
      <c r="J333" s="2" t="s">
        <v>1105</v>
      </c>
      <c r="K333" s="2" t="s">
        <v>41</v>
      </c>
      <c r="L333" s="1" t="s">
        <v>6</v>
      </c>
      <c r="M333" s="1" t="s">
        <v>76</v>
      </c>
      <c r="N333" s="1">
        <v>378</v>
      </c>
    </row>
    <row r="334" spans="1:14" ht="30" x14ac:dyDescent="0.25">
      <c r="A334" s="1"/>
      <c r="B334" s="2" t="s">
        <v>909</v>
      </c>
      <c r="C334" s="38">
        <v>42436</v>
      </c>
      <c r="D334" s="2" t="s">
        <v>256</v>
      </c>
      <c r="E334" s="2" t="s">
        <v>257</v>
      </c>
      <c r="F334" s="7" t="s">
        <v>2757</v>
      </c>
      <c r="G334" s="2" t="s">
        <v>213</v>
      </c>
      <c r="H334" s="7"/>
      <c r="I334" s="38">
        <v>42437</v>
      </c>
      <c r="J334" s="2" t="s">
        <v>1105</v>
      </c>
      <c r="K334" s="2" t="s">
        <v>41</v>
      </c>
      <c r="L334" s="1" t="s">
        <v>6</v>
      </c>
      <c r="M334" s="1" t="s">
        <v>76</v>
      </c>
      <c r="N334" s="1">
        <v>379</v>
      </c>
    </row>
    <row r="335" spans="1:14" x14ac:dyDescent="0.25">
      <c r="A335" s="1"/>
      <c r="B335" s="2" t="s">
        <v>909</v>
      </c>
      <c r="C335" s="38">
        <v>42438</v>
      </c>
      <c r="D335" s="2" t="s">
        <v>256</v>
      </c>
      <c r="E335" s="2" t="s">
        <v>648</v>
      </c>
      <c r="F335" s="7" t="s">
        <v>2758</v>
      </c>
      <c r="G335" s="2" t="s">
        <v>213</v>
      </c>
      <c r="H335" s="7"/>
      <c r="I335" s="38">
        <v>42438</v>
      </c>
      <c r="J335" s="2" t="s">
        <v>1105</v>
      </c>
      <c r="K335" s="2" t="s">
        <v>41</v>
      </c>
      <c r="L335" s="1" t="s">
        <v>6</v>
      </c>
      <c r="M335" s="1" t="s">
        <v>76</v>
      </c>
      <c r="N335" s="1">
        <v>380</v>
      </c>
    </row>
    <row r="336" spans="1:14" x14ac:dyDescent="0.25">
      <c r="A336" s="1"/>
      <c r="B336" s="2" t="s">
        <v>915</v>
      </c>
      <c r="C336" s="38">
        <v>42440</v>
      </c>
      <c r="D336" s="2" t="s">
        <v>79</v>
      </c>
      <c r="E336" s="2" t="s">
        <v>270</v>
      </c>
      <c r="F336" s="7" t="s">
        <v>2649</v>
      </c>
      <c r="G336" s="2" t="s">
        <v>213</v>
      </c>
      <c r="H336" s="7" t="s">
        <v>2650</v>
      </c>
      <c r="I336" s="38">
        <v>42440</v>
      </c>
      <c r="J336" s="2" t="s">
        <v>116</v>
      </c>
      <c r="K336" s="2" t="s">
        <v>116</v>
      </c>
      <c r="L336" s="1" t="s">
        <v>6</v>
      </c>
      <c r="M336" s="1" t="s">
        <v>76</v>
      </c>
      <c r="N336" s="1">
        <v>381</v>
      </c>
    </row>
    <row r="337" spans="1:14" x14ac:dyDescent="0.25">
      <c r="A337" s="1"/>
      <c r="B337" s="2" t="s">
        <v>915</v>
      </c>
      <c r="C337" s="38">
        <v>42440</v>
      </c>
      <c r="D337" s="2" t="s">
        <v>256</v>
      </c>
      <c r="E337" s="2" t="s">
        <v>267</v>
      </c>
      <c r="F337" s="7" t="s">
        <v>2651</v>
      </c>
      <c r="G337" s="2" t="s">
        <v>213</v>
      </c>
      <c r="H337" s="7"/>
      <c r="I337" s="38">
        <v>42440</v>
      </c>
      <c r="J337" s="2" t="s">
        <v>116</v>
      </c>
      <c r="K337" s="2" t="s">
        <v>116</v>
      </c>
      <c r="L337" s="1" t="s">
        <v>6</v>
      </c>
      <c r="M337" s="1" t="s">
        <v>76</v>
      </c>
      <c r="N337" s="1">
        <v>382</v>
      </c>
    </row>
    <row r="338" spans="1:14" ht="45" x14ac:dyDescent="0.25">
      <c r="A338" s="1"/>
      <c r="B338" s="2" t="s">
        <v>915</v>
      </c>
      <c r="C338" s="38">
        <v>42440</v>
      </c>
      <c r="D338" s="2" t="s">
        <v>256</v>
      </c>
      <c r="E338" s="2" t="s">
        <v>77</v>
      </c>
      <c r="F338" s="7" t="s">
        <v>2652</v>
      </c>
      <c r="G338" s="2" t="s">
        <v>213</v>
      </c>
      <c r="H338" s="7"/>
      <c r="I338" s="38">
        <v>42440</v>
      </c>
      <c r="J338" s="2" t="s">
        <v>116</v>
      </c>
      <c r="K338" s="2" t="s">
        <v>116</v>
      </c>
      <c r="L338" s="1" t="s">
        <v>6</v>
      </c>
      <c r="M338" s="1" t="s">
        <v>76</v>
      </c>
      <c r="N338" s="1">
        <v>383</v>
      </c>
    </row>
    <row r="339" spans="1:14" ht="30" x14ac:dyDescent="0.25">
      <c r="A339" s="1"/>
      <c r="B339" s="2" t="s">
        <v>915</v>
      </c>
      <c r="C339" s="38">
        <v>42440</v>
      </c>
      <c r="D339" s="2" t="s">
        <v>256</v>
      </c>
      <c r="E339" s="2" t="s">
        <v>77</v>
      </c>
      <c r="F339" s="7" t="s">
        <v>2653</v>
      </c>
      <c r="G339" s="2" t="s">
        <v>213</v>
      </c>
      <c r="H339" s="7"/>
      <c r="I339" s="38">
        <v>42440</v>
      </c>
      <c r="J339" s="2" t="s">
        <v>116</v>
      </c>
      <c r="K339" s="2" t="s">
        <v>116</v>
      </c>
      <c r="L339" s="1" t="s">
        <v>6</v>
      </c>
      <c r="M339" s="1" t="s">
        <v>76</v>
      </c>
      <c r="N339" s="1">
        <v>384</v>
      </c>
    </row>
    <row r="340" spans="1:14" ht="30" x14ac:dyDescent="0.25">
      <c r="A340" s="1"/>
      <c r="B340" s="2" t="s">
        <v>915</v>
      </c>
      <c r="C340" s="38">
        <v>42440</v>
      </c>
      <c r="D340" s="2" t="s">
        <v>79</v>
      </c>
      <c r="E340" s="2" t="s">
        <v>77</v>
      </c>
      <c r="F340" s="7" t="s">
        <v>2654</v>
      </c>
      <c r="G340" s="2" t="s">
        <v>213</v>
      </c>
      <c r="H340" s="7" t="s">
        <v>2655</v>
      </c>
      <c r="I340" s="38">
        <v>42440</v>
      </c>
      <c r="J340" s="2" t="s">
        <v>116</v>
      </c>
      <c r="K340" s="2" t="s">
        <v>116</v>
      </c>
      <c r="L340" s="1" t="s">
        <v>6</v>
      </c>
      <c r="M340" s="1" t="s">
        <v>76</v>
      </c>
      <c r="N340" s="1">
        <v>385</v>
      </c>
    </row>
    <row r="341" spans="1:14" ht="45" x14ac:dyDescent="0.25">
      <c r="A341" s="1"/>
      <c r="B341" s="2" t="s">
        <v>915</v>
      </c>
      <c r="C341" s="38">
        <v>42440</v>
      </c>
      <c r="D341" s="2" t="s">
        <v>256</v>
      </c>
      <c r="E341" s="2" t="s">
        <v>77</v>
      </c>
      <c r="F341" s="7" t="s">
        <v>2656</v>
      </c>
      <c r="G341" s="2" t="s">
        <v>213</v>
      </c>
      <c r="H341" s="7"/>
      <c r="I341" s="38">
        <v>42440</v>
      </c>
      <c r="J341" s="2" t="s">
        <v>116</v>
      </c>
      <c r="K341" s="2" t="s">
        <v>116</v>
      </c>
      <c r="L341" s="1" t="s">
        <v>6</v>
      </c>
      <c r="M341" s="1" t="s">
        <v>76</v>
      </c>
      <c r="N341" s="1">
        <v>386</v>
      </c>
    </row>
    <row r="342" spans="1:14" x14ac:dyDescent="0.25">
      <c r="A342" s="1"/>
      <c r="B342" s="2" t="s">
        <v>915</v>
      </c>
      <c r="C342" s="38">
        <v>42440</v>
      </c>
      <c r="D342" s="2" t="s">
        <v>79</v>
      </c>
      <c r="E342" s="2" t="s">
        <v>77</v>
      </c>
      <c r="F342" s="7" t="s">
        <v>2657</v>
      </c>
      <c r="G342" s="2" t="s">
        <v>213</v>
      </c>
      <c r="H342" s="7" t="s">
        <v>2658</v>
      </c>
      <c r="I342" s="38">
        <v>42440</v>
      </c>
      <c r="J342" s="2" t="s">
        <v>116</v>
      </c>
      <c r="K342" s="2" t="s">
        <v>116</v>
      </c>
      <c r="L342" s="1" t="s">
        <v>6</v>
      </c>
      <c r="M342" s="1" t="s">
        <v>76</v>
      </c>
      <c r="N342" s="1">
        <v>387</v>
      </c>
    </row>
    <row r="343" spans="1:14" ht="45" x14ac:dyDescent="0.25">
      <c r="A343" s="1"/>
      <c r="B343" s="2" t="s">
        <v>915</v>
      </c>
      <c r="C343" s="38">
        <v>42440</v>
      </c>
      <c r="D343" s="2" t="s">
        <v>79</v>
      </c>
      <c r="E343" s="2" t="s">
        <v>425</v>
      </c>
      <c r="F343" s="7" t="s">
        <v>2659</v>
      </c>
      <c r="G343" s="2" t="s">
        <v>213</v>
      </c>
      <c r="H343" s="7" t="s">
        <v>2660</v>
      </c>
      <c r="I343" s="38">
        <v>42440</v>
      </c>
      <c r="J343" s="2" t="s">
        <v>116</v>
      </c>
      <c r="K343" s="2" t="s">
        <v>116</v>
      </c>
      <c r="L343" s="1" t="s">
        <v>6</v>
      </c>
      <c r="M343" s="1" t="s">
        <v>76</v>
      </c>
      <c r="N343" s="1">
        <v>388</v>
      </c>
    </row>
    <row r="344" spans="1:14" ht="30" x14ac:dyDescent="0.25">
      <c r="A344" s="1"/>
      <c r="B344" s="2" t="s">
        <v>909</v>
      </c>
      <c r="C344" s="38">
        <v>42441</v>
      </c>
      <c r="D344" s="2" t="s">
        <v>256</v>
      </c>
      <c r="E344" s="2" t="s">
        <v>2640</v>
      </c>
      <c r="F344" s="7" t="s">
        <v>2759</v>
      </c>
      <c r="G344" s="2" t="s">
        <v>213</v>
      </c>
      <c r="H344" s="7"/>
      <c r="I344" s="38">
        <v>42441</v>
      </c>
      <c r="J344" s="2" t="s">
        <v>1105</v>
      </c>
      <c r="K344" s="2" t="s">
        <v>41</v>
      </c>
      <c r="L344" s="1" t="s">
        <v>6</v>
      </c>
      <c r="M344" s="1" t="s">
        <v>76</v>
      </c>
      <c r="N344" s="1">
        <v>390</v>
      </c>
    </row>
    <row r="345" spans="1:14" x14ac:dyDescent="0.25">
      <c r="A345" s="1"/>
      <c r="B345" s="2" t="s">
        <v>909</v>
      </c>
      <c r="C345" s="38">
        <v>42441</v>
      </c>
      <c r="D345" s="2" t="s">
        <v>75</v>
      </c>
      <c r="E345" s="2" t="s">
        <v>77</v>
      </c>
      <c r="F345" s="7" t="s">
        <v>2661</v>
      </c>
      <c r="G345" s="2" t="s">
        <v>213</v>
      </c>
      <c r="H345" s="7" t="s">
        <v>2662</v>
      </c>
      <c r="I345" s="38">
        <v>42444</v>
      </c>
      <c r="J345" s="2" t="s">
        <v>1105</v>
      </c>
      <c r="K345" s="2" t="s">
        <v>41</v>
      </c>
      <c r="L345" s="1" t="s">
        <v>6</v>
      </c>
      <c r="M345" s="1" t="s">
        <v>76</v>
      </c>
      <c r="N345" s="1">
        <v>391</v>
      </c>
    </row>
    <row r="346" spans="1:14" ht="30" x14ac:dyDescent="0.25">
      <c r="A346" s="1"/>
      <c r="B346" s="2" t="s">
        <v>909</v>
      </c>
      <c r="C346" s="38">
        <v>42441</v>
      </c>
      <c r="D346" s="2" t="s">
        <v>75</v>
      </c>
      <c r="E346" s="2" t="s">
        <v>257</v>
      </c>
      <c r="F346" s="7" t="s">
        <v>2663</v>
      </c>
      <c r="G346" s="2" t="s">
        <v>213</v>
      </c>
      <c r="H346" s="7" t="s">
        <v>2760</v>
      </c>
      <c r="I346" s="38">
        <v>42444</v>
      </c>
      <c r="J346" s="2" t="s">
        <v>1105</v>
      </c>
      <c r="K346" s="2" t="s">
        <v>41</v>
      </c>
      <c r="L346" s="1" t="s">
        <v>6</v>
      </c>
      <c r="M346" s="1" t="s">
        <v>76</v>
      </c>
      <c r="N346" s="1">
        <v>392</v>
      </c>
    </row>
    <row r="347" spans="1:14" ht="30" x14ac:dyDescent="0.25">
      <c r="A347" s="1"/>
      <c r="B347" s="2" t="s">
        <v>697</v>
      </c>
      <c r="C347" s="38">
        <v>42443</v>
      </c>
      <c r="D347" s="2" t="s">
        <v>256</v>
      </c>
      <c r="E347" s="2" t="s">
        <v>80</v>
      </c>
      <c r="F347" s="7" t="s">
        <v>2761</v>
      </c>
      <c r="G347" s="2" t="s">
        <v>213</v>
      </c>
      <c r="H347" s="7"/>
      <c r="I347" s="38">
        <v>42443</v>
      </c>
      <c r="J347" s="2" t="s">
        <v>116</v>
      </c>
      <c r="K347" s="2" t="s">
        <v>124</v>
      </c>
      <c r="L347" s="1" t="s">
        <v>6</v>
      </c>
      <c r="M347" s="1" t="s">
        <v>76</v>
      </c>
      <c r="N347" s="1">
        <v>397</v>
      </c>
    </row>
    <row r="348" spans="1:14" ht="30" x14ac:dyDescent="0.25">
      <c r="A348" s="1"/>
      <c r="B348" s="2" t="s">
        <v>697</v>
      </c>
      <c r="C348" s="38">
        <v>42443</v>
      </c>
      <c r="D348" s="2" t="s">
        <v>256</v>
      </c>
      <c r="E348" s="2" t="s">
        <v>279</v>
      </c>
      <c r="F348" s="7" t="s">
        <v>2762</v>
      </c>
      <c r="G348" s="2" t="s">
        <v>213</v>
      </c>
      <c r="H348" s="7"/>
      <c r="I348" s="38">
        <v>42443</v>
      </c>
      <c r="J348" s="2" t="s">
        <v>116</v>
      </c>
      <c r="K348" s="2" t="s">
        <v>124</v>
      </c>
      <c r="L348" s="1" t="s">
        <v>6</v>
      </c>
      <c r="M348" s="1" t="s">
        <v>76</v>
      </c>
      <c r="N348" s="1">
        <v>398</v>
      </c>
    </row>
    <row r="349" spans="1:14" ht="30" x14ac:dyDescent="0.25">
      <c r="A349" s="1"/>
      <c r="B349" s="2" t="s">
        <v>697</v>
      </c>
      <c r="C349" s="38">
        <v>42443</v>
      </c>
      <c r="D349" s="2" t="s">
        <v>256</v>
      </c>
      <c r="E349" s="2" t="s">
        <v>257</v>
      </c>
      <c r="F349" s="7" t="s">
        <v>2763</v>
      </c>
      <c r="G349" s="2" t="s">
        <v>213</v>
      </c>
      <c r="H349" s="7"/>
      <c r="I349" s="38">
        <v>42443</v>
      </c>
      <c r="J349" s="2" t="s">
        <v>116</v>
      </c>
      <c r="K349" s="2" t="s">
        <v>124</v>
      </c>
      <c r="L349" s="1" t="s">
        <v>6</v>
      </c>
      <c r="M349" s="1" t="s">
        <v>76</v>
      </c>
      <c r="N349" s="1">
        <v>399</v>
      </c>
    </row>
    <row r="350" spans="1:14" x14ac:dyDescent="0.25">
      <c r="A350" s="1"/>
      <c r="B350" s="2" t="s">
        <v>697</v>
      </c>
      <c r="C350" s="38">
        <v>42443</v>
      </c>
      <c r="D350" s="2" t="s">
        <v>79</v>
      </c>
      <c r="E350" s="2" t="s">
        <v>279</v>
      </c>
      <c r="F350" s="7" t="s">
        <v>2664</v>
      </c>
      <c r="G350" s="2" t="s">
        <v>213</v>
      </c>
      <c r="H350" s="7" t="s">
        <v>2665</v>
      </c>
      <c r="I350" s="38">
        <v>42445</v>
      </c>
      <c r="J350" s="2" t="s">
        <v>116</v>
      </c>
      <c r="K350" s="2" t="s">
        <v>124</v>
      </c>
      <c r="L350" s="1" t="s">
        <v>6</v>
      </c>
      <c r="M350" s="1" t="s">
        <v>76</v>
      </c>
      <c r="N350" s="1">
        <v>400</v>
      </c>
    </row>
    <row r="351" spans="1:14" ht="30" x14ac:dyDescent="0.25">
      <c r="A351" s="1"/>
      <c r="B351" s="2" t="s">
        <v>697</v>
      </c>
      <c r="C351" s="38">
        <v>42443</v>
      </c>
      <c r="D351" s="2" t="s">
        <v>79</v>
      </c>
      <c r="E351" s="2" t="s">
        <v>279</v>
      </c>
      <c r="F351" s="7" t="s">
        <v>2764</v>
      </c>
      <c r="G351" s="2" t="s">
        <v>213</v>
      </c>
      <c r="H351" s="7" t="s">
        <v>2666</v>
      </c>
      <c r="I351" s="38">
        <v>42445</v>
      </c>
      <c r="J351" s="2" t="s">
        <v>116</v>
      </c>
      <c r="K351" s="2" t="s">
        <v>124</v>
      </c>
      <c r="L351" s="1" t="s">
        <v>6</v>
      </c>
      <c r="M351" s="1" t="s">
        <v>76</v>
      </c>
      <c r="N351" s="1">
        <v>401</v>
      </c>
    </row>
    <row r="352" spans="1:14" ht="30" x14ac:dyDescent="0.25">
      <c r="A352" s="1"/>
      <c r="B352" s="2" t="s">
        <v>697</v>
      </c>
      <c r="C352" s="38">
        <v>42443</v>
      </c>
      <c r="D352" s="2" t="s">
        <v>256</v>
      </c>
      <c r="E352" s="2" t="s">
        <v>267</v>
      </c>
      <c r="F352" s="7" t="s">
        <v>2667</v>
      </c>
      <c r="G352" s="2" t="s">
        <v>213</v>
      </c>
      <c r="H352" s="7"/>
      <c r="I352" s="38">
        <v>42443</v>
      </c>
      <c r="J352" s="2" t="s">
        <v>116</v>
      </c>
      <c r="K352" s="2" t="s">
        <v>124</v>
      </c>
      <c r="L352" s="1" t="s">
        <v>6</v>
      </c>
      <c r="M352" s="1" t="s">
        <v>76</v>
      </c>
      <c r="N352" s="1">
        <v>402</v>
      </c>
    </row>
    <row r="353" spans="1:14" x14ac:dyDescent="0.25">
      <c r="A353" s="1"/>
      <c r="B353" s="2" t="s">
        <v>697</v>
      </c>
      <c r="C353" s="38">
        <v>42443</v>
      </c>
      <c r="D353" s="2" t="s">
        <v>256</v>
      </c>
      <c r="E353" s="2" t="s">
        <v>270</v>
      </c>
      <c r="F353" s="7" t="s">
        <v>2668</v>
      </c>
      <c r="G353" s="2" t="s">
        <v>213</v>
      </c>
      <c r="H353" s="7"/>
      <c r="I353" s="38">
        <v>42443</v>
      </c>
      <c r="J353" s="2" t="s">
        <v>116</v>
      </c>
      <c r="K353" s="2" t="s">
        <v>124</v>
      </c>
      <c r="L353" s="1" t="s">
        <v>6</v>
      </c>
      <c r="M353" s="1" t="s">
        <v>76</v>
      </c>
      <c r="N353" s="1">
        <v>403</v>
      </c>
    </row>
    <row r="354" spans="1:14" ht="30" x14ac:dyDescent="0.25">
      <c r="A354" s="1"/>
      <c r="B354" s="2" t="s">
        <v>697</v>
      </c>
      <c r="C354" s="38">
        <v>42443</v>
      </c>
      <c r="D354" s="2" t="s">
        <v>75</v>
      </c>
      <c r="E354" s="2" t="s">
        <v>269</v>
      </c>
      <c r="F354" s="7" t="s">
        <v>2669</v>
      </c>
      <c r="G354" s="2" t="s">
        <v>213</v>
      </c>
      <c r="H354" s="7" t="s">
        <v>2670</v>
      </c>
      <c r="I354" s="38">
        <v>42445</v>
      </c>
      <c r="J354" s="2" t="s">
        <v>116</v>
      </c>
      <c r="K354" s="2" t="s">
        <v>124</v>
      </c>
      <c r="L354" s="1" t="s">
        <v>6</v>
      </c>
      <c r="M354" s="1" t="s">
        <v>76</v>
      </c>
      <c r="N354" s="1">
        <v>404</v>
      </c>
    </row>
    <row r="355" spans="1:14" x14ac:dyDescent="0.25">
      <c r="A355" s="1"/>
      <c r="B355" s="2" t="s">
        <v>697</v>
      </c>
      <c r="C355" s="38">
        <v>42443</v>
      </c>
      <c r="D355" s="2" t="s">
        <v>256</v>
      </c>
      <c r="E355" s="2" t="s">
        <v>270</v>
      </c>
      <c r="F355" s="7" t="s">
        <v>2671</v>
      </c>
      <c r="G355" s="2" t="s">
        <v>213</v>
      </c>
      <c r="H355" s="7"/>
      <c r="I355" s="38">
        <v>42443</v>
      </c>
      <c r="J355" s="2" t="s">
        <v>116</v>
      </c>
      <c r="K355" s="2" t="s">
        <v>124</v>
      </c>
      <c r="L355" s="1" t="s">
        <v>6</v>
      </c>
      <c r="M355" s="1" t="s">
        <v>76</v>
      </c>
      <c r="N355" s="1">
        <v>405</v>
      </c>
    </row>
    <row r="356" spans="1:14" ht="30" x14ac:dyDescent="0.25">
      <c r="A356" s="1"/>
      <c r="B356" s="2" t="s">
        <v>697</v>
      </c>
      <c r="C356" s="38">
        <v>42443</v>
      </c>
      <c r="D356" s="2" t="s">
        <v>79</v>
      </c>
      <c r="E356" s="2" t="s">
        <v>279</v>
      </c>
      <c r="F356" s="7" t="s">
        <v>2672</v>
      </c>
      <c r="G356" s="2" t="s">
        <v>213</v>
      </c>
      <c r="H356" s="7" t="s">
        <v>2765</v>
      </c>
      <c r="I356" s="38">
        <v>42445</v>
      </c>
      <c r="J356" s="2" t="s">
        <v>116</v>
      </c>
      <c r="K356" s="2" t="s">
        <v>124</v>
      </c>
      <c r="L356" s="1" t="s">
        <v>6</v>
      </c>
      <c r="M356" s="1" t="s">
        <v>76</v>
      </c>
      <c r="N356" s="1">
        <v>406</v>
      </c>
    </row>
    <row r="357" spans="1:14" ht="30" x14ac:dyDescent="0.25">
      <c r="A357" s="1"/>
      <c r="B357" s="2" t="s">
        <v>697</v>
      </c>
      <c r="C357" s="38">
        <v>42443</v>
      </c>
      <c r="D357" s="2" t="s">
        <v>256</v>
      </c>
      <c r="E357" s="2" t="s">
        <v>267</v>
      </c>
      <c r="F357" s="7" t="s">
        <v>2673</v>
      </c>
      <c r="G357" s="2" t="s">
        <v>213</v>
      </c>
      <c r="H357" s="7"/>
      <c r="I357" s="38">
        <v>42443</v>
      </c>
      <c r="J357" s="2" t="s">
        <v>116</v>
      </c>
      <c r="K357" s="2" t="s">
        <v>124</v>
      </c>
      <c r="L357" s="1" t="s">
        <v>6</v>
      </c>
      <c r="M357" s="1" t="s">
        <v>76</v>
      </c>
      <c r="N357" s="1">
        <v>408</v>
      </c>
    </row>
    <row r="358" spans="1:14" ht="30" x14ac:dyDescent="0.25">
      <c r="A358" s="1"/>
      <c r="B358" s="2" t="s">
        <v>697</v>
      </c>
      <c r="C358" s="38">
        <v>42443</v>
      </c>
      <c r="D358" s="2" t="s">
        <v>256</v>
      </c>
      <c r="E358" s="2" t="s">
        <v>77</v>
      </c>
      <c r="F358" s="7" t="s">
        <v>2766</v>
      </c>
      <c r="G358" s="2" t="s">
        <v>213</v>
      </c>
      <c r="H358" s="7"/>
      <c r="I358" s="38">
        <v>42443</v>
      </c>
      <c r="J358" s="2" t="s">
        <v>116</v>
      </c>
      <c r="K358" s="2" t="s">
        <v>124</v>
      </c>
      <c r="L358" s="1" t="s">
        <v>6</v>
      </c>
      <c r="M358" s="1" t="s">
        <v>76</v>
      </c>
      <c r="N358" s="1">
        <v>409</v>
      </c>
    </row>
    <row r="359" spans="1:14" ht="45" x14ac:dyDescent="0.25">
      <c r="A359" s="1"/>
      <c r="B359" s="2" t="s">
        <v>909</v>
      </c>
      <c r="C359" s="38">
        <v>42444</v>
      </c>
      <c r="D359" s="2" t="s">
        <v>79</v>
      </c>
      <c r="E359" s="2" t="s">
        <v>77</v>
      </c>
      <c r="F359" s="7" t="s">
        <v>2767</v>
      </c>
      <c r="G359" s="2" t="s">
        <v>213</v>
      </c>
      <c r="H359" s="7" t="s">
        <v>2674</v>
      </c>
      <c r="I359" s="38">
        <v>42444</v>
      </c>
      <c r="J359" s="2" t="s">
        <v>1105</v>
      </c>
      <c r="K359" s="2" t="s">
        <v>41</v>
      </c>
      <c r="L359" s="1" t="s">
        <v>6</v>
      </c>
      <c r="M359" s="1" t="s">
        <v>76</v>
      </c>
      <c r="N359" s="1">
        <v>410</v>
      </c>
    </row>
    <row r="360" spans="1:14" x14ac:dyDescent="0.25">
      <c r="A360" s="1"/>
      <c r="B360" s="2" t="s">
        <v>909</v>
      </c>
      <c r="C360" s="38">
        <v>42444</v>
      </c>
      <c r="D360" s="2" t="s">
        <v>79</v>
      </c>
      <c r="E360" s="2" t="s">
        <v>257</v>
      </c>
      <c r="F360" s="7" t="s">
        <v>2768</v>
      </c>
      <c r="G360" s="2" t="s">
        <v>213</v>
      </c>
      <c r="H360" s="7" t="s">
        <v>2675</v>
      </c>
      <c r="I360" s="38">
        <v>42444</v>
      </c>
      <c r="J360" s="2" t="s">
        <v>1105</v>
      </c>
      <c r="K360" s="2" t="s">
        <v>41</v>
      </c>
      <c r="L360" s="1" t="s">
        <v>6</v>
      </c>
      <c r="M360" s="1" t="s">
        <v>76</v>
      </c>
      <c r="N360" s="1">
        <v>411</v>
      </c>
    </row>
    <row r="361" spans="1:14" ht="30" x14ac:dyDescent="0.25">
      <c r="A361" s="1"/>
      <c r="B361" s="2" t="s">
        <v>697</v>
      </c>
      <c r="C361" s="38">
        <v>42445</v>
      </c>
      <c r="D361" s="2" t="s">
        <v>256</v>
      </c>
      <c r="E361" s="2" t="s">
        <v>309</v>
      </c>
      <c r="F361" s="7" t="s">
        <v>2769</v>
      </c>
      <c r="G361" s="2" t="s">
        <v>213</v>
      </c>
      <c r="H361" s="7"/>
      <c r="I361" s="38">
        <v>42445</v>
      </c>
      <c r="J361" s="2" t="s">
        <v>116</v>
      </c>
      <c r="K361" s="2" t="s">
        <v>124</v>
      </c>
      <c r="L361" s="1" t="s">
        <v>6</v>
      </c>
      <c r="M361" s="1" t="s">
        <v>76</v>
      </c>
      <c r="N361" s="1">
        <v>412</v>
      </c>
    </row>
    <row r="362" spans="1:14" ht="30" x14ac:dyDescent="0.25">
      <c r="A362" s="1"/>
      <c r="B362" s="2" t="s">
        <v>911</v>
      </c>
      <c r="C362" s="38">
        <v>42445</v>
      </c>
      <c r="D362" s="2" t="s">
        <v>256</v>
      </c>
      <c r="E362" s="2" t="s">
        <v>415</v>
      </c>
      <c r="F362" s="7" t="s">
        <v>2770</v>
      </c>
      <c r="G362" s="2" t="s">
        <v>213</v>
      </c>
      <c r="H362" s="7"/>
      <c r="I362" s="38">
        <v>42445</v>
      </c>
      <c r="J362" s="2" t="s">
        <v>116</v>
      </c>
      <c r="K362" s="2" t="s">
        <v>41</v>
      </c>
      <c r="L362" s="1" t="s">
        <v>6</v>
      </c>
      <c r="M362" s="1" t="s">
        <v>76</v>
      </c>
      <c r="N362" s="1">
        <v>413</v>
      </c>
    </row>
    <row r="363" spans="1:14" ht="45" x14ac:dyDescent="0.25">
      <c r="A363" s="1"/>
      <c r="B363" s="2" t="s">
        <v>911</v>
      </c>
      <c r="C363" s="38">
        <v>42445</v>
      </c>
      <c r="D363" s="2" t="s">
        <v>256</v>
      </c>
      <c r="E363" s="2" t="s">
        <v>415</v>
      </c>
      <c r="F363" s="7" t="s">
        <v>2771</v>
      </c>
      <c r="G363" s="2" t="s">
        <v>213</v>
      </c>
      <c r="H363" s="7"/>
      <c r="I363" s="38">
        <v>42445</v>
      </c>
      <c r="J363" s="2" t="s">
        <v>116</v>
      </c>
      <c r="K363" s="2" t="s">
        <v>41</v>
      </c>
      <c r="L363" s="1" t="s">
        <v>6</v>
      </c>
      <c r="M363" s="1" t="s">
        <v>76</v>
      </c>
      <c r="N363" s="1">
        <v>414</v>
      </c>
    </row>
    <row r="364" spans="1:14" ht="30" x14ac:dyDescent="0.25">
      <c r="A364" s="1"/>
      <c r="B364" s="2" t="s">
        <v>911</v>
      </c>
      <c r="C364" s="38">
        <v>42445</v>
      </c>
      <c r="D364" s="2" t="s">
        <v>79</v>
      </c>
      <c r="E364" s="2" t="s">
        <v>267</v>
      </c>
      <c r="F364" s="7" t="s">
        <v>2772</v>
      </c>
      <c r="G364" s="2" t="s">
        <v>213</v>
      </c>
      <c r="H364" s="7" t="s">
        <v>2676</v>
      </c>
      <c r="I364" s="38">
        <v>42446</v>
      </c>
      <c r="J364" s="2" t="s">
        <v>116</v>
      </c>
      <c r="K364" s="2" t="s">
        <v>41</v>
      </c>
      <c r="L364" s="1" t="s">
        <v>6</v>
      </c>
      <c r="M364" s="1" t="s">
        <v>76</v>
      </c>
      <c r="N364" s="1">
        <v>415</v>
      </c>
    </row>
    <row r="365" spans="1:14" ht="30" x14ac:dyDescent="0.25">
      <c r="A365" s="1"/>
      <c r="B365" s="2" t="s">
        <v>911</v>
      </c>
      <c r="C365" s="38">
        <v>42445</v>
      </c>
      <c r="D365" s="2" t="s">
        <v>75</v>
      </c>
      <c r="E365" s="2" t="s">
        <v>485</v>
      </c>
      <c r="F365" s="7" t="s">
        <v>2773</v>
      </c>
      <c r="G365" s="2" t="s">
        <v>213</v>
      </c>
      <c r="H365" s="7" t="s">
        <v>2774</v>
      </c>
      <c r="I365" s="38">
        <v>42446</v>
      </c>
      <c r="J365" s="2" t="s">
        <v>116</v>
      </c>
      <c r="K365" s="2" t="s">
        <v>41</v>
      </c>
      <c r="L365" s="1" t="s">
        <v>6</v>
      </c>
      <c r="M365" s="1" t="s">
        <v>76</v>
      </c>
      <c r="N365" s="1">
        <v>416</v>
      </c>
    </row>
    <row r="366" spans="1:14" x14ac:dyDescent="0.25">
      <c r="A366" s="1"/>
      <c r="B366" s="2" t="s">
        <v>911</v>
      </c>
      <c r="C366" s="38">
        <v>42445</v>
      </c>
      <c r="D366" s="2" t="s">
        <v>79</v>
      </c>
      <c r="E366" s="2" t="s">
        <v>77</v>
      </c>
      <c r="F366" s="7" t="s">
        <v>2775</v>
      </c>
      <c r="G366" s="2" t="s">
        <v>213</v>
      </c>
      <c r="H366" s="7" t="s">
        <v>2677</v>
      </c>
      <c r="I366" s="38">
        <v>42446</v>
      </c>
      <c r="J366" s="2" t="s">
        <v>116</v>
      </c>
      <c r="K366" s="2" t="s">
        <v>41</v>
      </c>
      <c r="L366" s="1" t="s">
        <v>6</v>
      </c>
      <c r="M366" s="1" t="s">
        <v>76</v>
      </c>
      <c r="N366" s="1">
        <v>417</v>
      </c>
    </row>
    <row r="367" spans="1:14" ht="30" x14ac:dyDescent="0.25">
      <c r="A367" s="1"/>
      <c r="B367" s="2" t="s">
        <v>913</v>
      </c>
      <c r="C367" s="38">
        <v>42446</v>
      </c>
      <c r="D367" s="2" t="s">
        <v>79</v>
      </c>
      <c r="E367" s="2" t="s">
        <v>275</v>
      </c>
      <c r="F367" s="7" t="s">
        <v>2776</v>
      </c>
      <c r="G367" s="2" t="s">
        <v>213</v>
      </c>
      <c r="H367" s="7" t="s">
        <v>2678</v>
      </c>
      <c r="I367" s="38">
        <v>42446</v>
      </c>
      <c r="J367" s="2" t="s">
        <v>1105</v>
      </c>
      <c r="K367" s="2" t="s">
        <v>36</v>
      </c>
      <c r="L367" s="1" t="s">
        <v>6</v>
      </c>
      <c r="M367" s="1" t="s">
        <v>76</v>
      </c>
      <c r="N367" s="1">
        <v>418</v>
      </c>
    </row>
    <row r="368" spans="1:14" ht="105" x14ac:dyDescent="0.25">
      <c r="A368" s="1"/>
      <c r="B368" s="2" t="s">
        <v>913</v>
      </c>
      <c r="C368" s="38">
        <v>42446</v>
      </c>
      <c r="D368" s="2" t="s">
        <v>79</v>
      </c>
      <c r="E368" s="2" t="s">
        <v>80</v>
      </c>
      <c r="F368" s="7" t="s">
        <v>2777</v>
      </c>
      <c r="G368" s="2" t="s">
        <v>213</v>
      </c>
      <c r="H368" s="7" t="s">
        <v>2679</v>
      </c>
      <c r="I368" s="38">
        <v>42446</v>
      </c>
      <c r="J368" s="2" t="s">
        <v>1105</v>
      </c>
      <c r="K368" s="2" t="s">
        <v>36</v>
      </c>
      <c r="L368" s="1" t="s">
        <v>6</v>
      </c>
      <c r="M368" s="1" t="s">
        <v>76</v>
      </c>
      <c r="N368" s="1">
        <v>419</v>
      </c>
    </row>
    <row r="369" spans="1:14" ht="45" x14ac:dyDescent="0.25">
      <c r="A369" s="1"/>
      <c r="B369" s="2" t="s">
        <v>913</v>
      </c>
      <c r="C369" s="38">
        <v>42446</v>
      </c>
      <c r="D369" s="2" t="s">
        <v>79</v>
      </c>
      <c r="E369" s="2" t="s">
        <v>279</v>
      </c>
      <c r="F369" s="7" t="s">
        <v>2778</v>
      </c>
      <c r="G369" s="2" t="s">
        <v>213</v>
      </c>
      <c r="H369" s="7" t="s">
        <v>2680</v>
      </c>
      <c r="I369" s="38">
        <v>42446</v>
      </c>
      <c r="J369" s="2" t="s">
        <v>1105</v>
      </c>
      <c r="K369" s="2" t="s">
        <v>36</v>
      </c>
      <c r="L369" s="1" t="s">
        <v>6</v>
      </c>
      <c r="M369" s="1" t="s">
        <v>76</v>
      </c>
      <c r="N369" s="1">
        <v>420</v>
      </c>
    </row>
    <row r="370" spans="1:14" ht="30" x14ac:dyDescent="0.25">
      <c r="A370" s="1"/>
      <c r="B370" s="2" t="s">
        <v>913</v>
      </c>
      <c r="C370" s="38">
        <v>42446</v>
      </c>
      <c r="D370" s="2" t="s">
        <v>75</v>
      </c>
      <c r="E370" s="2" t="s">
        <v>279</v>
      </c>
      <c r="F370" s="7" t="s">
        <v>2779</v>
      </c>
      <c r="G370" s="2" t="s">
        <v>213</v>
      </c>
      <c r="H370" s="7" t="s">
        <v>2681</v>
      </c>
      <c r="I370" s="38">
        <v>42446</v>
      </c>
      <c r="J370" s="2" t="s">
        <v>1105</v>
      </c>
      <c r="K370" s="2" t="s">
        <v>36</v>
      </c>
      <c r="L370" s="1" t="s">
        <v>6</v>
      </c>
      <c r="M370" s="1" t="s">
        <v>76</v>
      </c>
      <c r="N370" s="1">
        <v>421</v>
      </c>
    </row>
    <row r="371" spans="1:14" ht="30" x14ac:dyDescent="0.25">
      <c r="A371" s="1"/>
      <c r="B371" s="2" t="s">
        <v>913</v>
      </c>
      <c r="C371" s="38">
        <v>42446</v>
      </c>
      <c r="D371" s="2" t="s">
        <v>256</v>
      </c>
      <c r="E371" s="2" t="s">
        <v>275</v>
      </c>
      <c r="F371" s="7" t="s">
        <v>2780</v>
      </c>
      <c r="G371" s="2" t="s">
        <v>213</v>
      </c>
      <c r="H371" s="7"/>
      <c r="I371" s="38">
        <v>42446</v>
      </c>
      <c r="J371" s="2" t="s">
        <v>1105</v>
      </c>
      <c r="K371" s="2" t="s">
        <v>41</v>
      </c>
      <c r="L371" s="1" t="s">
        <v>6</v>
      </c>
      <c r="M371" s="1" t="s">
        <v>76</v>
      </c>
      <c r="N371" s="1">
        <v>422</v>
      </c>
    </row>
    <row r="372" spans="1:14" x14ac:dyDescent="0.25">
      <c r="A372" s="1"/>
      <c r="B372" s="2" t="s">
        <v>911</v>
      </c>
      <c r="C372" s="38">
        <v>42446</v>
      </c>
      <c r="D372" s="2" t="s">
        <v>256</v>
      </c>
      <c r="E372" s="2" t="s">
        <v>309</v>
      </c>
      <c r="F372" s="7" t="s">
        <v>2682</v>
      </c>
      <c r="G372" s="2" t="s">
        <v>213</v>
      </c>
      <c r="H372" s="7"/>
      <c r="I372" s="38">
        <v>42446</v>
      </c>
      <c r="J372" s="2" t="s">
        <v>116</v>
      </c>
      <c r="K372" s="2" t="s">
        <v>41</v>
      </c>
      <c r="L372" s="1" t="s">
        <v>6</v>
      </c>
      <c r="M372" s="1" t="s">
        <v>76</v>
      </c>
      <c r="N372" s="1">
        <v>423</v>
      </c>
    </row>
    <row r="373" spans="1:14" x14ac:dyDescent="0.25">
      <c r="A373" s="1"/>
      <c r="B373" s="2" t="s">
        <v>913</v>
      </c>
      <c r="C373" s="38">
        <v>42446</v>
      </c>
      <c r="D373" s="2" t="s">
        <v>79</v>
      </c>
      <c r="E373" s="2" t="s">
        <v>309</v>
      </c>
      <c r="F373" s="7" t="s">
        <v>2781</v>
      </c>
      <c r="G373" s="2" t="s">
        <v>213</v>
      </c>
      <c r="H373" s="7" t="s">
        <v>2782</v>
      </c>
      <c r="I373" s="38">
        <v>42446</v>
      </c>
      <c r="J373" s="2" t="s">
        <v>1105</v>
      </c>
      <c r="K373" s="2" t="s">
        <v>36</v>
      </c>
      <c r="L373" s="1" t="s">
        <v>6</v>
      </c>
      <c r="M373" s="1" t="s">
        <v>76</v>
      </c>
      <c r="N373" s="1">
        <v>424</v>
      </c>
    </row>
    <row r="374" spans="1:14" ht="45" x14ac:dyDescent="0.25">
      <c r="A374" s="1"/>
      <c r="B374" s="2" t="s">
        <v>913</v>
      </c>
      <c r="C374" s="38">
        <v>42450</v>
      </c>
      <c r="D374" s="2" t="s">
        <v>79</v>
      </c>
      <c r="E374" s="2" t="s">
        <v>80</v>
      </c>
      <c r="F374" s="7" t="s">
        <v>2843</v>
      </c>
      <c r="G374" s="2" t="s">
        <v>213</v>
      </c>
      <c r="H374" s="7" t="s">
        <v>2838</v>
      </c>
      <c r="I374" s="38">
        <v>42450</v>
      </c>
      <c r="J374" s="2" t="s">
        <v>1105</v>
      </c>
      <c r="K374" s="2" t="s">
        <v>36</v>
      </c>
      <c r="L374" s="1" t="s">
        <v>6</v>
      </c>
      <c r="M374" s="1" t="s">
        <v>76</v>
      </c>
      <c r="N374" s="1">
        <v>425</v>
      </c>
    </row>
    <row r="375" spans="1:14" ht="45" x14ac:dyDescent="0.25">
      <c r="A375" s="1"/>
      <c r="B375" s="2" t="s">
        <v>913</v>
      </c>
      <c r="C375" s="38">
        <v>42450</v>
      </c>
      <c r="D375" s="2" t="s">
        <v>79</v>
      </c>
      <c r="E375" s="2" t="s">
        <v>2640</v>
      </c>
      <c r="F375" s="7" t="s">
        <v>2844</v>
      </c>
      <c r="G375" s="2" t="s">
        <v>213</v>
      </c>
      <c r="H375" s="7" t="s">
        <v>2839</v>
      </c>
      <c r="I375" s="38">
        <v>42450</v>
      </c>
      <c r="J375" s="2" t="s">
        <v>1105</v>
      </c>
      <c r="K375" s="2" t="s">
        <v>36</v>
      </c>
      <c r="L375" s="1" t="s">
        <v>6</v>
      </c>
      <c r="M375" s="1" t="s">
        <v>76</v>
      </c>
      <c r="N375" s="1">
        <v>426</v>
      </c>
    </row>
    <row r="376" spans="1:14" ht="120" x14ac:dyDescent="0.25">
      <c r="A376" s="1"/>
      <c r="B376" s="2" t="s">
        <v>913</v>
      </c>
      <c r="C376" s="38">
        <v>42450</v>
      </c>
      <c r="D376" s="2" t="s">
        <v>75</v>
      </c>
      <c r="E376" s="2" t="s">
        <v>275</v>
      </c>
      <c r="F376" s="7" t="s">
        <v>2845</v>
      </c>
      <c r="G376" s="2" t="s">
        <v>213</v>
      </c>
      <c r="H376" s="7" t="s">
        <v>2846</v>
      </c>
      <c r="I376" s="38">
        <v>42450</v>
      </c>
      <c r="J376" s="2" t="s">
        <v>1105</v>
      </c>
      <c r="K376" s="2" t="s">
        <v>36</v>
      </c>
      <c r="L376" s="1" t="s">
        <v>6</v>
      </c>
      <c r="M376" s="1" t="s">
        <v>76</v>
      </c>
      <c r="N376" s="1">
        <v>427</v>
      </c>
    </row>
    <row r="377" spans="1:14" ht="60" x14ac:dyDescent="0.25">
      <c r="A377" s="1"/>
      <c r="B377" s="2" t="s">
        <v>913</v>
      </c>
      <c r="C377" s="38">
        <v>42450</v>
      </c>
      <c r="D377" s="2" t="s">
        <v>79</v>
      </c>
      <c r="E377" s="2" t="s">
        <v>80</v>
      </c>
      <c r="F377" s="7" t="s">
        <v>2847</v>
      </c>
      <c r="G377" s="2" t="s">
        <v>213</v>
      </c>
      <c r="H377" s="7" t="s">
        <v>2840</v>
      </c>
      <c r="I377" s="38">
        <v>42450</v>
      </c>
      <c r="J377" s="2" t="s">
        <v>1105</v>
      </c>
      <c r="K377" s="2" t="s">
        <v>36</v>
      </c>
      <c r="L377" s="1" t="s">
        <v>6</v>
      </c>
      <c r="M377" s="1" t="s">
        <v>76</v>
      </c>
      <c r="N377" s="1">
        <v>428</v>
      </c>
    </row>
    <row r="378" spans="1:14" ht="45" x14ac:dyDescent="0.25">
      <c r="A378" s="1"/>
      <c r="B378" s="2" t="s">
        <v>913</v>
      </c>
      <c r="C378" s="38">
        <v>42450</v>
      </c>
      <c r="D378" s="2" t="s">
        <v>79</v>
      </c>
      <c r="E378" s="2" t="s">
        <v>77</v>
      </c>
      <c r="F378" s="7" t="s">
        <v>2848</v>
      </c>
      <c r="G378" s="2" t="s">
        <v>213</v>
      </c>
      <c r="H378" s="7" t="s">
        <v>2841</v>
      </c>
      <c r="I378" s="38">
        <v>42450</v>
      </c>
      <c r="J378" s="2" t="s">
        <v>1105</v>
      </c>
      <c r="K378" s="2" t="s">
        <v>36</v>
      </c>
      <c r="L378" s="1" t="s">
        <v>6</v>
      </c>
      <c r="M378" s="1" t="s">
        <v>76</v>
      </c>
      <c r="N378" s="1">
        <v>429</v>
      </c>
    </row>
    <row r="379" spans="1:14" ht="45" x14ac:dyDescent="0.25">
      <c r="A379" s="1"/>
      <c r="B379" s="2" t="s">
        <v>913</v>
      </c>
      <c r="C379" s="38">
        <v>42450</v>
      </c>
      <c r="D379" s="2" t="s">
        <v>79</v>
      </c>
      <c r="E379" s="2" t="s">
        <v>279</v>
      </c>
      <c r="F379" s="7" t="s">
        <v>2849</v>
      </c>
      <c r="G379" s="2" t="s">
        <v>213</v>
      </c>
      <c r="H379" s="7" t="s">
        <v>2842</v>
      </c>
      <c r="I379" s="38">
        <v>42450</v>
      </c>
      <c r="J379" s="2" t="s">
        <v>1105</v>
      </c>
      <c r="K379" s="2" t="s">
        <v>36</v>
      </c>
      <c r="L379" s="1" t="s">
        <v>6</v>
      </c>
      <c r="M379" s="1" t="s">
        <v>76</v>
      </c>
      <c r="N379" s="1">
        <v>430</v>
      </c>
    </row>
    <row r="380" spans="1:14" x14ac:dyDescent="0.25">
      <c r="A380" s="1"/>
      <c r="B380" s="2" t="s">
        <v>913</v>
      </c>
      <c r="C380" s="38">
        <v>42451</v>
      </c>
      <c r="D380" s="2" t="s">
        <v>256</v>
      </c>
      <c r="E380" s="2" t="s">
        <v>648</v>
      </c>
      <c r="F380" s="7" t="s">
        <v>2850</v>
      </c>
      <c r="G380" s="2" t="s">
        <v>213</v>
      </c>
      <c r="H380" s="7"/>
      <c r="I380" s="38">
        <v>42451</v>
      </c>
      <c r="J380" s="2" t="s">
        <v>1105</v>
      </c>
      <c r="K380" s="2" t="s">
        <v>36</v>
      </c>
      <c r="L380" s="1" t="s">
        <v>6</v>
      </c>
      <c r="M380" s="1" t="s">
        <v>76</v>
      </c>
      <c r="N380" s="1">
        <v>431</v>
      </c>
    </row>
    <row r="381" spans="1:14" ht="30" x14ac:dyDescent="0.25">
      <c r="A381" s="1"/>
      <c r="B381" s="2" t="s">
        <v>917</v>
      </c>
      <c r="C381" s="38">
        <v>42451</v>
      </c>
      <c r="D381" s="2" t="s">
        <v>79</v>
      </c>
      <c r="E381" s="2" t="s">
        <v>279</v>
      </c>
      <c r="F381" s="7" t="s">
        <v>4469</v>
      </c>
      <c r="G381" s="2" t="s">
        <v>213</v>
      </c>
      <c r="H381" s="7" t="s">
        <v>4347</v>
      </c>
      <c r="I381" s="38">
        <v>42451</v>
      </c>
      <c r="J381" s="2" t="s">
        <v>116</v>
      </c>
      <c r="K381" s="2" t="s">
        <v>36</v>
      </c>
      <c r="L381" s="1" t="s">
        <v>6</v>
      </c>
      <c r="M381" s="1" t="s">
        <v>76</v>
      </c>
      <c r="N381" s="1">
        <v>432</v>
      </c>
    </row>
    <row r="382" spans="1:14" ht="30" x14ac:dyDescent="0.25">
      <c r="A382" s="1"/>
      <c r="B382" s="2" t="s">
        <v>917</v>
      </c>
      <c r="C382" s="38">
        <v>42451</v>
      </c>
      <c r="D382" s="2" t="s">
        <v>256</v>
      </c>
      <c r="E382" s="2" t="s">
        <v>267</v>
      </c>
      <c r="F382" s="7" t="s">
        <v>4470</v>
      </c>
      <c r="G382" s="2" t="s">
        <v>213</v>
      </c>
      <c r="H382" s="7"/>
      <c r="I382" s="38">
        <v>42451</v>
      </c>
      <c r="J382" s="2" t="s">
        <v>116</v>
      </c>
      <c r="K382" s="2" t="s">
        <v>36</v>
      </c>
      <c r="L382" s="1" t="s">
        <v>6</v>
      </c>
      <c r="M382" s="1" t="s">
        <v>76</v>
      </c>
      <c r="N382" s="1">
        <v>433</v>
      </c>
    </row>
    <row r="383" spans="1:14" ht="30" x14ac:dyDescent="0.25">
      <c r="A383" s="1"/>
      <c r="B383" s="2" t="s">
        <v>917</v>
      </c>
      <c r="C383" s="38">
        <v>42451</v>
      </c>
      <c r="D383" s="2" t="s">
        <v>256</v>
      </c>
      <c r="E383" s="2" t="s">
        <v>485</v>
      </c>
      <c r="F383" s="7" t="s">
        <v>4471</v>
      </c>
      <c r="G383" s="2" t="s">
        <v>213</v>
      </c>
      <c r="H383" s="7"/>
      <c r="I383" s="38">
        <v>42451</v>
      </c>
      <c r="J383" s="2" t="s">
        <v>116</v>
      </c>
      <c r="K383" s="2" t="s">
        <v>36</v>
      </c>
      <c r="L383" s="1" t="s">
        <v>6</v>
      </c>
      <c r="M383" s="1" t="s">
        <v>76</v>
      </c>
      <c r="N383" s="1">
        <v>434</v>
      </c>
    </row>
    <row r="384" spans="1:14" ht="30" x14ac:dyDescent="0.25">
      <c r="A384" s="1"/>
      <c r="B384" s="2" t="s">
        <v>911</v>
      </c>
      <c r="C384" s="38">
        <v>42451</v>
      </c>
      <c r="D384" s="2" t="s">
        <v>79</v>
      </c>
      <c r="E384" s="2" t="s">
        <v>257</v>
      </c>
      <c r="F384" s="7" t="s">
        <v>4472</v>
      </c>
      <c r="G384" s="2" t="s">
        <v>213</v>
      </c>
      <c r="H384" s="7" t="s">
        <v>4348</v>
      </c>
      <c r="I384" s="38">
        <v>42452</v>
      </c>
      <c r="J384" s="2" t="s">
        <v>116</v>
      </c>
      <c r="K384" s="2" t="s">
        <v>41</v>
      </c>
      <c r="L384" s="1" t="s">
        <v>6</v>
      </c>
      <c r="M384" s="1" t="s">
        <v>76</v>
      </c>
      <c r="N384" s="1">
        <v>435</v>
      </c>
    </row>
    <row r="385" spans="1:14" x14ac:dyDescent="0.25">
      <c r="A385" s="1"/>
      <c r="B385" s="2" t="s">
        <v>911</v>
      </c>
      <c r="C385" s="38">
        <v>42451</v>
      </c>
      <c r="D385" s="2" t="s">
        <v>75</v>
      </c>
      <c r="E385" s="2" t="s">
        <v>415</v>
      </c>
      <c r="F385" s="7" t="s">
        <v>4473</v>
      </c>
      <c r="G385" s="2" t="s">
        <v>213</v>
      </c>
      <c r="H385" s="7" t="s">
        <v>4349</v>
      </c>
      <c r="I385" s="38">
        <v>42452</v>
      </c>
      <c r="J385" s="2" t="s">
        <v>116</v>
      </c>
      <c r="K385" s="2" t="s">
        <v>41</v>
      </c>
      <c r="L385" s="1" t="s">
        <v>6</v>
      </c>
      <c r="M385" s="1" t="s">
        <v>76</v>
      </c>
      <c r="N385" s="1">
        <v>436</v>
      </c>
    </row>
    <row r="386" spans="1:14" x14ac:dyDescent="0.25">
      <c r="A386" s="1"/>
      <c r="B386" s="2" t="s">
        <v>913</v>
      </c>
      <c r="C386" s="38">
        <v>42451</v>
      </c>
      <c r="D386" s="2" t="s">
        <v>256</v>
      </c>
      <c r="E386" s="2" t="s">
        <v>648</v>
      </c>
      <c r="F386" s="7" t="s">
        <v>4474</v>
      </c>
      <c r="G386" s="2" t="s">
        <v>213</v>
      </c>
      <c r="H386" s="7"/>
      <c r="I386" s="38">
        <v>42451</v>
      </c>
      <c r="J386" s="2" t="s">
        <v>1105</v>
      </c>
      <c r="K386" s="2" t="s">
        <v>36</v>
      </c>
      <c r="L386" s="1" t="s">
        <v>6</v>
      </c>
      <c r="M386" s="1" t="s">
        <v>76</v>
      </c>
      <c r="N386" s="1">
        <v>437</v>
      </c>
    </row>
    <row r="387" spans="1:14" x14ac:dyDescent="0.25">
      <c r="A387" s="1"/>
      <c r="B387" s="2" t="s">
        <v>911</v>
      </c>
      <c r="C387" s="38">
        <v>42452</v>
      </c>
      <c r="D387" s="2" t="s">
        <v>75</v>
      </c>
      <c r="E387" s="2" t="s">
        <v>80</v>
      </c>
      <c r="F387" s="7" t="s">
        <v>4475</v>
      </c>
      <c r="G387" s="2" t="s">
        <v>213</v>
      </c>
      <c r="H387" s="7" t="s">
        <v>4350</v>
      </c>
      <c r="I387" s="38">
        <v>42452</v>
      </c>
      <c r="J387" s="2" t="s">
        <v>116</v>
      </c>
      <c r="K387" s="2" t="s">
        <v>41</v>
      </c>
      <c r="L387" s="1" t="s">
        <v>6</v>
      </c>
      <c r="M387" s="1" t="s">
        <v>76</v>
      </c>
      <c r="N387" s="1">
        <v>438</v>
      </c>
    </row>
    <row r="388" spans="1:14" ht="30" x14ac:dyDescent="0.25">
      <c r="A388" s="1"/>
      <c r="B388" s="2" t="s">
        <v>911</v>
      </c>
      <c r="C388" s="38">
        <v>42452</v>
      </c>
      <c r="D388" s="2" t="s">
        <v>256</v>
      </c>
      <c r="E388" s="2" t="s">
        <v>80</v>
      </c>
      <c r="F388" s="7" t="s">
        <v>4476</v>
      </c>
      <c r="G388" s="2" t="s">
        <v>213</v>
      </c>
      <c r="H388" s="7"/>
      <c r="I388" s="38">
        <v>42452</v>
      </c>
      <c r="J388" s="2" t="s">
        <v>116</v>
      </c>
      <c r="K388" s="2" t="s">
        <v>41</v>
      </c>
      <c r="L388" s="1" t="s">
        <v>6</v>
      </c>
      <c r="M388" s="1" t="s">
        <v>76</v>
      </c>
      <c r="N388" s="1">
        <v>439</v>
      </c>
    </row>
    <row r="389" spans="1:14" x14ac:dyDescent="0.25">
      <c r="A389" s="1"/>
      <c r="B389" s="2" t="s">
        <v>911</v>
      </c>
      <c r="C389" s="38">
        <v>42452</v>
      </c>
      <c r="D389" s="2" t="s">
        <v>79</v>
      </c>
      <c r="E389" s="2" t="s">
        <v>267</v>
      </c>
      <c r="F389" s="7" t="s">
        <v>4477</v>
      </c>
      <c r="G389" s="2" t="s">
        <v>213</v>
      </c>
      <c r="H389" s="7" t="s">
        <v>4351</v>
      </c>
      <c r="I389" s="38">
        <v>42452</v>
      </c>
      <c r="J389" s="2" t="s">
        <v>116</v>
      </c>
      <c r="K389" s="2" t="s">
        <v>41</v>
      </c>
      <c r="L389" s="1" t="s">
        <v>6</v>
      </c>
      <c r="M389" s="1" t="s">
        <v>76</v>
      </c>
      <c r="N389" s="1">
        <v>440</v>
      </c>
    </row>
    <row r="390" spans="1:14" ht="30" x14ac:dyDescent="0.25">
      <c r="A390" s="1"/>
      <c r="B390" s="2" t="s">
        <v>911</v>
      </c>
      <c r="C390" s="38">
        <v>42452</v>
      </c>
      <c r="D390" s="2" t="s">
        <v>256</v>
      </c>
      <c r="E390" s="2" t="s">
        <v>267</v>
      </c>
      <c r="F390" s="7" t="s">
        <v>4478</v>
      </c>
      <c r="G390" s="2" t="s">
        <v>213</v>
      </c>
      <c r="H390" s="7"/>
      <c r="I390" s="38">
        <v>42452</v>
      </c>
      <c r="J390" s="2" t="s">
        <v>116</v>
      </c>
      <c r="K390" s="2" t="s">
        <v>41</v>
      </c>
      <c r="L390" s="1" t="s">
        <v>6</v>
      </c>
      <c r="M390" s="1" t="s">
        <v>76</v>
      </c>
      <c r="N390" s="1">
        <v>441</v>
      </c>
    </row>
    <row r="391" spans="1:14" x14ac:dyDescent="0.25">
      <c r="A391" s="1"/>
      <c r="B391" s="2" t="s">
        <v>107</v>
      </c>
      <c r="C391" s="38">
        <v>42452</v>
      </c>
      <c r="D391" s="2" t="s">
        <v>79</v>
      </c>
      <c r="E391" s="2" t="s">
        <v>887</v>
      </c>
      <c r="F391" s="7" t="s">
        <v>4479</v>
      </c>
      <c r="G391" s="2" t="s">
        <v>213</v>
      </c>
      <c r="H391" s="7" t="s">
        <v>4352</v>
      </c>
      <c r="I391" s="38">
        <v>42455</v>
      </c>
      <c r="J391" s="2" t="s">
        <v>116</v>
      </c>
      <c r="K391" s="2" t="s">
        <v>116</v>
      </c>
      <c r="L391" s="1" t="s">
        <v>6</v>
      </c>
      <c r="M391" s="1" t="s">
        <v>76</v>
      </c>
      <c r="N391" s="1">
        <v>442</v>
      </c>
    </row>
    <row r="392" spans="1:14" ht="30" x14ac:dyDescent="0.25">
      <c r="A392" s="1"/>
      <c r="B392" s="2" t="s">
        <v>107</v>
      </c>
      <c r="C392" s="38">
        <v>42452</v>
      </c>
      <c r="D392" s="2" t="s">
        <v>256</v>
      </c>
      <c r="E392" s="2" t="s">
        <v>887</v>
      </c>
      <c r="F392" s="7" t="s">
        <v>4480</v>
      </c>
      <c r="G392" s="2" t="s">
        <v>213</v>
      </c>
      <c r="H392" s="7"/>
      <c r="I392" s="38">
        <v>42452</v>
      </c>
      <c r="J392" s="2" t="s">
        <v>116</v>
      </c>
      <c r="K392" s="2" t="s">
        <v>116</v>
      </c>
      <c r="L392" s="1" t="s">
        <v>6</v>
      </c>
      <c r="M392" s="1" t="s">
        <v>76</v>
      </c>
      <c r="N392" s="1">
        <v>443</v>
      </c>
    </row>
    <row r="393" spans="1:14" ht="30" x14ac:dyDescent="0.25">
      <c r="A393" s="1"/>
      <c r="B393" s="2" t="s">
        <v>697</v>
      </c>
      <c r="C393" s="38">
        <v>42452</v>
      </c>
      <c r="D393" s="2" t="s">
        <v>79</v>
      </c>
      <c r="E393" s="2" t="s">
        <v>275</v>
      </c>
      <c r="F393" s="7" t="s">
        <v>4481</v>
      </c>
      <c r="G393" s="2" t="s">
        <v>213</v>
      </c>
      <c r="H393" s="7" t="s">
        <v>4353</v>
      </c>
      <c r="I393" s="38">
        <v>42454</v>
      </c>
      <c r="J393" s="2" t="s">
        <v>116</v>
      </c>
      <c r="K393" s="2" t="s">
        <v>124</v>
      </c>
      <c r="L393" s="1" t="s">
        <v>6</v>
      </c>
      <c r="M393" s="1" t="s">
        <v>76</v>
      </c>
      <c r="N393" s="1">
        <v>444</v>
      </c>
    </row>
    <row r="394" spans="1:14" x14ac:dyDescent="0.25">
      <c r="A394" s="1"/>
      <c r="B394" s="2" t="s">
        <v>697</v>
      </c>
      <c r="C394" s="38">
        <v>42452</v>
      </c>
      <c r="D394" s="2" t="s">
        <v>79</v>
      </c>
      <c r="E394" s="2" t="s">
        <v>2640</v>
      </c>
      <c r="F394" s="7" t="s">
        <v>4482</v>
      </c>
      <c r="G394" s="2" t="s">
        <v>213</v>
      </c>
      <c r="H394" s="7" t="s">
        <v>4354</v>
      </c>
      <c r="I394" s="38">
        <v>42454</v>
      </c>
      <c r="J394" s="2" t="s">
        <v>116</v>
      </c>
      <c r="K394" s="2" t="s">
        <v>124</v>
      </c>
      <c r="L394" s="1" t="s">
        <v>6</v>
      </c>
      <c r="M394" s="1" t="s">
        <v>76</v>
      </c>
      <c r="N394" s="1">
        <v>445</v>
      </c>
    </row>
    <row r="395" spans="1:14" x14ac:dyDescent="0.25">
      <c r="A395" s="1"/>
      <c r="B395" s="2" t="s">
        <v>697</v>
      </c>
      <c r="C395" s="38">
        <v>42454</v>
      </c>
      <c r="D395" s="2" t="s">
        <v>256</v>
      </c>
      <c r="E395" s="2" t="s">
        <v>648</v>
      </c>
      <c r="F395" s="7" t="s">
        <v>4483</v>
      </c>
      <c r="G395" s="2" t="s">
        <v>213</v>
      </c>
      <c r="H395" s="7"/>
      <c r="I395" s="38">
        <v>42454</v>
      </c>
      <c r="J395" s="2" t="s">
        <v>116</v>
      </c>
      <c r="K395" s="2" t="s">
        <v>124</v>
      </c>
      <c r="L395" s="1" t="s">
        <v>6</v>
      </c>
      <c r="M395" s="1" t="s">
        <v>76</v>
      </c>
      <c r="N395" s="1">
        <v>446</v>
      </c>
    </row>
    <row r="396" spans="1:14" x14ac:dyDescent="0.25">
      <c r="A396" s="1"/>
      <c r="B396" s="2" t="s">
        <v>582</v>
      </c>
      <c r="C396" s="38">
        <v>42455</v>
      </c>
      <c r="D396" s="2" t="s">
        <v>256</v>
      </c>
      <c r="E396" s="2" t="s">
        <v>648</v>
      </c>
      <c r="F396" s="7" t="s">
        <v>4484</v>
      </c>
      <c r="G396" s="2" t="s">
        <v>213</v>
      </c>
      <c r="H396" s="7"/>
      <c r="I396" s="38">
        <v>42455</v>
      </c>
      <c r="J396" s="2" t="s">
        <v>116</v>
      </c>
      <c r="K396" s="2" t="s">
        <v>116</v>
      </c>
      <c r="L396" s="1" t="s">
        <v>6</v>
      </c>
      <c r="M396" s="1" t="s">
        <v>76</v>
      </c>
      <c r="N396" s="1">
        <v>447</v>
      </c>
    </row>
    <row r="397" spans="1:14" ht="30" x14ac:dyDescent="0.25">
      <c r="A397" s="1"/>
      <c r="B397" s="2" t="s">
        <v>911</v>
      </c>
      <c r="C397" s="38">
        <v>42455</v>
      </c>
      <c r="D397" s="2" t="s">
        <v>256</v>
      </c>
      <c r="E397" s="2" t="s">
        <v>648</v>
      </c>
      <c r="F397" s="7" t="s">
        <v>4485</v>
      </c>
      <c r="G397" s="2" t="s">
        <v>213</v>
      </c>
      <c r="H397" s="7"/>
      <c r="I397" s="38">
        <v>42455</v>
      </c>
      <c r="J397" s="2" t="s">
        <v>116</v>
      </c>
      <c r="K397" s="2" t="s">
        <v>41</v>
      </c>
      <c r="L397" s="1" t="s">
        <v>6</v>
      </c>
      <c r="M397" s="1" t="s">
        <v>76</v>
      </c>
      <c r="N397" s="1">
        <v>448</v>
      </c>
    </row>
    <row r="398" spans="1:14" ht="45" x14ac:dyDescent="0.25">
      <c r="A398" s="1"/>
      <c r="B398" s="2" t="s">
        <v>911</v>
      </c>
      <c r="C398" s="38">
        <v>42457</v>
      </c>
      <c r="D398" s="2" t="s">
        <v>256</v>
      </c>
      <c r="E398" s="2" t="s">
        <v>279</v>
      </c>
      <c r="F398" s="7" t="s">
        <v>4486</v>
      </c>
      <c r="G398" s="2" t="s">
        <v>213</v>
      </c>
      <c r="H398" s="7"/>
      <c r="I398" s="38">
        <v>42457</v>
      </c>
      <c r="J398" s="2" t="s">
        <v>116</v>
      </c>
      <c r="K398" s="2" t="s">
        <v>41</v>
      </c>
      <c r="L398" s="1" t="s">
        <v>6</v>
      </c>
      <c r="M398" s="1" t="s">
        <v>76</v>
      </c>
      <c r="N398" s="1">
        <v>449</v>
      </c>
    </row>
    <row r="399" spans="1:14" ht="30" x14ac:dyDescent="0.25">
      <c r="A399" s="1"/>
      <c r="B399" s="2" t="s">
        <v>911</v>
      </c>
      <c r="C399" s="38">
        <v>42457</v>
      </c>
      <c r="D399" s="2" t="s">
        <v>79</v>
      </c>
      <c r="E399" s="2" t="s">
        <v>77</v>
      </c>
      <c r="F399" s="7" t="s">
        <v>4487</v>
      </c>
      <c r="G399" s="2" t="s">
        <v>213</v>
      </c>
      <c r="H399" s="7" t="s">
        <v>4355</v>
      </c>
      <c r="I399" s="38">
        <v>42457</v>
      </c>
      <c r="J399" s="2" t="s">
        <v>116</v>
      </c>
      <c r="K399" s="2" t="s">
        <v>41</v>
      </c>
      <c r="L399" s="1" t="s">
        <v>6</v>
      </c>
      <c r="M399" s="1" t="s">
        <v>76</v>
      </c>
      <c r="N399" s="1">
        <v>450</v>
      </c>
    </row>
    <row r="400" spans="1:14" x14ac:dyDescent="0.25">
      <c r="A400" s="1"/>
      <c r="B400" s="2" t="s">
        <v>911</v>
      </c>
      <c r="C400" s="38">
        <v>42458</v>
      </c>
      <c r="D400" s="2" t="s">
        <v>256</v>
      </c>
      <c r="E400" s="2" t="s">
        <v>648</v>
      </c>
      <c r="F400" s="7" t="s">
        <v>4488</v>
      </c>
      <c r="G400" s="2" t="s">
        <v>213</v>
      </c>
      <c r="H400" s="7"/>
      <c r="I400" s="38">
        <v>42458</v>
      </c>
      <c r="J400" s="2" t="s">
        <v>116</v>
      </c>
      <c r="K400" s="2" t="s">
        <v>41</v>
      </c>
      <c r="L400" s="1" t="s">
        <v>6</v>
      </c>
      <c r="M400" s="1" t="s">
        <v>76</v>
      </c>
      <c r="N400" s="1">
        <v>451</v>
      </c>
    </row>
    <row r="401" spans="1:14" ht="45" x14ac:dyDescent="0.25">
      <c r="A401" s="1"/>
      <c r="B401" s="2" t="s">
        <v>2870</v>
      </c>
      <c r="C401" s="38">
        <v>42458</v>
      </c>
      <c r="D401" s="2" t="s">
        <v>79</v>
      </c>
      <c r="E401" s="2" t="s">
        <v>279</v>
      </c>
      <c r="F401" s="7" t="s">
        <v>4489</v>
      </c>
      <c r="G401" s="2" t="s">
        <v>213</v>
      </c>
      <c r="H401" s="7" t="s">
        <v>4490</v>
      </c>
      <c r="I401" s="38">
        <v>42504</v>
      </c>
      <c r="J401" s="2" t="s">
        <v>1105</v>
      </c>
      <c r="K401" s="2" t="s">
        <v>41</v>
      </c>
      <c r="L401" s="1" t="s">
        <v>6</v>
      </c>
      <c r="M401" s="1" t="s">
        <v>76</v>
      </c>
      <c r="N401" s="1">
        <v>452</v>
      </c>
    </row>
    <row r="402" spans="1:14" ht="30" x14ac:dyDescent="0.25">
      <c r="A402" s="1"/>
      <c r="B402" s="2" t="s">
        <v>105</v>
      </c>
      <c r="C402" s="38">
        <v>42458</v>
      </c>
      <c r="D402" s="2" t="s">
        <v>75</v>
      </c>
      <c r="E402" s="2" t="s">
        <v>300</v>
      </c>
      <c r="F402" s="7" t="s">
        <v>4356</v>
      </c>
      <c r="G402" s="2" t="s">
        <v>213</v>
      </c>
      <c r="H402" s="7" t="s">
        <v>4357</v>
      </c>
      <c r="I402" s="38">
        <v>42459</v>
      </c>
      <c r="J402" s="2" t="s">
        <v>1105</v>
      </c>
      <c r="K402" s="2" t="s">
        <v>36</v>
      </c>
      <c r="L402" s="1" t="s">
        <v>6</v>
      </c>
      <c r="M402" s="1" t="s">
        <v>76</v>
      </c>
      <c r="N402" s="1">
        <v>453</v>
      </c>
    </row>
    <row r="403" spans="1:14" ht="30" x14ac:dyDescent="0.25">
      <c r="A403" s="1"/>
      <c r="B403" s="2" t="s">
        <v>911</v>
      </c>
      <c r="C403" s="38">
        <v>42458</v>
      </c>
      <c r="D403" s="2" t="s">
        <v>75</v>
      </c>
      <c r="E403" s="2" t="s">
        <v>2586</v>
      </c>
      <c r="F403" s="7" t="s">
        <v>4491</v>
      </c>
      <c r="G403" s="2" t="s">
        <v>213</v>
      </c>
      <c r="H403" s="7" t="s">
        <v>4492</v>
      </c>
      <c r="I403" s="38">
        <v>42458</v>
      </c>
      <c r="J403" s="2" t="s">
        <v>116</v>
      </c>
      <c r="K403" s="2" t="s">
        <v>41</v>
      </c>
      <c r="L403" s="1" t="s">
        <v>6</v>
      </c>
      <c r="M403" s="1" t="s">
        <v>76</v>
      </c>
      <c r="N403" s="1">
        <v>454</v>
      </c>
    </row>
    <row r="404" spans="1:14" ht="30" x14ac:dyDescent="0.25">
      <c r="A404" s="1"/>
      <c r="B404" s="2" t="s">
        <v>911</v>
      </c>
      <c r="C404" s="38">
        <v>42458</v>
      </c>
      <c r="D404" s="2" t="s">
        <v>79</v>
      </c>
      <c r="E404" s="2" t="s">
        <v>425</v>
      </c>
      <c r="F404" s="7" t="s">
        <v>4493</v>
      </c>
      <c r="G404" s="2" t="s">
        <v>213</v>
      </c>
      <c r="H404" s="7" t="s">
        <v>4494</v>
      </c>
      <c r="I404" s="38">
        <v>42458</v>
      </c>
      <c r="J404" s="2" t="s">
        <v>116</v>
      </c>
      <c r="K404" s="2" t="s">
        <v>41</v>
      </c>
      <c r="L404" s="1" t="s">
        <v>6</v>
      </c>
      <c r="M404" s="1" t="s">
        <v>76</v>
      </c>
      <c r="N404" s="1">
        <v>455</v>
      </c>
    </row>
    <row r="405" spans="1:14" ht="30" x14ac:dyDescent="0.25">
      <c r="A405" s="1"/>
      <c r="B405" s="2" t="s">
        <v>911</v>
      </c>
      <c r="C405" s="38">
        <v>42458</v>
      </c>
      <c r="D405" s="2" t="s">
        <v>256</v>
      </c>
      <c r="E405" s="2" t="s">
        <v>2586</v>
      </c>
      <c r="F405" s="7" t="s">
        <v>4495</v>
      </c>
      <c r="G405" s="2" t="s">
        <v>213</v>
      </c>
      <c r="H405" s="7"/>
      <c r="I405" s="38">
        <v>42458</v>
      </c>
      <c r="J405" s="2" t="s">
        <v>116</v>
      </c>
      <c r="K405" s="2" t="s">
        <v>41</v>
      </c>
      <c r="L405" s="1" t="s">
        <v>6</v>
      </c>
      <c r="M405" s="1" t="s">
        <v>76</v>
      </c>
      <c r="N405" s="1">
        <v>456</v>
      </c>
    </row>
    <row r="406" spans="1:14" x14ac:dyDescent="0.25">
      <c r="A406" s="1"/>
      <c r="B406" s="2" t="s">
        <v>911</v>
      </c>
      <c r="C406" s="38">
        <v>42458</v>
      </c>
      <c r="D406" s="2" t="s">
        <v>256</v>
      </c>
      <c r="E406" s="2" t="s">
        <v>648</v>
      </c>
      <c r="F406" s="7" t="s">
        <v>4496</v>
      </c>
      <c r="G406" s="2" t="s">
        <v>213</v>
      </c>
      <c r="H406" s="7"/>
      <c r="I406" s="38">
        <v>42458</v>
      </c>
      <c r="J406" s="2" t="s">
        <v>116</v>
      </c>
      <c r="K406" s="2" t="s">
        <v>41</v>
      </c>
      <c r="L406" s="1" t="s">
        <v>6</v>
      </c>
      <c r="M406" s="1" t="s">
        <v>76</v>
      </c>
      <c r="N406" s="1">
        <v>457</v>
      </c>
    </row>
    <row r="407" spans="1:14" ht="30" x14ac:dyDescent="0.25">
      <c r="A407" s="1"/>
      <c r="B407" s="2" t="s">
        <v>581</v>
      </c>
      <c r="C407" s="38">
        <v>42458</v>
      </c>
      <c r="D407" s="2" t="s">
        <v>256</v>
      </c>
      <c r="E407" s="2" t="s">
        <v>257</v>
      </c>
      <c r="F407" s="7" t="s">
        <v>4358</v>
      </c>
      <c r="G407" s="2" t="s">
        <v>213</v>
      </c>
      <c r="H407" s="7"/>
      <c r="I407" s="38">
        <v>42458</v>
      </c>
      <c r="J407" s="2" t="s">
        <v>557</v>
      </c>
      <c r="K407" s="2" t="s">
        <v>42</v>
      </c>
      <c r="L407" s="1" t="s">
        <v>6</v>
      </c>
      <c r="M407" s="1" t="s">
        <v>76</v>
      </c>
      <c r="N407" s="1">
        <v>458</v>
      </c>
    </row>
    <row r="408" spans="1:14" x14ac:dyDescent="0.25">
      <c r="A408" s="1"/>
      <c r="B408" s="2" t="s">
        <v>581</v>
      </c>
      <c r="C408" s="38">
        <v>42458</v>
      </c>
      <c r="D408" s="2" t="s">
        <v>79</v>
      </c>
      <c r="E408" s="2" t="s">
        <v>639</v>
      </c>
      <c r="F408" s="7" t="s">
        <v>4497</v>
      </c>
      <c r="G408" s="2" t="s">
        <v>213</v>
      </c>
      <c r="H408" s="7" t="s">
        <v>4359</v>
      </c>
      <c r="I408" s="38">
        <v>42472</v>
      </c>
      <c r="J408" s="2" t="s">
        <v>557</v>
      </c>
      <c r="K408" s="2" t="s">
        <v>42</v>
      </c>
      <c r="L408" s="1" t="s">
        <v>6</v>
      </c>
      <c r="M408" s="1" t="s">
        <v>76</v>
      </c>
      <c r="N408" s="1">
        <v>459</v>
      </c>
    </row>
    <row r="409" spans="1:14" ht="30" x14ac:dyDescent="0.25">
      <c r="A409" s="1"/>
      <c r="B409" s="2" t="s">
        <v>581</v>
      </c>
      <c r="C409" s="38">
        <v>42458</v>
      </c>
      <c r="D409" s="2" t="s">
        <v>79</v>
      </c>
      <c r="E409" s="2" t="s">
        <v>639</v>
      </c>
      <c r="F409" s="7" t="s">
        <v>4498</v>
      </c>
      <c r="G409" s="2" t="s">
        <v>213</v>
      </c>
      <c r="H409" s="7" t="s">
        <v>4360</v>
      </c>
      <c r="I409" s="38">
        <v>42472</v>
      </c>
      <c r="J409" s="2" t="s">
        <v>557</v>
      </c>
      <c r="K409" s="2" t="s">
        <v>42</v>
      </c>
      <c r="L409" s="1" t="s">
        <v>6</v>
      </c>
      <c r="M409" s="1" t="s">
        <v>76</v>
      </c>
      <c r="N409" s="1">
        <v>460</v>
      </c>
    </row>
    <row r="410" spans="1:14" x14ac:dyDescent="0.25">
      <c r="A410" s="1"/>
      <c r="B410" s="2" t="s">
        <v>581</v>
      </c>
      <c r="C410" s="38">
        <v>42458</v>
      </c>
      <c r="D410" s="2" t="s">
        <v>75</v>
      </c>
      <c r="E410" s="2" t="s">
        <v>639</v>
      </c>
      <c r="F410" s="7" t="s">
        <v>4499</v>
      </c>
      <c r="G410" s="2" t="s">
        <v>213</v>
      </c>
      <c r="H410" s="7" t="s">
        <v>4361</v>
      </c>
      <c r="I410" s="38">
        <v>42472</v>
      </c>
      <c r="J410" s="2" t="s">
        <v>557</v>
      </c>
      <c r="K410" s="2" t="s">
        <v>42</v>
      </c>
      <c r="L410" s="1" t="s">
        <v>6</v>
      </c>
      <c r="M410" s="1" t="s">
        <v>76</v>
      </c>
      <c r="N410" s="1">
        <v>461</v>
      </c>
    </row>
    <row r="411" spans="1:14" ht="45" x14ac:dyDescent="0.25">
      <c r="A411" s="1"/>
      <c r="B411" s="2" t="s">
        <v>581</v>
      </c>
      <c r="C411" s="38">
        <v>42458</v>
      </c>
      <c r="D411" s="2" t="s">
        <v>75</v>
      </c>
      <c r="E411" s="2" t="s">
        <v>639</v>
      </c>
      <c r="F411" s="7" t="s">
        <v>4500</v>
      </c>
      <c r="G411" s="2" t="s">
        <v>213</v>
      </c>
      <c r="H411" s="7" t="s">
        <v>4362</v>
      </c>
      <c r="I411" s="38">
        <v>42472</v>
      </c>
      <c r="J411" s="2" t="s">
        <v>557</v>
      </c>
      <c r="K411" s="2" t="s">
        <v>42</v>
      </c>
      <c r="L411" s="1" t="s">
        <v>6</v>
      </c>
      <c r="M411" s="1" t="s">
        <v>76</v>
      </c>
      <c r="N411" s="1">
        <v>462</v>
      </c>
    </row>
    <row r="412" spans="1:14" ht="45" x14ac:dyDescent="0.25">
      <c r="A412" s="1"/>
      <c r="B412" s="2" t="s">
        <v>581</v>
      </c>
      <c r="C412" s="38">
        <v>42458</v>
      </c>
      <c r="D412" s="2" t="s">
        <v>79</v>
      </c>
      <c r="E412" s="2" t="s">
        <v>639</v>
      </c>
      <c r="F412" s="7" t="s">
        <v>4501</v>
      </c>
      <c r="G412" s="2" t="s">
        <v>213</v>
      </c>
      <c r="H412" s="7" t="s">
        <v>4363</v>
      </c>
      <c r="I412" s="38">
        <v>42472</v>
      </c>
      <c r="J412" s="2" t="s">
        <v>557</v>
      </c>
      <c r="K412" s="2" t="s">
        <v>42</v>
      </c>
      <c r="L412" s="1" t="s">
        <v>6</v>
      </c>
      <c r="M412" s="1" t="s">
        <v>76</v>
      </c>
      <c r="N412" s="1">
        <v>463</v>
      </c>
    </row>
    <row r="413" spans="1:14" x14ac:dyDescent="0.25">
      <c r="A413" s="1"/>
      <c r="B413" s="2" t="s">
        <v>581</v>
      </c>
      <c r="C413" s="38">
        <v>42458</v>
      </c>
      <c r="D413" s="2" t="s">
        <v>79</v>
      </c>
      <c r="E413" s="2" t="s">
        <v>257</v>
      </c>
      <c r="F413" s="7" t="s">
        <v>4364</v>
      </c>
      <c r="G413" s="2" t="s">
        <v>213</v>
      </c>
      <c r="H413" s="7" t="s">
        <v>4365</v>
      </c>
      <c r="I413" s="38">
        <v>42472</v>
      </c>
      <c r="J413" s="2" t="s">
        <v>557</v>
      </c>
      <c r="K413" s="2" t="s">
        <v>42</v>
      </c>
      <c r="L413" s="1" t="s">
        <v>6</v>
      </c>
      <c r="M413" s="1" t="s">
        <v>76</v>
      </c>
      <c r="N413" s="1">
        <v>464</v>
      </c>
    </row>
    <row r="414" spans="1:14" ht="30" x14ac:dyDescent="0.25">
      <c r="A414" s="1"/>
      <c r="B414" s="2" t="s">
        <v>581</v>
      </c>
      <c r="C414" s="38">
        <v>42458</v>
      </c>
      <c r="D414" s="2" t="s">
        <v>256</v>
      </c>
      <c r="E414" s="2" t="s">
        <v>639</v>
      </c>
      <c r="F414" s="7" t="s">
        <v>4502</v>
      </c>
      <c r="G414" s="2" t="s">
        <v>213</v>
      </c>
      <c r="H414" s="7"/>
      <c r="I414" s="38">
        <v>42458</v>
      </c>
      <c r="J414" s="2" t="s">
        <v>557</v>
      </c>
      <c r="K414" s="2" t="s">
        <v>42</v>
      </c>
      <c r="L414" s="1" t="s">
        <v>6</v>
      </c>
      <c r="M414" s="1" t="s">
        <v>76</v>
      </c>
      <c r="N414" s="1">
        <v>465</v>
      </c>
    </row>
    <row r="415" spans="1:14" x14ac:dyDescent="0.25">
      <c r="A415" s="1"/>
      <c r="B415" s="2" t="s">
        <v>581</v>
      </c>
      <c r="C415" s="38">
        <v>42458</v>
      </c>
      <c r="D415" s="2" t="s">
        <v>75</v>
      </c>
      <c r="E415" s="2" t="s">
        <v>639</v>
      </c>
      <c r="F415" s="7" t="s">
        <v>4366</v>
      </c>
      <c r="G415" s="2" t="s">
        <v>213</v>
      </c>
      <c r="H415" s="7" t="s">
        <v>4367</v>
      </c>
      <c r="I415" s="38">
        <v>42472</v>
      </c>
      <c r="J415" s="2" t="s">
        <v>557</v>
      </c>
      <c r="K415" s="2" t="s">
        <v>42</v>
      </c>
      <c r="L415" s="1" t="s">
        <v>6</v>
      </c>
      <c r="M415" s="1" t="s">
        <v>76</v>
      </c>
      <c r="N415" s="1">
        <v>466</v>
      </c>
    </row>
    <row r="416" spans="1:14" x14ac:dyDescent="0.25">
      <c r="A416" s="1"/>
      <c r="B416" s="2" t="s">
        <v>581</v>
      </c>
      <c r="C416" s="38">
        <v>42458</v>
      </c>
      <c r="D416" s="2" t="s">
        <v>75</v>
      </c>
      <c r="E416" s="2" t="s">
        <v>639</v>
      </c>
      <c r="F416" s="7" t="s">
        <v>4368</v>
      </c>
      <c r="G416" s="2" t="s">
        <v>213</v>
      </c>
      <c r="H416" s="7" t="s">
        <v>4369</v>
      </c>
      <c r="I416" s="38">
        <v>42472</v>
      </c>
      <c r="J416" s="2" t="s">
        <v>557</v>
      </c>
      <c r="K416" s="2" t="s">
        <v>42</v>
      </c>
      <c r="L416" s="1" t="s">
        <v>6</v>
      </c>
      <c r="M416" s="1" t="s">
        <v>76</v>
      </c>
      <c r="N416" s="1">
        <v>467</v>
      </c>
    </row>
    <row r="417" spans="1:14" x14ac:dyDescent="0.25">
      <c r="A417" s="1"/>
      <c r="B417" s="2" t="s">
        <v>581</v>
      </c>
      <c r="C417" s="38">
        <v>42458</v>
      </c>
      <c r="D417" s="2" t="s">
        <v>79</v>
      </c>
      <c r="E417" s="2" t="s">
        <v>639</v>
      </c>
      <c r="F417" s="7" t="s">
        <v>4370</v>
      </c>
      <c r="G417" s="2" t="s">
        <v>213</v>
      </c>
      <c r="H417" s="7" t="s">
        <v>4371</v>
      </c>
      <c r="I417" s="38">
        <v>42472</v>
      </c>
      <c r="J417" s="2" t="s">
        <v>557</v>
      </c>
      <c r="K417" s="2" t="s">
        <v>42</v>
      </c>
      <c r="L417" s="1" t="s">
        <v>6</v>
      </c>
      <c r="M417" s="1" t="s">
        <v>76</v>
      </c>
      <c r="N417" s="1">
        <v>468</v>
      </c>
    </row>
    <row r="418" spans="1:14" x14ac:dyDescent="0.25">
      <c r="A418" s="1"/>
      <c r="B418" s="2" t="s">
        <v>581</v>
      </c>
      <c r="C418" s="38">
        <v>42458</v>
      </c>
      <c r="D418" s="2" t="s">
        <v>75</v>
      </c>
      <c r="E418" s="2" t="s">
        <v>639</v>
      </c>
      <c r="F418" s="7" t="s">
        <v>4372</v>
      </c>
      <c r="G418" s="2" t="s">
        <v>213</v>
      </c>
      <c r="H418" s="7" t="s">
        <v>4373</v>
      </c>
      <c r="I418" s="38">
        <v>42472</v>
      </c>
      <c r="J418" s="2" t="s">
        <v>557</v>
      </c>
      <c r="K418" s="2" t="s">
        <v>42</v>
      </c>
      <c r="L418" s="1" t="s">
        <v>6</v>
      </c>
      <c r="M418" s="1" t="s">
        <v>76</v>
      </c>
      <c r="N418" s="1">
        <v>469</v>
      </c>
    </row>
    <row r="419" spans="1:14" x14ac:dyDescent="0.25">
      <c r="A419" s="1"/>
      <c r="B419" s="2" t="s">
        <v>581</v>
      </c>
      <c r="C419" s="38">
        <v>42458</v>
      </c>
      <c r="D419" s="2" t="s">
        <v>75</v>
      </c>
      <c r="E419" s="2" t="s">
        <v>279</v>
      </c>
      <c r="F419" s="7" t="s">
        <v>4374</v>
      </c>
      <c r="G419" s="2" t="s">
        <v>213</v>
      </c>
      <c r="H419" s="7" t="s">
        <v>4375</v>
      </c>
      <c r="I419" s="38">
        <v>42472</v>
      </c>
      <c r="J419" s="2" t="s">
        <v>557</v>
      </c>
      <c r="K419" s="2" t="s">
        <v>42</v>
      </c>
      <c r="L419" s="1" t="s">
        <v>6</v>
      </c>
      <c r="M419" s="1" t="s">
        <v>76</v>
      </c>
      <c r="N419" s="1">
        <v>470</v>
      </c>
    </row>
    <row r="420" spans="1:14" x14ac:dyDescent="0.25">
      <c r="A420" s="1"/>
      <c r="B420" s="2" t="s">
        <v>581</v>
      </c>
      <c r="C420" s="38">
        <v>42458</v>
      </c>
      <c r="D420" s="2" t="s">
        <v>75</v>
      </c>
      <c r="E420" s="2" t="s">
        <v>639</v>
      </c>
      <c r="F420" s="7" t="s">
        <v>4376</v>
      </c>
      <c r="G420" s="2" t="s">
        <v>213</v>
      </c>
      <c r="H420" s="7" t="s">
        <v>4377</v>
      </c>
      <c r="I420" s="38">
        <v>42472</v>
      </c>
      <c r="J420" s="2" t="s">
        <v>557</v>
      </c>
      <c r="K420" s="2" t="s">
        <v>42</v>
      </c>
      <c r="L420" s="1" t="s">
        <v>6</v>
      </c>
      <c r="M420" s="1" t="s">
        <v>76</v>
      </c>
      <c r="N420" s="1">
        <v>471</v>
      </c>
    </row>
    <row r="421" spans="1:14" x14ac:dyDescent="0.25">
      <c r="A421" s="1"/>
      <c r="B421" s="2" t="s">
        <v>581</v>
      </c>
      <c r="C421" s="38">
        <v>42458</v>
      </c>
      <c r="D421" s="2" t="s">
        <v>75</v>
      </c>
      <c r="E421" s="2" t="s">
        <v>639</v>
      </c>
      <c r="F421" s="7" t="s">
        <v>4378</v>
      </c>
      <c r="G421" s="2" t="s">
        <v>213</v>
      </c>
      <c r="H421" s="7" t="s">
        <v>4503</v>
      </c>
      <c r="I421" s="38">
        <v>42472</v>
      </c>
      <c r="J421" s="2" t="s">
        <v>557</v>
      </c>
      <c r="K421" s="2" t="s">
        <v>42</v>
      </c>
      <c r="L421" s="1" t="s">
        <v>6</v>
      </c>
      <c r="M421" s="1" t="s">
        <v>76</v>
      </c>
      <c r="N421" s="1">
        <v>472</v>
      </c>
    </row>
    <row r="422" spans="1:14" ht="30" x14ac:dyDescent="0.25">
      <c r="A422" s="1"/>
      <c r="B422" s="2" t="s">
        <v>697</v>
      </c>
      <c r="C422" s="38">
        <v>42459</v>
      </c>
      <c r="D422" s="2" t="s">
        <v>79</v>
      </c>
      <c r="E422" s="2" t="s">
        <v>425</v>
      </c>
      <c r="F422" s="7" t="s">
        <v>4504</v>
      </c>
      <c r="G422" s="2" t="s">
        <v>213</v>
      </c>
      <c r="H422" s="7" t="s">
        <v>4379</v>
      </c>
      <c r="I422" s="38">
        <v>42459</v>
      </c>
      <c r="J422" s="2" t="s">
        <v>116</v>
      </c>
      <c r="K422" s="2" t="s">
        <v>124</v>
      </c>
      <c r="L422" s="1" t="s">
        <v>6</v>
      </c>
      <c r="M422" s="1" t="s">
        <v>76</v>
      </c>
      <c r="N422" s="1">
        <v>473</v>
      </c>
    </row>
    <row r="423" spans="1:14" x14ac:dyDescent="0.25">
      <c r="A423" s="1"/>
      <c r="B423" s="2" t="s">
        <v>697</v>
      </c>
      <c r="C423" s="38">
        <v>42461</v>
      </c>
      <c r="D423" s="2" t="s">
        <v>256</v>
      </c>
      <c r="E423" s="2" t="s">
        <v>648</v>
      </c>
      <c r="F423" s="7" t="s">
        <v>4505</v>
      </c>
      <c r="G423" s="2" t="s">
        <v>213</v>
      </c>
      <c r="H423" s="7"/>
      <c r="I423" s="38">
        <v>42461</v>
      </c>
      <c r="J423" s="2" t="s">
        <v>116</v>
      </c>
      <c r="K423" s="2" t="s">
        <v>124</v>
      </c>
      <c r="L423" s="1" t="s">
        <v>6</v>
      </c>
      <c r="M423" s="1" t="s">
        <v>76</v>
      </c>
      <c r="N423" s="1">
        <v>474</v>
      </c>
    </row>
    <row r="424" spans="1:14" ht="30" x14ac:dyDescent="0.25">
      <c r="A424" s="1"/>
      <c r="B424" s="2" t="s">
        <v>917</v>
      </c>
      <c r="C424" s="38">
        <v>42461</v>
      </c>
      <c r="D424" s="2" t="s">
        <v>79</v>
      </c>
      <c r="E424" s="2" t="s">
        <v>425</v>
      </c>
      <c r="F424" s="7" t="s">
        <v>4506</v>
      </c>
      <c r="G424" s="2" t="s">
        <v>213</v>
      </c>
      <c r="H424" s="7" t="s">
        <v>4380</v>
      </c>
      <c r="I424" s="38">
        <v>42461</v>
      </c>
      <c r="J424" s="2" t="s">
        <v>116</v>
      </c>
      <c r="K424" s="2" t="s">
        <v>36</v>
      </c>
      <c r="L424" s="1" t="s">
        <v>6</v>
      </c>
      <c r="M424" s="1" t="s">
        <v>76</v>
      </c>
      <c r="N424" s="1">
        <v>475</v>
      </c>
    </row>
    <row r="425" spans="1:14" ht="30" x14ac:dyDescent="0.25">
      <c r="A425" s="1"/>
      <c r="B425" s="2" t="s">
        <v>917</v>
      </c>
      <c r="C425" s="38">
        <v>42461</v>
      </c>
      <c r="D425" s="2" t="s">
        <v>79</v>
      </c>
      <c r="E425" s="2" t="s">
        <v>279</v>
      </c>
      <c r="F425" s="7" t="s">
        <v>4507</v>
      </c>
      <c r="G425" s="2" t="s">
        <v>213</v>
      </c>
      <c r="H425" s="7" t="s">
        <v>4381</v>
      </c>
      <c r="I425" s="38">
        <v>42461</v>
      </c>
      <c r="J425" s="2" t="s">
        <v>116</v>
      </c>
      <c r="K425" s="2" t="s">
        <v>36</v>
      </c>
      <c r="L425" s="1" t="s">
        <v>6</v>
      </c>
      <c r="M425" s="1" t="s">
        <v>76</v>
      </c>
      <c r="N425" s="1">
        <v>476</v>
      </c>
    </row>
    <row r="426" spans="1:14" ht="30" x14ac:dyDescent="0.25">
      <c r="A426" s="1"/>
      <c r="B426" s="2" t="s">
        <v>917</v>
      </c>
      <c r="C426" s="38">
        <v>42461</v>
      </c>
      <c r="D426" s="2" t="s">
        <v>256</v>
      </c>
      <c r="E426" s="2" t="s">
        <v>425</v>
      </c>
      <c r="F426" s="7" t="s">
        <v>4508</v>
      </c>
      <c r="G426" s="2" t="s">
        <v>213</v>
      </c>
      <c r="H426" s="7" t="s">
        <v>4509</v>
      </c>
      <c r="I426" s="38">
        <v>42461</v>
      </c>
      <c r="J426" s="2" t="s">
        <v>116</v>
      </c>
      <c r="K426" s="2" t="s">
        <v>36</v>
      </c>
      <c r="L426" s="1" t="s">
        <v>6</v>
      </c>
      <c r="M426" s="1" t="s">
        <v>76</v>
      </c>
      <c r="N426" s="1">
        <v>477</v>
      </c>
    </row>
    <row r="427" spans="1:14" x14ac:dyDescent="0.25">
      <c r="A427" s="1"/>
      <c r="B427" s="2" t="s">
        <v>917</v>
      </c>
      <c r="C427" s="38">
        <v>42461</v>
      </c>
      <c r="D427" s="2" t="s">
        <v>256</v>
      </c>
      <c r="E427" s="2" t="s">
        <v>425</v>
      </c>
      <c r="F427" s="7" t="s">
        <v>4382</v>
      </c>
      <c r="G427" s="2" t="s">
        <v>213</v>
      </c>
      <c r="H427" s="7" t="s">
        <v>4383</v>
      </c>
      <c r="I427" s="38">
        <v>42461</v>
      </c>
      <c r="J427" s="2" t="s">
        <v>116</v>
      </c>
      <c r="K427" s="2" t="s">
        <v>36</v>
      </c>
      <c r="L427" s="1" t="s">
        <v>6</v>
      </c>
      <c r="M427" s="1" t="s">
        <v>76</v>
      </c>
      <c r="N427" s="1">
        <v>478</v>
      </c>
    </row>
    <row r="428" spans="1:14" x14ac:dyDescent="0.25">
      <c r="A428" s="1"/>
      <c r="B428" s="2" t="s">
        <v>917</v>
      </c>
      <c r="C428" s="38">
        <v>42461</v>
      </c>
      <c r="D428" s="2" t="s">
        <v>79</v>
      </c>
      <c r="E428" s="2" t="s">
        <v>267</v>
      </c>
      <c r="F428" s="7" t="s">
        <v>4510</v>
      </c>
      <c r="G428" s="2" t="s">
        <v>213</v>
      </c>
      <c r="H428" s="7" t="s">
        <v>4384</v>
      </c>
      <c r="I428" s="38">
        <v>42461</v>
      </c>
      <c r="J428" s="2" t="s">
        <v>116</v>
      </c>
      <c r="K428" s="2" t="s">
        <v>36</v>
      </c>
      <c r="L428" s="1" t="s">
        <v>6</v>
      </c>
      <c r="M428" s="1" t="s">
        <v>76</v>
      </c>
      <c r="N428" s="1">
        <v>479</v>
      </c>
    </row>
    <row r="429" spans="1:14" ht="30" x14ac:dyDescent="0.25">
      <c r="A429" s="1"/>
      <c r="B429" s="2" t="s">
        <v>917</v>
      </c>
      <c r="C429" s="38">
        <v>42461</v>
      </c>
      <c r="D429" s="2" t="s">
        <v>256</v>
      </c>
      <c r="E429" s="2" t="s">
        <v>269</v>
      </c>
      <c r="F429" s="7" t="s">
        <v>4385</v>
      </c>
      <c r="G429" s="2" t="s">
        <v>213</v>
      </c>
      <c r="H429" s="7"/>
      <c r="I429" s="38">
        <v>42461</v>
      </c>
      <c r="J429" s="2" t="s">
        <v>116</v>
      </c>
      <c r="K429" s="2" t="s">
        <v>36</v>
      </c>
      <c r="L429" s="1" t="s">
        <v>6</v>
      </c>
      <c r="M429" s="1" t="s">
        <v>76</v>
      </c>
      <c r="N429" s="1">
        <v>480</v>
      </c>
    </row>
    <row r="430" spans="1:14" x14ac:dyDescent="0.25">
      <c r="A430" s="1"/>
      <c r="B430" s="2" t="s">
        <v>917</v>
      </c>
      <c r="C430" s="38">
        <v>42461</v>
      </c>
      <c r="D430" s="2" t="s">
        <v>256</v>
      </c>
      <c r="E430" s="2" t="s">
        <v>77</v>
      </c>
      <c r="F430" s="7" t="s">
        <v>4386</v>
      </c>
      <c r="G430" s="2" t="s">
        <v>213</v>
      </c>
      <c r="H430" s="7" t="s">
        <v>4387</v>
      </c>
      <c r="I430" s="38">
        <v>42461</v>
      </c>
      <c r="J430" s="2" t="s">
        <v>116</v>
      </c>
      <c r="K430" s="2" t="s">
        <v>36</v>
      </c>
      <c r="L430" s="1" t="s">
        <v>6</v>
      </c>
      <c r="M430" s="1" t="s">
        <v>76</v>
      </c>
      <c r="N430" s="1">
        <v>481</v>
      </c>
    </row>
    <row r="431" spans="1:14" x14ac:dyDescent="0.25">
      <c r="A431" s="1"/>
      <c r="B431" s="2" t="s">
        <v>917</v>
      </c>
      <c r="C431" s="38">
        <v>42461</v>
      </c>
      <c r="D431" s="2" t="s">
        <v>256</v>
      </c>
      <c r="E431" s="2" t="s">
        <v>648</v>
      </c>
      <c r="F431" s="7" t="s">
        <v>4388</v>
      </c>
      <c r="G431" s="2" t="s">
        <v>213</v>
      </c>
      <c r="H431" s="7"/>
      <c r="I431" s="38">
        <v>42461</v>
      </c>
      <c r="J431" s="2" t="s">
        <v>116</v>
      </c>
      <c r="K431" s="2" t="s">
        <v>36</v>
      </c>
      <c r="L431" s="1" t="s">
        <v>6</v>
      </c>
      <c r="M431" s="1" t="s">
        <v>76</v>
      </c>
      <c r="N431" s="1">
        <v>482</v>
      </c>
    </row>
    <row r="432" spans="1:14" ht="30" x14ac:dyDescent="0.25">
      <c r="A432" s="1"/>
      <c r="B432" s="2" t="s">
        <v>2870</v>
      </c>
      <c r="C432" s="38">
        <v>42464</v>
      </c>
      <c r="D432" s="2" t="s">
        <v>79</v>
      </c>
      <c r="E432" s="2" t="s">
        <v>279</v>
      </c>
      <c r="F432" s="7" t="s">
        <v>4511</v>
      </c>
      <c r="G432" s="2" t="s">
        <v>213</v>
      </c>
      <c r="H432" s="7" t="s">
        <v>4512</v>
      </c>
      <c r="I432" s="38">
        <v>42464</v>
      </c>
      <c r="J432" s="2" t="s">
        <v>1105</v>
      </c>
      <c r="K432" s="2" t="s">
        <v>41</v>
      </c>
      <c r="L432" s="1" t="s">
        <v>6</v>
      </c>
      <c r="M432" s="1" t="s">
        <v>76</v>
      </c>
      <c r="N432" s="1">
        <v>483</v>
      </c>
    </row>
    <row r="433" spans="1:14" ht="30" x14ac:dyDescent="0.25">
      <c r="A433" s="1"/>
      <c r="B433" s="2" t="s">
        <v>2870</v>
      </c>
      <c r="C433" s="38">
        <v>42464</v>
      </c>
      <c r="D433" s="2" t="s">
        <v>79</v>
      </c>
      <c r="E433" s="2" t="s">
        <v>77</v>
      </c>
      <c r="F433" s="7" t="s">
        <v>4513</v>
      </c>
      <c r="G433" s="2" t="s">
        <v>213</v>
      </c>
      <c r="H433" s="7" t="s">
        <v>4514</v>
      </c>
      <c r="I433" s="38">
        <v>42464</v>
      </c>
      <c r="J433" s="2" t="s">
        <v>1105</v>
      </c>
      <c r="K433" s="2" t="s">
        <v>41</v>
      </c>
      <c r="L433" s="1" t="s">
        <v>6</v>
      </c>
      <c r="M433" s="1" t="s">
        <v>76</v>
      </c>
      <c r="N433" s="1">
        <v>484</v>
      </c>
    </row>
    <row r="434" spans="1:14" ht="30" x14ac:dyDescent="0.25">
      <c r="A434" s="1"/>
      <c r="B434" s="2" t="s">
        <v>2870</v>
      </c>
      <c r="C434" s="38">
        <v>42464</v>
      </c>
      <c r="D434" s="2" t="s">
        <v>79</v>
      </c>
      <c r="E434" s="2" t="s">
        <v>77</v>
      </c>
      <c r="F434" s="7" t="s">
        <v>4515</v>
      </c>
      <c r="G434" s="2" t="s">
        <v>213</v>
      </c>
      <c r="H434" s="7" t="s">
        <v>4389</v>
      </c>
      <c r="I434" s="38">
        <v>42464</v>
      </c>
      <c r="J434" s="2" t="s">
        <v>1105</v>
      </c>
      <c r="K434" s="2" t="s">
        <v>41</v>
      </c>
      <c r="L434" s="1" t="s">
        <v>6</v>
      </c>
      <c r="M434" s="1" t="s">
        <v>76</v>
      </c>
      <c r="N434" s="1">
        <v>485</v>
      </c>
    </row>
    <row r="435" spans="1:14" ht="30" x14ac:dyDescent="0.25">
      <c r="A435" s="1"/>
      <c r="B435" s="2" t="s">
        <v>2870</v>
      </c>
      <c r="C435" s="38">
        <v>42464</v>
      </c>
      <c r="D435" s="2" t="s">
        <v>79</v>
      </c>
      <c r="E435" s="2" t="s">
        <v>77</v>
      </c>
      <c r="F435" s="7" t="s">
        <v>4516</v>
      </c>
      <c r="G435" s="2" t="s">
        <v>213</v>
      </c>
      <c r="H435" s="7" t="s">
        <v>4390</v>
      </c>
      <c r="I435" s="38">
        <v>42464</v>
      </c>
      <c r="J435" s="2" t="s">
        <v>1105</v>
      </c>
      <c r="K435" s="2" t="s">
        <v>41</v>
      </c>
      <c r="L435" s="1" t="s">
        <v>6</v>
      </c>
      <c r="M435" s="1" t="s">
        <v>76</v>
      </c>
      <c r="N435" s="1">
        <v>486</v>
      </c>
    </row>
    <row r="436" spans="1:14" ht="30" x14ac:dyDescent="0.25">
      <c r="A436" s="1"/>
      <c r="B436" s="2" t="s">
        <v>2870</v>
      </c>
      <c r="C436" s="38">
        <v>42464</v>
      </c>
      <c r="D436" s="2" t="s">
        <v>79</v>
      </c>
      <c r="E436" s="2" t="s">
        <v>77</v>
      </c>
      <c r="F436" s="7" t="s">
        <v>4517</v>
      </c>
      <c r="G436" s="2" t="s">
        <v>213</v>
      </c>
      <c r="H436" s="7" t="s">
        <v>4518</v>
      </c>
      <c r="I436" s="38">
        <v>42464</v>
      </c>
      <c r="J436" s="2" t="s">
        <v>1105</v>
      </c>
      <c r="K436" s="2" t="s">
        <v>41</v>
      </c>
      <c r="L436" s="1" t="s">
        <v>6</v>
      </c>
      <c r="M436" s="1" t="s">
        <v>76</v>
      </c>
      <c r="N436" s="1">
        <v>487</v>
      </c>
    </row>
    <row r="437" spans="1:14" ht="45" x14ac:dyDescent="0.25">
      <c r="A437" s="1"/>
      <c r="B437" s="2" t="s">
        <v>2870</v>
      </c>
      <c r="C437" s="38">
        <v>42464</v>
      </c>
      <c r="D437" s="2" t="s">
        <v>79</v>
      </c>
      <c r="E437" s="2" t="s">
        <v>257</v>
      </c>
      <c r="F437" s="7" t="s">
        <v>4519</v>
      </c>
      <c r="G437" s="2" t="s">
        <v>213</v>
      </c>
      <c r="H437" s="7" t="s">
        <v>4391</v>
      </c>
      <c r="I437" s="38">
        <v>42464</v>
      </c>
      <c r="J437" s="2" t="s">
        <v>1105</v>
      </c>
      <c r="K437" s="2" t="s">
        <v>41</v>
      </c>
      <c r="L437" s="1" t="s">
        <v>6</v>
      </c>
      <c r="M437" s="1" t="s">
        <v>76</v>
      </c>
      <c r="N437" s="1">
        <v>488</v>
      </c>
    </row>
    <row r="438" spans="1:14" x14ac:dyDescent="0.25">
      <c r="A438" s="1"/>
      <c r="B438" s="2" t="s">
        <v>2870</v>
      </c>
      <c r="C438" s="38">
        <v>42464</v>
      </c>
      <c r="D438" s="2" t="s">
        <v>79</v>
      </c>
      <c r="E438" s="2" t="s">
        <v>257</v>
      </c>
      <c r="F438" s="7" t="s">
        <v>4520</v>
      </c>
      <c r="G438" s="2" t="s">
        <v>213</v>
      </c>
      <c r="H438" s="7" t="s">
        <v>4392</v>
      </c>
      <c r="I438" s="38">
        <v>42464</v>
      </c>
      <c r="J438" s="2" t="s">
        <v>1105</v>
      </c>
      <c r="K438" s="2" t="s">
        <v>41</v>
      </c>
      <c r="L438" s="1" t="s">
        <v>6</v>
      </c>
      <c r="M438" s="1" t="s">
        <v>76</v>
      </c>
      <c r="N438" s="1">
        <v>489</v>
      </c>
    </row>
    <row r="439" spans="1:14" ht="30" x14ac:dyDescent="0.25">
      <c r="A439" s="1"/>
      <c r="B439" s="2" t="s">
        <v>2870</v>
      </c>
      <c r="C439" s="38">
        <v>42464</v>
      </c>
      <c r="D439" s="2" t="s">
        <v>79</v>
      </c>
      <c r="E439" s="2" t="s">
        <v>77</v>
      </c>
      <c r="F439" s="7" t="s">
        <v>4521</v>
      </c>
      <c r="G439" s="2" t="s">
        <v>213</v>
      </c>
      <c r="H439" s="7" t="s">
        <v>4393</v>
      </c>
      <c r="I439" s="38">
        <v>42464</v>
      </c>
      <c r="J439" s="2" t="s">
        <v>1105</v>
      </c>
      <c r="K439" s="2" t="s">
        <v>41</v>
      </c>
      <c r="L439" s="1" t="s">
        <v>6</v>
      </c>
      <c r="M439" s="1" t="s">
        <v>76</v>
      </c>
      <c r="N439" s="1">
        <v>490</v>
      </c>
    </row>
    <row r="440" spans="1:14" ht="120" x14ac:dyDescent="0.25">
      <c r="A440" s="1"/>
      <c r="B440" s="2" t="s">
        <v>2870</v>
      </c>
      <c r="C440" s="38">
        <v>42464</v>
      </c>
      <c r="D440" s="2" t="s">
        <v>75</v>
      </c>
      <c r="E440" s="2" t="s">
        <v>77</v>
      </c>
      <c r="F440" s="7" t="s">
        <v>4522</v>
      </c>
      <c r="G440" s="2" t="s">
        <v>213</v>
      </c>
      <c r="H440" s="7" t="s">
        <v>4523</v>
      </c>
      <c r="I440" s="38">
        <v>42464</v>
      </c>
      <c r="J440" s="2" t="s">
        <v>1105</v>
      </c>
      <c r="K440" s="2" t="s">
        <v>41</v>
      </c>
      <c r="L440" s="1" t="s">
        <v>6</v>
      </c>
      <c r="M440" s="1" t="s">
        <v>76</v>
      </c>
      <c r="N440" s="1">
        <v>491</v>
      </c>
    </row>
    <row r="441" spans="1:14" ht="45" x14ac:dyDescent="0.25">
      <c r="A441" s="1"/>
      <c r="B441" s="2" t="s">
        <v>2870</v>
      </c>
      <c r="C441" s="38">
        <v>42464</v>
      </c>
      <c r="D441" s="2" t="s">
        <v>75</v>
      </c>
      <c r="E441" s="2" t="s">
        <v>279</v>
      </c>
      <c r="F441" s="7" t="s">
        <v>4524</v>
      </c>
      <c r="G441" s="2" t="s">
        <v>213</v>
      </c>
      <c r="H441" s="7" t="s">
        <v>4525</v>
      </c>
      <c r="I441" s="38">
        <v>42464</v>
      </c>
      <c r="J441" s="2" t="s">
        <v>1105</v>
      </c>
      <c r="K441" s="2" t="s">
        <v>41</v>
      </c>
      <c r="L441" s="1" t="s">
        <v>6</v>
      </c>
      <c r="M441" s="1" t="s">
        <v>76</v>
      </c>
      <c r="N441" s="1">
        <v>492</v>
      </c>
    </row>
    <row r="442" spans="1:14" x14ac:dyDescent="0.25">
      <c r="A442" s="1"/>
      <c r="B442" s="2" t="s">
        <v>2870</v>
      </c>
      <c r="C442" s="38">
        <v>42464</v>
      </c>
      <c r="D442" s="2" t="s">
        <v>79</v>
      </c>
      <c r="E442" s="2" t="s">
        <v>77</v>
      </c>
      <c r="F442" s="7" t="s">
        <v>4526</v>
      </c>
      <c r="G442" s="2" t="s">
        <v>213</v>
      </c>
      <c r="H442" s="7" t="s">
        <v>4394</v>
      </c>
      <c r="I442" s="38">
        <v>42464</v>
      </c>
      <c r="J442" s="2" t="s">
        <v>1105</v>
      </c>
      <c r="K442" s="2" t="s">
        <v>41</v>
      </c>
      <c r="L442" s="1" t="s">
        <v>6</v>
      </c>
      <c r="M442" s="1" t="s">
        <v>76</v>
      </c>
      <c r="N442" s="1">
        <v>493</v>
      </c>
    </row>
    <row r="443" spans="1:14" x14ac:dyDescent="0.25">
      <c r="A443" s="1"/>
      <c r="B443" s="2" t="s">
        <v>915</v>
      </c>
      <c r="C443" s="38">
        <v>42466</v>
      </c>
      <c r="D443" s="2" t="s">
        <v>256</v>
      </c>
      <c r="E443" s="2" t="s">
        <v>279</v>
      </c>
      <c r="F443" s="7" t="s">
        <v>4527</v>
      </c>
      <c r="G443" s="2" t="s">
        <v>213</v>
      </c>
      <c r="H443" s="7"/>
      <c r="I443" s="38">
        <v>42466</v>
      </c>
      <c r="J443" s="2" t="s">
        <v>116</v>
      </c>
      <c r="K443" s="2" t="s">
        <v>116</v>
      </c>
      <c r="L443" s="1" t="s">
        <v>6</v>
      </c>
      <c r="M443" s="1" t="s">
        <v>76</v>
      </c>
      <c r="N443" s="1">
        <v>494</v>
      </c>
    </row>
    <row r="444" spans="1:14" x14ac:dyDescent="0.25">
      <c r="A444" s="1"/>
      <c r="B444" s="2" t="s">
        <v>915</v>
      </c>
      <c r="C444" s="38">
        <v>42466</v>
      </c>
      <c r="D444" s="2" t="s">
        <v>75</v>
      </c>
      <c r="E444" s="2" t="s">
        <v>77</v>
      </c>
      <c r="F444" s="7" t="s">
        <v>4528</v>
      </c>
      <c r="G444" s="2" t="s">
        <v>213</v>
      </c>
      <c r="H444" s="7" t="s">
        <v>4395</v>
      </c>
      <c r="I444" s="38">
        <v>42466</v>
      </c>
      <c r="J444" s="2" t="s">
        <v>116</v>
      </c>
      <c r="K444" s="2" t="s">
        <v>116</v>
      </c>
      <c r="L444" s="1" t="s">
        <v>6</v>
      </c>
      <c r="M444" s="1" t="s">
        <v>76</v>
      </c>
      <c r="N444" s="1">
        <v>495</v>
      </c>
    </row>
    <row r="445" spans="1:14" ht="30" x14ac:dyDescent="0.25">
      <c r="A445" s="1"/>
      <c r="B445" s="2" t="s">
        <v>915</v>
      </c>
      <c r="C445" s="38">
        <v>42466</v>
      </c>
      <c r="D445" s="2" t="s">
        <v>75</v>
      </c>
      <c r="E445" s="2" t="s">
        <v>415</v>
      </c>
      <c r="F445" s="7" t="s">
        <v>4529</v>
      </c>
      <c r="G445" s="2" t="s">
        <v>213</v>
      </c>
      <c r="H445" s="7" t="s">
        <v>4396</v>
      </c>
      <c r="I445" s="38">
        <v>42466</v>
      </c>
      <c r="J445" s="2" t="s">
        <v>116</v>
      </c>
      <c r="K445" s="2" t="s">
        <v>116</v>
      </c>
      <c r="L445" s="1" t="s">
        <v>6</v>
      </c>
      <c r="M445" s="1" t="s">
        <v>76</v>
      </c>
      <c r="N445" s="1">
        <v>496</v>
      </c>
    </row>
    <row r="446" spans="1:14" x14ac:dyDescent="0.25">
      <c r="A446" s="1"/>
      <c r="B446" s="2" t="s">
        <v>915</v>
      </c>
      <c r="C446" s="38">
        <v>42466</v>
      </c>
      <c r="D446" s="2" t="s">
        <v>79</v>
      </c>
      <c r="E446" s="2" t="s">
        <v>279</v>
      </c>
      <c r="F446" s="7" t="s">
        <v>2577</v>
      </c>
      <c r="G446" s="2" t="s">
        <v>213</v>
      </c>
      <c r="H446" s="7" t="s">
        <v>4397</v>
      </c>
      <c r="I446" s="38">
        <v>42466</v>
      </c>
      <c r="J446" s="2" t="s">
        <v>116</v>
      </c>
      <c r="K446" s="2" t="s">
        <v>116</v>
      </c>
      <c r="L446" s="1" t="s">
        <v>6</v>
      </c>
      <c r="M446" s="1" t="s">
        <v>76</v>
      </c>
      <c r="N446" s="1">
        <v>497</v>
      </c>
    </row>
    <row r="447" spans="1:14" ht="30" x14ac:dyDescent="0.25">
      <c r="A447" s="1"/>
      <c r="B447" s="2" t="s">
        <v>915</v>
      </c>
      <c r="C447" s="38">
        <v>42466</v>
      </c>
      <c r="D447" s="2" t="s">
        <v>79</v>
      </c>
      <c r="E447" s="2" t="s">
        <v>279</v>
      </c>
      <c r="F447" s="7" t="s">
        <v>4530</v>
      </c>
      <c r="G447" s="2" t="s">
        <v>213</v>
      </c>
      <c r="H447" s="7" t="s">
        <v>4398</v>
      </c>
      <c r="I447" s="38">
        <v>42466</v>
      </c>
      <c r="J447" s="2" t="s">
        <v>116</v>
      </c>
      <c r="K447" s="2" t="s">
        <v>116</v>
      </c>
      <c r="L447" s="1" t="s">
        <v>6</v>
      </c>
      <c r="M447" s="1" t="s">
        <v>76</v>
      </c>
      <c r="N447" s="1">
        <v>498</v>
      </c>
    </row>
    <row r="448" spans="1:14" x14ac:dyDescent="0.25">
      <c r="A448" s="1"/>
      <c r="B448" s="2" t="s">
        <v>915</v>
      </c>
      <c r="C448" s="38">
        <v>42466</v>
      </c>
      <c r="D448" s="2" t="s">
        <v>256</v>
      </c>
      <c r="E448" s="2" t="s">
        <v>77</v>
      </c>
      <c r="F448" s="7" t="s">
        <v>4531</v>
      </c>
      <c r="G448" s="2" t="s">
        <v>213</v>
      </c>
      <c r="H448" s="7"/>
      <c r="I448" s="38">
        <v>42466</v>
      </c>
      <c r="J448" s="2" t="s">
        <v>116</v>
      </c>
      <c r="K448" s="2" t="s">
        <v>116</v>
      </c>
      <c r="L448" s="1" t="s">
        <v>6</v>
      </c>
      <c r="M448" s="1" t="s">
        <v>76</v>
      </c>
      <c r="N448" s="1">
        <v>499</v>
      </c>
    </row>
    <row r="449" spans="1:14" ht="30" x14ac:dyDescent="0.25">
      <c r="A449" s="1"/>
      <c r="B449" s="2" t="s">
        <v>915</v>
      </c>
      <c r="C449" s="38">
        <v>42467</v>
      </c>
      <c r="D449" s="2" t="s">
        <v>79</v>
      </c>
      <c r="E449" s="2" t="s">
        <v>309</v>
      </c>
      <c r="F449" s="7" t="s">
        <v>4532</v>
      </c>
      <c r="G449" s="2" t="s">
        <v>213</v>
      </c>
      <c r="H449" s="7" t="s">
        <v>4533</v>
      </c>
      <c r="I449" s="38">
        <v>42467</v>
      </c>
      <c r="J449" s="2" t="s">
        <v>116</v>
      </c>
      <c r="K449" s="2" t="s">
        <v>116</v>
      </c>
      <c r="L449" s="1" t="s">
        <v>6</v>
      </c>
      <c r="M449" s="1" t="s">
        <v>76</v>
      </c>
      <c r="N449" s="1">
        <v>500</v>
      </c>
    </row>
    <row r="450" spans="1:14" x14ac:dyDescent="0.25">
      <c r="A450" s="1"/>
      <c r="B450" s="2" t="s">
        <v>2872</v>
      </c>
      <c r="C450" s="38">
        <v>42467</v>
      </c>
      <c r="D450" s="2" t="s">
        <v>256</v>
      </c>
      <c r="E450" s="2" t="s">
        <v>77</v>
      </c>
      <c r="F450" s="7" t="s">
        <v>4534</v>
      </c>
      <c r="G450" s="2" t="s">
        <v>213</v>
      </c>
      <c r="H450" s="7"/>
      <c r="I450" s="38">
        <v>42467</v>
      </c>
      <c r="J450" s="2" t="s">
        <v>116</v>
      </c>
      <c r="K450" s="2" t="s">
        <v>41</v>
      </c>
      <c r="L450" s="1" t="s">
        <v>6</v>
      </c>
      <c r="M450" s="1" t="s">
        <v>76</v>
      </c>
      <c r="N450" s="1">
        <v>501</v>
      </c>
    </row>
    <row r="451" spans="1:14" ht="30" x14ac:dyDescent="0.25">
      <c r="A451" s="1"/>
      <c r="B451" s="2" t="s">
        <v>2872</v>
      </c>
      <c r="C451" s="38">
        <v>42467</v>
      </c>
      <c r="D451" s="2" t="s">
        <v>256</v>
      </c>
      <c r="E451" s="2" t="s">
        <v>269</v>
      </c>
      <c r="F451" s="7" t="s">
        <v>4535</v>
      </c>
      <c r="G451" s="2" t="s">
        <v>213</v>
      </c>
      <c r="H451" s="7"/>
      <c r="I451" s="38">
        <v>42467</v>
      </c>
      <c r="J451" s="2" t="s">
        <v>116</v>
      </c>
      <c r="K451" s="2" t="s">
        <v>41</v>
      </c>
      <c r="L451" s="1" t="s">
        <v>6</v>
      </c>
      <c r="M451" s="1" t="s">
        <v>76</v>
      </c>
      <c r="N451" s="1">
        <v>502</v>
      </c>
    </row>
    <row r="452" spans="1:14" ht="30" x14ac:dyDescent="0.25">
      <c r="A452" s="1"/>
      <c r="B452" s="2" t="s">
        <v>2872</v>
      </c>
      <c r="C452" s="38">
        <v>42467</v>
      </c>
      <c r="D452" s="2" t="s">
        <v>256</v>
      </c>
      <c r="E452" s="2" t="s">
        <v>269</v>
      </c>
      <c r="F452" s="7" t="s">
        <v>4536</v>
      </c>
      <c r="G452" s="2" t="s">
        <v>213</v>
      </c>
      <c r="H452" s="7"/>
      <c r="I452" s="38">
        <v>42467</v>
      </c>
      <c r="J452" s="2" t="s">
        <v>116</v>
      </c>
      <c r="K452" s="2" t="s">
        <v>41</v>
      </c>
      <c r="L452" s="1" t="s">
        <v>6</v>
      </c>
      <c r="M452" s="1" t="s">
        <v>76</v>
      </c>
      <c r="N452" s="1">
        <v>503</v>
      </c>
    </row>
    <row r="453" spans="1:14" ht="30" x14ac:dyDescent="0.25">
      <c r="A453" s="1"/>
      <c r="B453" s="2" t="s">
        <v>2872</v>
      </c>
      <c r="C453" s="38">
        <v>42467</v>
      </c>
      <c r="D453" s="2" t="s">
        <v>79</v>
      </c>
      <c r="E453" s="2" t="s">
        <v>77</v>
      </c>
      <c r="F453" s="7" t="s">
        <v>4537</v>
      </c>
      <c r="G453" s="2" t="s">
        <v>213</v>
      </c>
      <c r="H453" s="7" t="s">
        <v>4399</v>
      </c>
      <c r="I453" s="38">
        <v>42467</v>
      </c>
      <c r="J453" s="2" t="s">
        <v>116</v>
      </c>
      <c r="K453" s="2" t="s">
        <v>41</v>
      </c>
      <c r="L453" s="1" t="s">
        <v>6</v>
      </c>
      <c r="M453" s="1" t="s">
        <v>76</v>
      </c>
      <c r="N453" s="1">
        <v>504</v>
      </c>
    </row>
    <row r="454" spans="1:14" x14ac:dyDescent="0.25">
      <c r="A454" s="1"/>
      <c r="B454" s="2" t="s">
        <v>2872</v>
      </c>
      <c r="C454" s="38">
        <v>42467</v>
      </c>
      <c r="D454" s="2" t="s">
        <v>79</v>
      </c>
      <c r="E454" s="2" t="s">
        <v>85</v>
      </c>
      <c r="F454" s="7" t="s">
        <v>4538</v>
      </c>
      <c r="G454" s="2" t="s">
        <v>213</v>
      </c>
      <c r="H454" s="7" t="s">
        <v>4400</v>
      </c>
      <c r="I454" s="38">
        <v>42467</v>
      </c>
      <c r="J454" s="2" t="s">
        <v>116</v>
      </c>
      <c r="K454" s="2" t="s">
        <v>41</v>
      </c>
      <c r="L454" s="1" t="s">
        <v>6</v>
      </c>
      <c r="M454" s="1" t="s">
        <v>76</v>
      </c>
      <c r="N454" s="1">
        <v>505</v>
      </c>
    </row>
    <row r="455" spans="1:14" x14ac:dyDescent="0.25">
      <c r="A455" s="1"/>
      <c r="B455" s="2" t="s">
        <v>2872</v>
      </c>
      <c r="C455" s="38">
        <v>42467</v>
      </c>
      <c r="D455" s="2" t="s">
        <v>256</v>
      </c>
      <c r="E455" s="2" t="s">
        <v>279</v>
      </c>
      <c r="F455" s="7" t="s">
        <v>4539</v>
      </c>
      <c r="G455" s="2" t="s">
        <v>213</v>
      </c>
      <c r="H455" s="7"/>
      <c r="I455" s="38">
        <v>42467</v>
      </c>
      <c r="J455" s="2" t="s">
        <v>116</v>
      </c>
      <c r="K455" s="2" t="s">
        <v>41</v>
      </c>
      <c r="L455" s="1" t="s">
        <v>6</v>
      </c>
      <c r="M455" s="1" t="s">
        <v>76</v>
      </c>
      <c r="N455" s="1">
        <v>506</v>
      </c>
    </row>
    <row r="456" spans="1:14" x14ac:dyDescent="0.25">
      <c r="A456" s="1"/>
      <c r="B456" s="2" t="s">
        <v>2872</v>
      </c>
      <c r="C456" s="38">
        <v>42468</v>
      </c>
      <c r="D456" s="2" t="s">
        <v>256</v>
      </c>
      <c r="E456" s="2" t="s">
        <v>648</v>
      </c>
      <c r="F456" s="7" t="s">
        <v>4401</v>
      </c>
      <c r="G456" s="2" t="s">
        <v>213</v>
      </c>
      <c r="H456" s="7"/>
      <c r="I456" s="38">
        <v>42468</v>
      </c>
      <c r="J456" s="2" t="s">
        <v>116</v>
      </c>
      <c r="K456" s="2" t="s">
        <v>41</v>
      </c>
      <c r="L456" s="1" t="s">
        <v>6</v>
      </c>
      <c r="M456" s="1" t="s">
        <v>76</v>
      </c>
      <c r="N456" s="1">
        <v>507</v>
      </c>
    </row>
    <row r="457" spans="1:14" ht="30" x14ac:dyDescent="0.25">
      <c r="A457" s="1"/>
      <c r="B457" s="2" t="s">
        <v>915</v>
      </c>
      <c r="C457" s="38">
        <v>42471</v>
      </c>
      <c r="D457" s="2" t="s">
        <v>75</v>
      </c>
      <c r="E457" s="2" t="s">
        <v>257</v>
      </c>
      <c r="F457" s="7" t="s">
        <v>4540</v>
      </c>
      <c r="G457" s="2" t="s">
        <v>213</v>
      </c>
      <c r="H457" s="7" t="s">
        <v>4402</v>
      </c>
      <c r="I457" s="38">
        <v>42472</v>
      </c>
      <c r="J457" s="2" t="s">
        <v>116</v>
      </c>
      <c r="K457" s="2" t="s">
        <v>116</v>
      </c>
      <c r="L457" s="1" t="s">
        <v>6</v>
      </c>
      <c r="M457" s="1" t="s">
        <v>76</v>
      </c>
      <c r="N457" s="1">
        <v>508</v>
      </c>
    </row>
    <row r="458" spans="1:14" ht="60" x14ac:dyDescent="0.25">
      <c r="A458" s="1"/>
      <c r="B458" s="2" t="s">
        <v>915</v>
      </c>
      <c r="C458" s="38">
        <v>42471</v>
      </c>
      <c r="D458" s="2" t="s">
        <v>79</v>
      </c>
      <c r="E458" s="2" t="s">
        <v>80</v>
      </c>
      <c r="F458" s="7" t="s">
        <v>4541</v>
      </c>
      <c r="G458" s="2" t="s">
        <v>213</v>
      </c>
      <c r="H458" s="7" t="s">
        <v>4542</v>
      </c>
      <c r="I458" s="38">
        <v>42472</v>
      </c>
      <c r="J458" s="2" t="s">
        <v>116</v>
      </c>
      <c r="K458" s="2" t="s">
        <v>116</v>
      </c>
      <c r="L458" s="1" t="s">
        <v>6</v>
      </c>
      <c r="M458" s="1" t="s">
        <v>76</v>
      </c>
      <c r="N458" s="1">
        <v>509</v>
      </c>
    </row>
    <row r="459" spans="1:14" x14ac:dyDescent="0.25">
      <c r="A459" s="1"/>
      <c r="B459" s="2" t="s">
        <v>915</v>
      </c>
      <c r="C459" s="38">
        <v>42472</v>
      </c>
      <c r="D459" s="2" t="s">
        <v>75</v>
      </c>
      <c r="E459" s="2" t="s">
        <v>77</v>
      </c>
      <c r="F459" s="7" t="s">
        <v>4403</v>
      </c>
      <c r="G459" s="2" t="s">
        <v>213</v>
      </c>
      <c r="H459" s="7" t="s">
        <v>4404</v>
      </c>
      <c r="I459" s="38">
        <v>42472</v>
      </c>
      <c r="J459" s="2" t="s">
        <v>116</v>
      </c>
      <c r="K459" s="2" t="s">
        <v>116</v>
      </c>
      <c r="L459" s="1" t="s">
        <v>6</v>
      </c>
      <c r="M459" s="1" t="s">
        <v>76</v>
      </c>
      <c r="N459" s="1">
        <v>510</v>
      </c>
    </row>
    <row r="460" spans="1:14" ht="30" x14ac:dyDescent="0.25">
      <c r="A460" s="1"/>
      <c r="B460" s="2" t="s">
        <v>915</v>
      </c>
      <c r="C460" s="38">
        <v>42472</v>
      </c>
      <c r="D460" s="2" t="s">
        <v>79</v>
      </c>
      <c r="E460" s="2" t="s">
        <v>425</v>
      </c>
      <c r="F460" s="7" t="s">
        <v>4405</v>
      </c>
      <c r="G460" s="2" t="s">
        <v>213</v>
      </c>
      <c r="H460" s="7" t="s">
        <v>4406</v>
      </c>
      <c r="I460" s="38">
        <v>42472</v>
      </c>
      <c r="J460" s="2" t="s">
        <v>116</v>
      </c>
      <c r="K460" s="2" t="s">
        <v>116</v>
      </c>
      <c r="L460" s="1" t="s">
        <v>6</v>
      </c>
      <c r="M460" s="1" t="s">
        <v>76</v>
      </c>
      <c r="N460" s="1">
        <v>511</v>
      </c>
    </row>
    <row r="461" spans="1:14" ht="30" x14ac:dyDescent="0.25">
      <c r="A461" s="1"/>
      <c r="B461" s="2" t="s">
        <v>2874</v>
      </c>
      <c r="C461" s="38">
        <v>42473</v>
      </c>
      <c r="D461" s="2" t="s">
        <v>79</v>
      </c>
      <c r="E461" s="2" t="s">
        <v>85</v>
      </c>
      <c r="F461" s="7" t="s">
        <v>4543</v>
      </c>
      <c r="G461" s="2" t="s">
        <v>213</v>
      </c>
      <c r="H461" s="7" t="s">
        <v>4407</v>
      </c>
      <c r="I461" s="38">
        <v>42473</v>
      </c>
      <c r="J461" s="2" t="s">
        <v>1105</v>
      </c>
      <c r="K461" s="2" t="s">
        <v>116</v>
      </c>
      <c r="L461" s="1" t="s">
        <v>6</v>
      </c>
      <c r="M461" s="1" t="s">
        <v>76</v>
      </c>
      <c r="N461" s="1">
        <v>512</v>
      </c>
    </row>
    <row r="462" spans="1:14" x14ac:dyDescent="0.25">
      <c r="A462" s="1"/>
      <c r="B462" s="2" t="s">
        <v>2874</v>
      </c>
      <c r="C462" s="38">
        <v>42473</v>
      </c>
      <c r="D462" s="2" t="s">
        <v>79</v>
      </c>
      <c r="E462" s="2" t="s">
        <v>77</v>
      </c>
      <c r="F462" s="7" t="s">
        <v>4544</v>
      </c>
      <c r="G462" s="2" t="s">
        <v>213</v>
      </c>
      <c r="H462" s="7" t="s">
        <v>4408</v>
      </c>
      <c r="I462" s="38">
        <v>42473</v>
      </c>
      <c r="J462" s="2" t="s">
        <v>1105</v>
      </c>
      <c r="K462" s="2" t="s">
        <v>116</v>
      </c>
      <c r="L462" s="1" t="s">
        <v>6</v>
      </c>
      <c r="M462" s="1" t="s">
        <v>76</v>
      </c>
      <c r="N462" s="1">
        <v>513</v>
      </c>
    </row>
    <row r="463" spans="1:14" x14ac:dyDescent="0.25">
      <c r="A463" s="1"/>
      <c r="B463" s="2" t="s">
        <v>2874</v>
      </c>
      <c r="C463" s="38">
        <v>42473</v>
      </c>
      <c r="D463" s="2" t="s">
        <v>79</v>
      </c>
      <c r="E463" s="2" t="s">
        <v>269</v>
      </c>
      <c r="F463" s="7" t="s">
        <v>4545</v>
      </c>
      <c r="G463" s="2" t="s">
        <v>213</v>
      </c>
      <c r="H463" s="7" t="s">
        <v>4409</v>
      </c>
      <c r="I463" s="38">
        <v>42473</v>
      </c>
      <c r="J463" s="2" t="s">
        <v>1105</v>
      </c>
      <c r="K463" s="2" t="s">
        <v>116</v>
      </c>
      <c r="L463" s="1" t="s">
        <v>6</v>
      </c>
      <c r="M463" s="1" t="s">
        <v>76</v>
      </c>
      <c r="N463" s="1">
        <v>514</v>
      </c>
    </row>
    <row r="464" spans="1:14" x14ac:dyDescent="0.25">
      <c r="A464" s="1"/>
      <c r="B464" s="2" t="s">
        <v>2874</v>
      </c>
      <c r="C464" s="38">
        <v>42473</v>
      </c>
      <c r="D464" s="2" t="s">
        <v>79</v>
      </c>
      <c r="E464" s="2" t="s">
        <v>279</v>
      </c>
      <c r="F464" s="7" t="s">
        <v>4546</v>
      </c>
      <c r="G464" s="2" t="s">
        <v>213</v>
      </c>
      <c r="H464" s="7" t="s">
        <v>4410</v>
      </c>
      <c r="I464" s="38">
        <v>42473</v>
      </c>
      <c r="J464" s="2" t="s">
        <v>1105</v>
      </c>
      <c r="K464" s="2" t="s">
        <v>116</v>
      </c>
      <c r="L464" s="1" t="s">
        <v>6</v>
      </c>
      <c r="M464" s="1" t="s">
        <v>76</v>
      </c>
      <c r="N464" s="1">
        <v>515</v>
      </c>
    </row>
    <row r="465" spans="1:14" x14ac:dyDescent="0.25">
      <c r="A465" s="1"/>
      <c r="B465" s="2" t="s">
        <v>915</v>
      </c>
      <c r="C465" s="38">
        <v>42475</v>
      </c>
      <c r="D465" s="2" t="s">
        <v>256</v>
      </c>
      <c r="E465" s="2" t="s">
        <v>309</v>
      </c>
      <c r="F465" s="7" t="s">
        <v>4547</v>
      </c>
      <c r="G465" s="2" t="s">
        <v>213</v>
      </c>
      <c r="H465" s="7"/>
      <c r="I465" s="38">
        <v>42475</v>
      </c>
      <c r="J465" s="2" t="s">
        <v>116</v>
      </c>
      <c r="K465" s="2" t="s">
        <v>116</v>
      </c>
      <c r="L465" s="1" t="s">
        <v>6</v>
      </c>
      <c r="M465" s="1" t="s">
        <v>76</v>
      </c>
      <c r="N465" s="1">
        <v>516</v>
      </c>
    </row>
    <row r="466" spans="1:14" x14ac:dyDescent="0.25">
      <c r="A466" s="1"/>
      <c r="B466" s="2" t="s">
        <v>917</v>
      </c>
      <c r="C466" s="38">
        <v>42478</v>
      </c>
      <c r="D466" s="2" t="s">
        <v>79</v>
      </c>
      <c r="E466" s="2" t="s">
        <v>80</v>
      </c>
      <c r="F466" s="7" t="s">
        <v>4411</v>
      </c>
      <c r="G466" s="2" t="s">
        <v>213</v>
      </c>
      <c r="H466" s="7" t="s">
        <v>4412</v>
      </c>
      <c r="I466" s="38">
        <v>42478</v>
      </c>
      <c r="J466" s="2" t="s">
        <v>116</v>
      </c>
      <c r="K466" s="2" t="s">
        <v>36</v>
      </c>
      <c r="L466" s="1" t="s">
        <v>6</v>
      </c>
      <c r="M466" s="1" t="s">
        <v>76</v>
      </c>
      <c r="N466" s="1">
        <v>517</v>
      </c>
    </row>
    <row r="467" spans="1:14" ht="30" x14ac:dyDescent="0.25">
      <c r="A467" s="1"/>
      <c r="B467" s="2" t="s">
        <v>917</v>
      </c>
      <c r="C467" s="38">
        <v>42478</v>
      </c>
      <c r="D467" s="2" t="s">
        <v>256</v>
      </c>
      <c r="E467" s="2" t="s">
        <v>80</v>
      </c>
      <c r="F467" s="7" t="s">
        <v>4413</v>
      </c>
      <c r="G467" s="2" t="s">
        <v>213</v>
      </c>
      <c r="H467" s="7"/>
      <c r="I467" s="38">
        <v>42478</v>
      </c>
      <c r="J467" s="2" t="s">
        <v>116</v>
      </c>
      <c r="K467" s="2" t="s">
        <v>36</v>
      </c>
      <c r="L467" s="1" t="s">
        <v>6</v>
      </c>
      <c r="M467" s="1" t="s">
        <v>76</v>
      </c>
      <c r="N467" s="1">
        <v>518</v>
      </c>
    </row>
    <row r="468" spans="1:14" ht="30" x14ac:dyDescent="0.25">
      <c r="A468" s="1"/>
      <c r="B468" s="2" t="s">
        <v>917</v>
      </c>
      <c r="C468" s="38">
        <v>42478</v>
      </c>
      <c r="D468" s="2" t="s">
        <v>256</v>
      </c>
      <c r="E468" s="2" t="s">
        <v>80</v>
      </c>
      <c r="F468" s="7" t="s">
        <v>4548</v>
      </c>
      <c r="G468" s="2" t="s">
        <v>213</v>
      </c>
      <c r="H468" s="7"/>
      <c r="I468" s="38">
        <v>42478</v>
      </c>
      <c r="J468" s="2" t="s">
        <v>116</v>
      </c>
      <c r="K468" s="2" t="s">
        <v>36</v>
      </c>
      <c r="L468" s="1" t="s">
        <v>6</v>
      </c>
      <c r="M468" s="1" t="s">
        <v>76</v>
      </c>
      <c r="N468" s="1">
        <v>519</v>
      </c>
    </row>
    <row r="469" spans="1:14" ht="30" x14ac:dyDescent="0.25">
      <c r="A469" s="1"/>
      <c r="B469" s="2" t="s">
        <v>917</v>
      </c>
      <c r="C469" s="38">
        <v>42478</v>
      </c>
      <c r="D469" s="2" t="s">
        <v>79</v>
      </c>
      <c r="E469" s="2" t="s">
        <v>80</v>
      </c>
      <c r="F469" s="7" t="s">
        <v>4414</v>
      </c>
      <c r="G469" s="2" t="s">
        <v>213</v>
      </c>
      <c r="H469" s="7" t="s">
        <v>4549</v>
      </c>
      <c r="I469" s="38">
        <v>42478</v>
      </c>
      <c r="J469" s="2" t="s">
        <v>116</v>
      </c>
      <c r="K469" s="2" t="s">
        <v>36</v>
      </c>
      <c r="L469" s="1" t="s">
        <v>6</v>
      </c>
      <c r="M469" s="1" t="s">
        <v>76</v>
      </c>
      <c r="N469" s="1">
        <v>520</v>
      </c>
    </row>
    <row r="470" spans="1:14" ht="30" x14ac:dyDescent="0.25">
      <c r="A470" s="1"/>
      <c r="B470" s="2" t="s">
        <v>917</v>
      </c>
      <c r="C470" s="38">
        <v>42478</v>
      </c>
      <c r="D470" s="2" t="s">
        <v>75</v>
      </c>
      <c r="E470" s="2" t="s">
        <v>2640</v>
      </c>
      <c r="F470" s="7" t="s">
        <v>4550</v>
      </c>
      <c r="G470" s="2" t="s">
        <v>213</v>
      </c>
      <c r="H470" s="7" t="s">
        <v>4415</v>
      </c>
      <c r="I470" s="38">
        <v>42478</v>
      </c>
      <c r="J470" s="2" t="s">
        <v>116</v>
      </c>
      <c r="K470" s="2" t="s">
        <v>36</v>
      </c>
      <c r="L470" s="1" t="s">
        <v>6</v>
      </c>
      <c r="M470" s="1" t="s">
        <v>76</v>
      </c>
      <c r="N470" s="1">
        <v>521</v>
      </c>
    </row>
    <row r="471" spans="1:14" x14ac:dyDescent="0.25">
      <c r="A471" s="1"/>
      <c r="B471" s="2" t="s">
        <v>917</v>
      </c>
      <c r="C471" s="38">
        <v>42478</v>
      </c>
      <c r="D471" s="2" t="s">
        <v>79</v>
      </c>
      <c r="E471" s="2" t="s">
        <v>80</v>
      </c>
      <c r="F471" s="7" t="s">
        <v>4416</v>
      </c>
      <c r="G471" s="2" t="s">
        <v>213</v>
      </c>
      <c r="H471" s="7" t="s">
        <v>4417</v>
      </c>
      <c r="I471" s="38">
        <v>42478</v>
      </c>
      <c r="J471" s="2" t="s">
        <v>116</v>
      </c>
      <c r="K471" s="2" t="s">
        <v>36</v>
      </c>
      <c r="L471" s="1" t="s">
        <v>6</v>
      </c>
      <c r="M471" s="1" t="s">
        <v>76</v>
      </c>
      <c r="N471" s="1">
        <v>522</v>
      </c>
    </row>
    <row r="472" spans="1:14" x14ac:dyDescent="0.25">
      <c r="A472" s="1"/>
      <c r="B472" s="2" t="s">
        <v>917</v>
      </c>
      <c r="C472" s="38">
        <v>42478</v>
      </c>
      <c r="D472" s="2" t="s">
        <v>256</v>
      </c>
      <c r="E472" s="2" t="s">
        <v>309</v>
      </c>
      <c r="F472" s="7" t="s">
        <v>4551</v>
      </c>
      <c r="G472" s="2" t="s">
        <v>213</v>
      </c>
      <c r="H472" s="7"/>
      <c r="I472" s="38">
        <v>42478</v>
      </c>
      <c r="J472" s="2" t="s">
        <v>116</v>
      </c>
      <c r="K472" s="2" t="s">
        <v>36</v>
      </c>
      <c r="L472" s="1" t="s">
        <v>6</v>
      </c>
      <c r="M472" s="1" t="s">
        <v>76</v>
      </c>
      <c r="N472" s="1">
        <v>523</v>
      </c>
    </row>
    <row r="473" spans="1:14" ht="30" x14ac:dyDescent="0.25">
      <c r="A473" s="1"/>
      <c r="B473" s="2" t="s">
        <v>915</v>
      </c>
      <c r="C473" s="38">
        <v>42478</v>
      </c>
      <c r="D473" s="2" t="s">
        <v>256</v>
      </c>
      <c r="E473" s="2" t="s">
        <v>2640</v>
      </c>
      <c r="F473" s="7" t="s">
        <v>4418</v>
      </c>
      <c r="G473" s="2" t="s">
        <v>213</v>
      </c>
      <c r="H473" s="7"/>
      <c r="I473" s="38">
        <v>42478</v>
      </c>
      <c r="J473" s="2" t="s">
        <v>116</v>
      </c>
      <c r="K473" s="2" t="s">
        <v>116</v>
      </c>
      <c r="L473" s="1" t="s">
        <v>6</v>
      </c>
      <c r="M473" s="1" t="s">
        <v>76</v>
      </c>
      <c r="N473" s="1">
        <v>524</v>
      </c>
    </row>
    <row r="474" spans="1:14" ht="30" x14ac:dyDescent="0.25">
      <c r="A474" s="1"/>
      <c r="B474" s="2" t="s">
        <v>915</v>
      </c>
      <c r="C474" s="38">
        <v>42478</v>
      </c>
      <c r="D474" s="2" t="s">
        <v>79</v>
      </c>
      <c r="E474" s="2" t="s">
        <v>279</v>
      </c>
      <c r="F474" s="7" t="s">
        <v>4419</v>
      </c>
      <c r="G474" s="2" t="s">
        <v>213</v>
      </c>
      <c r="H474" s="7" t="s">
        <v>4420</v>
      </c>
      <c r="I474" s="38">
        <v>42479</v>
      </c>
      <c r="J474" s="2" t="s">
        <v>116</v>
      </c>
      <c r="K474" s="2" t="s">
        <v>116</v>
      </c>
      <c r="L474" s="1" t="s">
        <v>6</v>
      </c>
      <c r="M474" s="1" t="s">
        <v>76</v>
      </c>
      <c r="N474" s="1">
        <v>525</v>
      </c>
    </row>
    <row r="475" spans="1:14" x14ac:dyDescent="0.25">
      <c r="A475" s="1"/>
      <c r="B475" s="2" t="s">
        <v>915</v>
      </c>
      <c r="C475" s="38">
        <v>42478</v>
      </c>
      <c r="D475" s="2" t="s">
        <v>79</v>
      </c>
      <c r="E475" s="2" t="s">
        <v>275</v>
      </c>
      <c r="F475" s="7" t="s">
        <v>4421</v>
      </c>
      <c r="G475" s="2" t="s">
        <v>213</v>
      </c>
      <c r="H475" s="7" t="s">
        <v>4422</v>
      </c>
      <c r="I475" s="38">
        <v>42481</v>
      </c>
      <c r="J475" s="2" t="s">
        <v>116</v>
      </c>
      <c r="K475" s="2" t="s">
        <v>116</v>
      </c>
      <c r="L475" s="1" t="s">
        <v>6</v>
      </c>
      <c r="M475" s="1" t="s">
        <v>76</v>
      </c>
      <c r="N475" s="1">
        <v>526</v>
      </c>
    </row>
    <row r="476" spans="1:14" x14ac:dyDescent="0.25">
      <c r="A476" s="1"/>
      <c r="B476" s="2" t="s">
        <v>915</v>
      </c>
      <c r="C476" s="38">
        <v>42478</v>
      </c>
      <c r="D476" s="2" t="s">
        <v>79</v>
      </c>
      <c r="E476" s="2" t="s">
        <v>2640</v>
      </c>
      <c r="F476" s="7" t="s">
        <v>4423</v>
      </c>
      <c r="G476" s="2" t="s">
        <v>213</v>
      </c>
      <c r="H476" s="7" t="s">
        <v>4424</v>
      </c>
      <c r="I476" s="38">
        <v>42479</v>
      </c>
      <c r="J476" s="2" t="s">
        <v>116</v>
      </c>
      <c r="K476" s="2" t="s">
        <v>116</v>
      </c>
      <c r="L476" s="1" t="s">
        <v>6</v>
      </c>
      <c r="M476" s="1" t="s">
        <v>76</v>
      </c>
      <c r="N476" s="1">
        <v>528</v>
      </c>
    </row>
    <row r="477" spans="1:14" x14ac:dyDescent="0.25">
      <c r="A477" s="1"/>
      <c r="B477" s="2" t="s">
        <v>915</v>
      </c>
      <c r="C477" s="38">
        <v>42479</v>
      </c>
      <c r="D477" s="2" t="s">
        <v>256</v>
      </c>
      <c r="E477" s="2" t="s">
        <v>309</v>
      </c>
      <c r="F477" s="7" t="s">
        <v>4552</v>
      </c>
      <c r="G477" s="2" t="s">
        <v>213</v>
      </c>
      <c r="H477" s="7"/>
      <c r="I477" s="38">
        <v>42479</v>
      </c>
      <c r="J477" s="2" t="s">
        <v>116</v>
      </c>
      <c r="K477" s="2" t="s">
        <v>116</v>
      </c>
      <c r="L477" s="1" t="s">
        <v>6</v>
      </c>
      <c r="M477" s="1" t="s">
        <v>76</v>
      </c>
      <c r="N477" s="1">
        <v>529</v>
      </c>
    </row>
    <row r="478" spans="1:14" ht="30" x14ac:dyDescent="0.25">
      <c r="A478" s="1"/>
      <c r="B478" s="2" t="s">
        <v>917</v>
      </c>
      <c r="C478" s="38">
        <v>42480</v>
      </c>
      <c r="D478" s="2" t="s">
        <v>79</v>
      </c>
      <c r="E478" s="2" t="s">
        <v>77</v>
      </c>
      <c r="F478" s="7" t="s">
        <v>4425</v>
      </c>
      <c r="G478" s="2" t="s">
        <v>213</v>
      </c>
      <c r="H478" s="7" t="s">
        <v>4426</v>
      </c>
      <c r="I478" s="38">
        <v>42480</v>
      </c>
      <c r="J478" s="2" t="s">
        <v>116</v>
      </c>
      <c r="K478" s="2" t="s">
        <v>36</v>
      </c>
      <c r="L478" s="1" t="s">
        <v>6</v>
      </c>
      <c r="M478" s="1" t="s">
        <v>76</v>
      </c>
      <c r="N478" s="1">
        <v>530</v>
      </c>
    </row>
    <row r="479" spans="1:14" x14ac:dyDescent="0.25">
      <c r="A479" s="1"/>
      <c r="B479" s="2" t="s">
        <v>917</v>
      </c>
      <c r="C479" s="38">
        <v>42480</v>
      </c>
      <c r="D479" s="2" t="s">
        <v>256</v>
      </c>
      <c r="E479" s="2" t="s">
        <v>309</v>
      </c>
      <c r="F479" s="7" t="s">
        <v>4553</v>
      </c>
      <c r="G479" s="2" t="s">
        <v>213</v>
      </c>
      <c r="H479" s="7"/>
      <c r="I479" s="38">
        <v>42480</v>
      </c>
      <c r="J479" s="2" t="s">
        <v>116</v>
      </c>
      <c r="K479" s="2" t="s">
        <v>36</v>
      </c>
      <c r="L479" s="1" t="s">
        <v>6</v>
      </c>
      <c r="M479" s="1" t="s">
        <v>76</v>
      </c>
      <c r="N479" s="1">
        <v>531</v>
      </c>
    </row>
    <row r="480" spans="1:14" ht="30" x14ac:dyDescent="0.25">
      <c r="A480" s="1"/>
      <c r="B480" s="2" t="s">
        <v>2870</v>
      </c>
      <c r="C480" s="38">
        <v>42480</v>
      </c>
      <c r="D480" s="2" t="s">
        <v>79</v>
      </c>
      <c r="E480" s="2" t="s">
        <v>77</v>
      </c>
      <c r="F480" s="7" t="s">
        <v>4554</v>
      </c>
      <c r="G480" s="2" t="s">
        <v>213</v>
      </c>
      <c r="H480" s="7" t="s">
        <v>4427</v>
      </c>
      <c r="I480" s="38">
        <v>42504</v>
      </c>
      <c r="J480" s="2" t="s">
        <v>1105</v>
      </c>
      <c r="K480" s="2" t="s">
        <v>41</v>
      </c>
      <c r="L480" s="1" t="s">
        <v>6</v>
      </c>
      <c r="M480" s="1" t="s">
        <v>76</v>
      </c>
      <c r="N480" s="1">
        <v>532</v>
      </c>
    </row>
    <row r="481" spans="1:14" x14ac:dyDescent="0.25">
      <c r="A481" s="1"/>
      <c r="B481" s="2" t="s">
        <v>915</v>
      </c>
      <c r="C481" s="38">
        <v>42481</v>
      </c>
      <c r="D481" s="2" t="s">
        <v>256</v>
      </c>
      <c r="E481" s="2" t="s">
        <v>2586</v>
      </c>
      <c r="F481" s="7" t="s">
        <v>4555</v>
      </c>
      <c r="G481" s="2" t="s">
        <v>213</v>
      </c>
      <c r="H481" s="7"/>
      <c r="I481" s="38">
        <v>42481</v>
      </c>
      <c r="J481" s="2" t="s">
        <v>116</v>
      </c>
      <c r="K481" s="2" t="s">
        <v>116</v>
      </c>
      <c r="L481" s="1" t="s">
        <v>6</v>
      </c>
      <c r="M481" s="1" t="s">
        <v>76</v>
      </c>
      <c r="N481" s="1">
        <v>533</v>
      </c>
    </row>
    <row r="482" spans="1:14" ht="45" x14ac:dyDescent="0.25">
      <c r="A482" s="1"/>
      <c r="B482" s="2" t="s">
        <v>2870</v>
      </c>
      <c r="C482" s="38">
        <v>42481</v>
      </c>
      <c r="D482" s="2" t="s">
        <v>75</v>
      </c>
      <c r="E482" s="2" t="s">
        <v>270</v>
      </c>
      <c r="F482" s="7" t="s">
        <v>4556</v>
      </c>
      <c r="G482" s="2" t="s">
        <v>213</v>
      </c>
      <c r="H482" s="7" t="s">
        <v>4428</v>
      </c>
      <c r="I482" s="38">
        <v>42502</v>
      </c>
      <c r="J482" s="2" t="s">
        <v>1105</v>
      </c>
      <c r="K482" s="2" t="s">
        <v>41</v>
      </c>
      <c r="L482" s="1" t="s">
        <v>6</v>
      </c>
      <c r="M482" s="1" t="s">
        <v>76</v>
      </c>
      <c r="N482" s="1">
        <v>550</v>
      </c>
    </row>
    <row r="483" spans="1:14" ht="30" x14ac:dyDescent="0.25">
      <c r="A483" s="1"/>
      <c r="B483" s="2" t="s">
        <v>2870</v>
      </c>
      <c r="C483" s="38">
        <v>42481</v>
      </c>
      <c r="D483" s="2" t="s">
        <v>79</v>
      </c>
      <c r="E483" s="2" t="s">
        <v>77</v>
      </c>
      <c r="F483" s="7" t="s">
        <v>4557</v>
      </c>
      <c r="G483" s="2" t="s">
        <v>213</v>
      </c>
      <c r="H483" s="7" t="s">
        <v>4429</v>
      </c>
      <c r="I483" s="38">
        <v>42504</v>
      </c>
      <c r="J483" s="2" t="s">
        <v>1105</v>
      </c>
      <c r="K483" s="2" t="s">
        <v>41</v>
      </c>
      <c r="L483" s="1" t="s">
        <v>6</v>
      </c>
      <c r="M483" s="1" t="s">
        <v>76</v>
      </c>
      <c r="N483" s="1">
        <v>551</v>
      </c>
    </row>
    <row r="484" spans="1:14" ht="45" x14ac:dyDescent="0.25">
      <c r="A484" s="1"/>
      <c r="B484" s="2" t="s">
        <v>2870</v>
      </c>
      <c r="C484" s="38">
        <v>42481</v>
      </c>
      <c r="D484" s="2" t="s">
        <v>75</v>
      </c>
      <c r="E484" s="2" t="s">
        <v>275</v>
      </c>
      <c r="F484" s="7" t="s">
        <v>4558</v>
      </c>
      <c r="G484" s="2" t="s">
        <v>213</v>
      </c>
      <c r="H484" s="7" t="s">
        <v>4430</v>
      </c>
      <c r="I484" s="38">
        <v>42513</v>
      </c>
      <c r="J484" s="2" t="s">
        <v>1105</v>
      </c>
      <c r="K484" s="2" t="s">
        <v>41</v>
      </c>
      <c r="L484" s="1" t="s">
        <v>6</v>
      </c>
      <c r="M484" s="1" t="s">
        <v>76</v>
      </c>
      <c r="N484" s="1">
        <v>552</v>
      </c>
    </row>
    <row r="485" spans="1:14" ht="45" x14ac:dyDescent="0.25">
      <c r="A485" s="1"/>
      <c r="B485" s="2" t="s">
        <v>2870</v>
      </c>
      <c r="C485" s="38">
        <v>42481</v>
      </c>
      <c r="D485" s="2" t="s">
        <v>256</v>
      </c>
      <c r="E485" s="2" t="s">
        <v>275</v>
      </c>
      <c r="F485" s="7" t="s">
        <v>4559</v>
      </c>
      <c r="G485" s="2" t="s">
        <v>213</v>
      </c>
      <c r="H485" s="7"/>
      <c r="I485" s="38">
        <v>42482</v>
      </c>
      <c r="J485" s="2" t="s">
        <v>1105</v>
      </c>
      <c r="K485" s="2" t="s">
        <v>41</v>
      </c>
      <c r="L485" s="1" t="s">
        <v>6</v>
      </c>
      <c r="M485" s="1" t="s">
        <v>76</v>
      </c>
      <c r="N485" s="1">
        <v>553</v>
      </c>
    </row>
    <row r="486" spans="1:14" ht="60" x14ac:dyDescent="0.25">
      <c r="A486" s="1"/>
      <c r="B486" s="2" t="s">
        <v>2870</v>
      </c>
      <c r="C486" s="38">
        <v>42481</v>
      </c>
      <c r="D486" s="2" t="s">
        <v>79</v>
      </c>
      <c r="E486" s="2" t="s">
        <v>270</v>
      </c>
      <c r="F486" s="7" t="s">
        <v>4560</v>
      </c>
      <c r="G486" s="2" t="s">
        <v>213</v>
      </c>
      <c r="H486" s="7" t="s">
        <v>4561</v>
      </c>
      <c r="I486" s="38">
        <v>42504</v>
      </c>
      <c r="J486" s="2" t="s">
        <v>1105</v>
      </c>
      <c r="K486" s="2" t="s">
        <v>41</v>
      </c>
      <c r="L486" s="1" t="s">
        <v>6</v>
      </c>
      <c r="M486" s="1" t="s">
        <v>76</v>
      </c>
      <c r="N486" s="1">
        <v>554</v>
      </c>
    </row>
    <row r="487" spans="1:14" ht="30" x14ac:dyDescent="0.25">
      <c r="A487" s="1"/>
      <c r="B487" s="2" t="s">
        <v>2870</v>
      </c>
      <c r="C487" s="38">
        <v>42481</v>
      </c>
      <c r="D487" s="2" t="s">
        <v>79</v>
      </c>
      <c r="E487" s="2" t="s">
        <v>428</v>
      </c>
      <c r="F487" s="7" t="s">
        <v>4562</v>
      </c>
      <c r="G487" s="2" t="s">
        <v>213</v>
      </c>
      <c r="H487" s="7" t="s">
        <v>4431</v>
      </c>
      <c r="I487" s="38">
        <v>42504</v>
      </c>
      <c r="J487" s="2" t="s">
        <v>1105</v>
      </c>
      <c r="K487" s="2" t="s">
        <v>41</v>
      </c>
      <c r="L487" s="1" t="s">
        <v>6</v>
      </c>
      <c r="M487" s="1" t="s">
        <v>76</v>
      </c>
      <c r="N487" s="1">
        <v>555</v>
      </c>
    </row>
    <row r="488" spans="1:14" ht="30" x14ac:dyDescent="0.25">
      <c r="A488" s="1"/>
      <c r="B488" s="2" t="s">
        <v>2870</v>
      </c>
      <c r="C488" s="38">
        <v>42481</v>
      </c>
      <c r="D488" s="2" t="s">
        <v>79</v>
      </c>
      <c r="E488" s="2" t="s">
        <v>270</v>
      </c>
      <c r="F488" s="7" t="s">
        <v>4563</v>
      </c>
      <c r="G488" s="2" t="s">
        <v>213</v>
      </c>
      <c r="H488" s="7" t="s">
        <v>4432</v>
      </c>
      <c r="I488" s="38">
        <v>42514</v>
      </c>
      <c r="J488" s="2" t="s">
        <v>1105</v>
      </c>
      <c r="K488" s="2" t="s">
        <v>41</v>
      </c>
      <c r="L488" s="1" t="s">
        <v>6</v>
      </c>
      <c r="M488" s="1" t="s">
        <v>76</v>
      </c>
      <c r="N488" s="1">
        <v>556</v>
      </c>
    </row>
    <row r="489" spans="1:14" x14ac:dyDescent="0.25">
      <c r="A489" s="1"/>
      <c r="B489" s="2" t="s">
        <v>2870</v>
      </c>
      <c r="C489" s="38">
        <v>42481</v>
      </c>
      <c r="D489" s="2" t="s">
        <v>75</v>
      </c>
      <c r="E489" s="2" t="s">
        <v>257</v>
      </c>
      <c r="F489" s="7" t="s">
        <v>4433</v>
      </c>
      <c r="G489" s="2" t="s">
        <v>213</v>
      </c>
      <c r="H489" s="7" t="s">
        <v>4434</v>
      </c>
      <c r="I489" s="38">
        <v>42504</v>
      </c>
      <c r="J489" s="2" t="s">
        <v>1105</v>
      </c>
      <c r="K489" s="2" t="s">
        <v>41</v>
      </c>
      <c r="L489" s="1" t="s">
        <v>6</v>
      </c>
      <c r="M489" s="1" t="s">
        <v>76</v>
      </c>
      <c r="N489" s="1">
        <v>557</v>
      </c>
    </row>
    <row r="490" spans="1:14" ht="30" x14ac:dyDescent="0.25">
      <c r="A490" s="1"/>
      <c r="B490" s="2" t="s">
        <v>2870</v>
      </c>
      <c r="C490" s="38">
        <v>42481</v>
      </c>
      <c r="D490" s="2" t="s">
        <v>79</v>
      </c>
      <c r="E490" s="2" t="s">
        <v>269</v>
      </c>
      <c r="F490" s="7" t="s">
        <v>4564</v>
      </c>
      <c r="G490" s="2" t="s">
        <v>213</v>
      </c>
      <c r="H490" s="7" t="s">
        <v>2596</v>
      </c>
      <c r="I490" s="38">
        <v>42504</v>
      </c>
      <c r="J490" s="2" t="s">
        <v>1105</v>
      </c>
      <c r="K490" s="2" t="s">
        <v>41</v>
      </c>
      <c r="L490" s="1" t="s">
        <v>6</v>
      </c>
      <c r="M490" s="1" t="s">
        <v>76</v>
      </c>
      <c r="N490" s="1">
        <v>558</v>
      </c>
    </row>
    <row r="491" spans="1:14" ht="60" x14ac:dyDescent="0.25">
      <c r="A491" s="1"/>
      <c r="B491" s="2" t="s">
        <v>2870</v>
      </c>
      <c r="C491" s="38">
        <v>42481</v>
      </c>
      <c r="D491" s="2" t="s">
        <v>79</v>
      </c>
      <c r="E491" s="2" t="s">
        <v>270</v>
      </c>
      <c r="F491" s="7" t="s">
        <v>4565</v>
      </c>
      <c r="G491" s="2" t="s">
        <v>213</v>
      </c>
      <c r="H491" s="7" t="s">
        <v>4435</v>
      </c>
      <c r="I491" s="38">
        <v>42504</v>
      </c>
      <c r="J491" s="2" t="s">
        <v>1105</v>
      </c>
      <c r="K491" s="2" t="s">
        <v>41</v>
      </c>
      <c r="L491" s="1" t="s">
        <v>6</v>
      </c>
      <c r="M491" s="1" t="s">
        <v>76</v>
      </c>
      <c r="N491" s="1">
        <v>559</v>
      </c>
    </row>
    <row r="492" spans="1:14" ht="30" x14ac:dyDescent="0.25">
      <c r="A492" s="1"/>
      <c r="B492" s="2" t="s">
        <v>2870</v>
      </c>
      <c r="C492" s="38">
        <v>42481</v>
      </c>
      <c r="D492" s="2" t="s">
        <v>79</v>
      </c>
      <c r="E492" s="2" t="s">
        <v>279</v>
      </c>
      <c r="F492" s="7" t="s">
        <v>4566</v>
      </c>
      <c r="G492" s="2" t="s">
        <v>213</v>
      </c>
      <c r="H492" s="7" t="s">
        <v>4436</v>
      </c>
      <c r="I492" s="38">
        <v>42514</v>
      </c>
      <c r="J492" s="2" t="s">
        <v>1105</v>
      </c>
      <c r="K492" s="2" t="s">
        <v>41</v>
      </c>
      <c r="L492" s="1" t="s">
        <v>6</v>
      </c>
      <c r="M492" s="1" t="s">
        <v>76</v>
      </c>
      <c r="N492" s="1">
        <v>560</v>
      </c>
    </row>
    <row r="493" spans="1:14" ht="30" x14ac:dyDescent="0.25">
      <c r="A493" s="1"/>
      <c r="B493" s="2" t="s">
        <v>2870</v>
      </c>
      <c r="C493" s="38">
        <v>42481</v>
      </c>
      <c r="D493" s="2" t="s">
        <v>79</v>
      </c>
      <c r="E493" s="2" t="s">
        <v>80</v>
      </c>
      <c r="F493" s="7" t="s">
        <v>4567</v>
      </c>
      <c r="G493" s="2" t="s">
        <v>213</v>
      </c>
      <c r="H493" s="7" t="s">
        <v>4437</v>
      </c>
      <c r="I493" s="38">
        <v>42503</v>
      </c>
      <c r="J493" s="2" t="s">
        <v>1105</v>
      </c>
      <c r="K493" s="2" t="s">
        <v>41</v>
      </c>
      <c r="L493" s="1" t="s">
        <v>6</v>
      </c>
      <c r="M493" s="1" t="s">
        <v>76</v>
      </c>
      <c r="N493" s="1">
        <v>561</v>
      </c>
    </row>
    <row r="494" spans="1:14" ht="45" x14ac:dyDescent="0.25">
      <c r="A494" s="1"/>
      <c r="B494" s="2" t="s">
        <v>2870</v>
      </c>
      <c r="C494" s="38">
        <v>42481</v>
      </c>
      <c r="D494" s="2" t="s">
        <v>79</v>
      </c>
      <c r="E494" s="2" t="s">
        <v>80</v>
      </c>
      <c r="F494" s="7" t="s">
        <v>4568</v>
      </c>
      <c r="G494" s="2" t="s">
        <v>213</v>
      </c>
      <c r="H494" s="7" t="s">
        <v>4569</v>
      </c>
      <c r="I494" s="38">
        <v>42513</v>
      </c>
      <c r="J494" s="2" t="s">
        <v>1105</v>
      </c>
      <c r="K494" s="2" t="s">
        <v>41</v>
      </c>
      <c r="L494" s="1" t="s">
        <v>6</v>
      </c>
      <c r="M494" s="1" t="s">
        <v>76</v>
      </c>
      <c r="N494" s="1">
        <v>562</v>
      </c>
    </row>
    <row r="495" spans="1:14" ht="30" x14ac:dyDescent="0.25">
      <c r="A495" s="1"/>
      <c r="B495" s="2" t="s">
        <v>2870</v>
      </c>
      <c r="C495" s="38">
        <v>42481</v>
      </c>
      <c r="D495" s="2" t="s">
        <v>256</v>
      </c>
      <c r="E495" s="2" t="s">
        <v>270</v>
      </c>
      <c r="F495" s="7" t="s">
        <v>4570</v>
      </c>
      <c r="G495" s="2" t="s">
        <v>213</v>
      </c>
      <c r="H495" s="7"/>
      <c r="I495" s="38">
        <v>42482</v>
      </c>
      <c r="J495" s="2" t="s">
        <v>1105</v>
      </c>
      <c r="K495" s="2" t="s">
        <v>41</v>
      </c>
      <c r="L495" s="1" t="s">
        <v>6</v>
      </c>
      <c r="M495" s="1" t="s">
        <v>76</v>
      </c>
      <c r="N495" s="1">
        <v>563</v>
      </c>
    </row>
    <row r="496" spans="1:14" ht="45" x14ac:dyDescent="0.25">
      <c r="A496" s="1"/>
      <c r="B496" s="2" t="s">
        <v>2870</v>
      </c>
      <c r="C496" s="38">
        <v>42481</v>
      </c>
      <c r="D496" s="2" t="s">
        <v>75</v>
      </c>
      <c r="E496" s="2" t="s">
        <v>77</v>
      </c>
      <c r="F496" s="7" t="s">
        <v>4571</v>
      </c>
      <c r="G496" s="2" t="s">
        <v>213</v>
      </c>
      <c r="H496" s="7" t="s">
        <v>4438</v>
      </c>
      <c r="I496" s="38">
        <v>42513</v>
      </c>
      <c r="J496" s="2" t="s">
        <v>1105</v>
      </c>
      <c r="K496" s="2" t="s">
        <v>41</v>
      </c>
      <c r="L496" s="1" t="s">
        <v>6</v>
      </c>
      <c r="M496" s="1" t="s">
        <v>76</v>
      </c>
      <c r="N496" s="1">
        <v>564</v>
      </c>
    </row>
    <row r="497" spans="1:14" ht="30" x14ac:dyDescent="0.25">
      <c r="A497" s="1"/>
      <c r="B497" s="2" t="s">
        <v>2870</v>
      </c>
      <c r="C497" s="38">
        <v>42481</v>
      </c>
      <c r="D497" s="2" t="s">
        <v>79</v>
      </c>
      <c r="E497" s="2" t="s">
        <v>415</v>
      </c>
      <c r="F497" s="7" t="s">
        <v>4572</v>
      </c>
      <c r="G497" s="2" t="s">
        <v>213</v>
      </c>
      <c r="H497" s="7" t="s">
        <v>4439</v>
      </c>
      <c r="I497" s="38">
        <v>42503</v>
      </c>
      <c r="J497" s="2" t="s">
        <v>1105</v>
      </c>
      <c r="K497" s="2" t="s">
        <v>41</v>
      </c>
      <c r="L497" s="1" t="s">
        <v>6</v>
      </c>
      <c r="M497" s="1" t="s">
        <v>76</v>
      </c>
      <c r="N497" s="1">
        <v>565</v>
      </c>
    </row>
    <row r="498" spans="1:14" x14ac:dyDescent="0.25">
      <c r="A498" s="1"/>
      <c r="B498" s="2" t="s">
        <v>915</v>
      </c>
      <c r="C498" s="38">
        <v>42482</v>
      </c>
      <c r="D498" s="2" t="s">
        <v>256</v>
      </c>
      <c r="E498" s="2" t="s">
        <v>309</v>
      </c>
      <c r="F498" s="7" t="s">
        <v>4573</v>
      </c>
      <c r="G498" s="2" t="s">
        <v>213</v>
      </c>
      <c r="H498" s="7"/>
      <c r="I498" s="38">
        <v>42482</v>
      </c>
      <c r="J498" s="2" t="s">
        <v>116</v>
      </c>
      <c r="K498" s="2" t="s">
        <v>116</v>
      </c>
      <c r="L498" s="1" t="s">
        <v>6</v>
      </c>
      <c r="M498" s="1" t="s">
        <v>76</v>
      </c>
      <c r="N498" s="1">
        <v>566</v>
      </c>
    </row>
    <row r="499" spans="1:14" ht="30" x14ac:dyDescent="0.25">
      <c r="A499" s="1"/>
      <c r="B499" s="2" t="s">
        <v>582</v>
      </c>
      <c r="C499" s="38">
        <v>42485</v>
      </c>
      <c r="D499" s="2" t="s">
        <v>256</v>
      </c>
      <c r="E499" s="2" t="s">
        <v>643</v>
      </c>
      <c r="F499" s="7" t="s">
        <v>4574</v>
      </c>
      <c r="G499" s="2" t="s">
        <v>213</v>
      </c>
      <c r="H499" s="7"/>
      <c r="I499" s="38">
        <v>42485</v>
      </c>
      <c r="J499" s="2" t="s">
        <v>116</v>
      </c>
      <c r="K499" s="2" t="s">
        <v>116</v>
      </c>
      <c r="L499" s="1" t="s">
        <v>6</v>
      </c>
      <c r="M499" s="1" t="s">
        <v>76</v>
      </c>
      <c r="N499" s="1">
        <v>567</v>
      </c>
    </row>
    <row r="500" spans="1:14" ht="45" x14ac:dyDescent="0.25">
      <c r="A500" s="1"/>
      <c r="B500" s="2" t="s">
        <v>582</v>
      </c>
      <c r="C500" s="38">
        <v>42485</v>
      </c>
      <c r="D500" s="2" t="s">
        <v>256</v>
      </c>
      <c r="E500" s="2" t="s">
        <v>643</v>
      </c>
      <c r="F500" s="7" t="s">
        <v>4575</v>
      </c>
      <c r="G500" s="2" t="s">
        <v>213</v>
      </c>
      <c r="H500" s="7"/>
      <c r="I500" s="38">
        <v>42485</v>
      </c>
      <c r="J500" s="2" t="s">
        <v>116</v>
      </c>
      <c r="K500" s="2" t="s">
        <v>116</v>
      </c>
      <c r="L500" s="1" t="s">
        <v>6</v>
      </c>
      <c r="M500" s="1" t="s">
        <v>76</v>
      </c>
      <c r="N500" s="1">
        <v>568</v>
      </c>
    </row>
    <row r="501" spans="1:14" ht="30" x14ac:dyDescent="0.25">
      <c r="A501" s="1"/>
      <c r="B501" s="2" t="s">
        <v>582</v>
      </c>
      <c r="C501" s="38">
        <v>42485</v>
      </c>
      <c r="D501" s="2" t="s">
        <v>79</v>
      </c>
      <c r="E501" s="2" t="s">
        <v>643</v>
      </c>
      <c r="F501" s="7" t="s">
        <v>4576</v>
      </c>
      <c r="G501" s="2" t="s">
        <v>213</v>
      </c>
      <c r="H501" s="7" t="s">
        <v>4577</v>
      </c>
      <c r="I501" s="38">
        <v>42487</v>
      </c>
      <c r="J501" s="2" t="s">
        <v>116</v>
      </c>
      <c r="K501" s="2" t="s">
        <v>116</v>
      </c>
      <c r="L501" s="1" t="s">
        <v>6</v>
      </c>
      <c r="M501" s="1" t="s">
        <v>76</v>
      </c>
      <c r="N501" s="1">
        <v>569</v>
      </c>
    </row>
    <row r="502" spans="1:14" ht="30" x14ac:dyDescent="0.25">
      <c r="A502" s="1"/>
      <c r="B502" s="2" t="s">
        <v>917</v>
      </c>
      <c r="C502" s="38">
        <v>42487</v>
      </c>
      <c r="D502" s="2" t="s">
        <v>79</v>
      </c>
      <c r="E502" s="2" t="s">
        <v>2640</v>
      </c>
      <c r="F502" s="7" t="s">
        <v>4578</v>
      </c>
      <c r="G502" s="2" t="s">
        <v>213</v>
      </c>
      <c r="H502" s="7" t="s">
        <v>4440</v>
      </c>
      <c r="I502" s="38">
        <v>42487</v>
      </c>
      <c r="J502" s="2" t="s">
        <v>116</v>
      </c>
      <c r="K502" s="2" t="s">
        <v>36</v>
      </c>
      <c r="L502" s="1" t="s">
        <v>6</v>
      </c>
      <c r="M502" s="1" t="s">
        <v>76</v>
      </c>
      <c r="N502" s="1">
        <v>570</v>
      </c>
    </row>
    <row r="503" spans="1:14" ht="30" x14ac:dyDescent="0.25">
      <c r="A503" s="1"/>
      <c r="B503" s="2" t="s">
        <v>917</v>
      </c>
      <c r="C503" s="38">
        <v>42487</v>
      </c>
      <c r="D503" s="2" t="s">
        <v>256</v>
      </c>
      <c r="E503" s="2" t="s">
        <v>415</v>
      </c>
      <c r="F503" s="7" t="s">
        <v>4441</v>
      </c>
      <c r="G503" s="2" t="s">
        <v>213</v>
      </c>
      <c r="H503" s="7"/>
      <c r="I503" s="38">
        <v>42487</v>
      </c>
      <c r="J503" s="2" t="s">
        <v>116</v>
      </c>
      <c r="K503" s="2" t="s">
        <v>36</v>
      </c>
      <c r="L503" s="1" t="s">
        <v>6</v>
      </c>
      <c r="M503" s="1" t="s">
        <v>76</v>
      </c>
      <c r="N503" s="1">
        <v>571</v>
      </c>
    </row>
    <row r="504" spans="1:14" x14ac:dyDescent="0.25">
      <c r="A504" s="1"/>
      <c r="B504" s="2" t="s">
        <v>917</v>
      </c>
      <c r="C504" s="38">
        <v>42487</v>
      </c>
      <c r="D504" s="2" t="s">
        <v>256</v>
      </c>
      <c r="E504" s="2" t="s">
        <v>309</v>
      </c>
      <c r="F504" s="7" t="s">
        <v>4579</v>
      </c>
      <c r="G504" s="2" t="s">
        <v>213</v>
      </c>
      <c r="H504" s="7"/>
      <c r="I504" s="38">
        <v>42487</v>
      </c>
      <c r="J504" s="2" t="s">
        <v>116</v>
      </c>
      <c r="K504" s="2" t="s">
        <v>36</v>
      </c>
      <c r="L504" s="1" t="s">
        <v>6</v>
      </c>
      <c r="M504" s="1" t="s">
        <v>76</v>
      </c>
      <c r="N504" s="1">
        <v>572</v>
      </c>
    </row>
    <row r="505" spans="1:14" ht="30" x14ac:dyDescent="0.25">
      <c r="A505" s="1"/>
      <c r="B505" s="2" t="s">
        <v>917</v>
      </c>
      <c r="C505" s="38">
        <v>42489</v>
      </c>
      <c r="D505" s="2" t="s">
        <v>256</v>
      </c>
      <c r="E505" s="2" t="s">
        <v>269</v>
      </c>
      <c r="F505" s="7" t="s">
        <v>4442</v>
      </c>
      <c r="G505" s="2" t="s">
        <v>213</v>
      </c>
      <c r="H505" s="7"/>
      <c r="I505" s="38">
        <v>42489</v>
      </c>
      <c r="J505" s="2" t="s">
        <v>116</v>
      </c>
      <c r="K505" s="2" t="s">
        <v>36</v>
      </c>
      <c r="L505" s="1" t="s">
        <v>6</v>
      </c>
      <c r="M505" s="1" t="s">
        <v>76</v>
      </c>
      <c r="N505" s="1">
        <v>573</v>
      </c>
    </row>
    <row r="506" spans="1:14" ht="30" x14ac:dyDescent="0.25">
      <c r="A506" s="1"/>
      <c r="B506" s="2" t="s">
        <v>917</v>
      </c>
      <c r="C506" s="38">
        <v>42489</v>
      </c>
      <c r="D506" s="2" t="s">
        <v>79</v>
      </c>
      <c r="E506" s="2" t="s">
        <v>309</v>
      </c>
      <c r="F506" s="7" t="s">
        <v>4443</v>
      </c>
      <c r="G506" s="2" t="s">
        <v>213</v>
      </c>
      <c r="H506" s="7" t="s">
        <v>4444</v>
      </c>
      <c r="I506" s="38">
        <v>42489</v>
      </c>
      <c r="J506" s="2" t="s">
        <v>116</v>
      </c>
      <c r="K506" s="2" t="s">
        <v>36</v>
      </c>
      <c r="L506" s="1" t="s">
        <v>6</v>
      </c>
      <c r="M506" s="1" t="s">
        <v>76</v>
      </c>
      <c r="N506" s="1">
        <v>574</v>
      </c>
    </row>
    <row r="507" spans="1:14" x14ac:dyDescent="0.25">
      <c r="A507" s="1"/>
      <c r="B507" s="2" t="s">
        <v>105</v>
      </c>
      <c r="C507" s="38">
        <v>42492</v>
      </c>
      <c r="D507" s="2" t="s">
        <v>79</v>
      </c>
      <c r="E507" s="2" t="s">
        <v>267</v>
      </c>
      <c r="F507" s="7" t="s">
        <v>4580</v>
      </c>
      <c r="G507" s="2" t="s">
        <v>213</v>
      </c>
      <c r="H507" s="7" t="s">
        <v>4445</v>
      </c>
      <c r="I507" s="38">
        <v>42493</v>
      </c>
      <c r="J507" s="2" t="s">
        <v>1105</v>
      </c>
      <c r="K507" s="2" t="s">
        <v>36</v>
      </c>
      <c r="L507" s="1" t="s">
        <v>6</v>
      </c>
      <c r="M507" s="1" t="s">
        <v>76</v>
      </c>
      <c r="N507" s="1">
        <v>575</v>
      </c>
    </row>
    <row r="508" spans="1:14" x14ac:dyDescent="0.25">
      <c r="A508" s="1"/>
      <c r="B508" s="2" t="s">
        <v>105</v>
      </c>
      <c r="C508" s="38">
        <v>42492</v>
      </c>
      <c r="D508" s="2" t="s">
        <v>79</v>
      </c>
      <c r="E508" s="2" t="s">
        <v>267</v>
      </c>
      <c r="F508" s="7" t="s">
        <v>4446</v>
      </c>
      <c r="G508" s="2" t="s">
        <v>213</v>
      </c>
      <c r="H508" s="7" t="s">
        <v>4447</v>
      </c>
      <c r="I508" s="38">
        <v>42493</v>
      </c>
      <c r="J508" s="2" t="s">
        <v>1105</v>
      </c>
      <c r="K508" s="2" t="s">
        <v>36</v>
      </c>
      <c r="L508" s="1" t="s">
        <v>6</v>
      </c>
      <c r="M508" s="1" t="s">
        <v>76</v>
      </c>
      <c r="N508" s="1">
        <v>576</v>
      </c>
    </row>
    <row r="509" spans="1:14" x14ac:dyDescent="0.25">
      <c r="A509" s="1"/>
      <c r="B509" s="2" t="s">
        <v>105</v>
      </c>
      <c r="C509" s="38">
        <v>42492</v>
      </c>
      <c r="D509" s="2" t="s">
        <v>79</v>
      </c>
      <c r="E509" s="2" t="s">
        <v>267</v>
      </c>
      <c r="F509" s="7" t="s">
        <v>4448</v>
      </c>
      <c r="G509" s="2" t="s">
        <v>213</v>
      </c>
      <c r="H509" s="7" t="s">
        <v>4447</v>
      </c>
      <c r="I509" s="38">
        <v>42493</v>
      </c>
      <c r="J509" s="2" t="s">
        <v>1105</v>
      </c>
      <c r="K509" s="2" t="s">
        <v>36</v>
      </c>
      <c r="L509" s="1" t="s">
        <v>6</v>
      </c>
      <c r="M509" s="1" t="s">
        <v>76</v>
      </c>
      <c r="N509" s="1">
        <v>577</v>
      </c>
    </row>
    <row r="510" spans="1:14" x14ac:dyDescent="0.25">
      <c r="A510" s="1"/>
      <c r="B510" s="2" t="s">
        <v>2870</v>
      </c>
      <c r="C510" s="38">
        <v>42514</v>
      </c>
      <c r="D510" s="2" t="s">
        <v>256</v>
      </c>
      <c r="E510" s="2" t="s">
        <v>648</v>
      </c>
      <c r="F510" s="7" t="s">
        <v>4581</v>
      </c>
      <c r="G510" s="2" t="s">
        <v>213</v>
      </c>
      <c r="H510" s="7"/>
      <c r="I510" s="38">
        <v>42514</v>
      </c>
      <c r="J510" s="2" t="s">
        <v>1105</v>
      </c>
      <c r="K510" s="2" t="s">
        <v>41</v>
      </c>
      <c r="L510" s="1" t="s">
        <v>6</v>
      </c>
      <c r="M510" s="1" t="s">
        <v>76</v>
      </c>
      <c r="N510" s="1">
        <v>578</v>
      </c>
    </row>
    <row r="511" spans="1:14" x14ac:dyDescent="0.25">
      <c r="A511" s="1"/>
      <c r="B511" s="2" t="s">
        <v>2872</v>
      </c>
      <c r="C511" s="38">
        <v>42514</v>
      </c>
      <c r="D511" s="2" t="s">
        <v>256</v>
      </c>
      <c r="E511" s="2" t="s">
        <v>2586</v>
      </c>
      <c r="F511" s="7" t="s">
        <v>4582</v>
      </c>
      <c r="G511" s="2" t="s">
        <v>213</v>
      </c>
      <c r="H511" s="7"/>
      <c r="I511" s="38">
        <v>42514</v>
      </c>
      <c r="J511" s="2" t="s">
        <v>116</v>
      </c>
      <c r="K511" s="2" t="s">
        <v>41</v>
      </c>
      <c r="L511" s="1" t="s">
        <v>6</v>
      </c>
      <c r="M511" s="1" t="s">
        <v>76</v>
      </c>
      <c r="N511" s="1">
        <v>579</v>
      </c>
    </row>
    <row r="512" spans="1:14" x14ac:dyDescent="0.25">
      <c r="A512" s="1"/>
      <c r="B512" s="2" t="s">
        <v>581</v>
      </c>
      <c r="C512" s="38">
        <v>42524</v>
      </c>
      <c r="D512" s="2" t="s">
        <v>256</v>
      </c>
      <c r="E512" s="2" t="s">
        <v>77</v>
      </c>
      <c r="F512" s="7" t="s">
        <v>4583</v>
      </c>
      <c r="G512" s="2" t="s">
        <v>213</v>
      </c>
      <c r="H512" s="7" t="s">
        <v>4449</v>
      </c>
      <c r="I512" s="38">
        <v>42524</v>
      </c>
      <c r="J512" s="2" t="s">
        <v>116</v>
      </c>
      <c r="K512" s="2" t="s">
        <v>42</v>
      </c>
      <c r="L512" s="1" t="s">
        <v>6</v>
      </c>
      <c r="M512" s="1" t="s">
        <v>76</v>
      </c>
      <c r="N512" s="1">
        <v>580</v>
      </c>
    </row>
    <row r="513" spans="1:14" ht="30" x14ac:dyDescent="0.25">
      <c r="A513" s="1"/>
      <c r="B513" s="2" t="s">
        <v>581</v>
      </c>
      <c r="C513" s="38">
        <v>42524</v>
      </c>
      <c r="D513" s="2" t="s">
        <v>79</v>
      </c>
      <c r="E513" s="2" t="s">
        <v>77</v>
      </c>
      <c r="F513" s="7" t="s">
        <v>4584</v>
      </c>
      <c r="G513" s="2" t="s">
        <v>213</v>
      </c>
      <c r="H513" s="7" t="s">
        <v>4450</v>
      </c>
      <c r="I513" s="38">
        <v>42542</v>
      </c>
      <c r="J513" s="2" t="s">
        <v>116</v>
      </c>
      <c r="K513" s="2" t="s">
        <v>42</v>
      </c>
      <c r="L513" s="1" t="s">
        <v>6</v>
      </c>
      <c r="M513" s="1" t="s">
        <v>76</v>
      </c>
      <c r="N513" s="1">
        <v>581</v>
      </c>
    </row>
    <row r="514" spans="1:14" x14ac:dyDescent="0.25">
      <c r="A514" s="1"/>
      <c r="B514" s="2" t="s">
        <v>581</v>
      </c>
      <c r="C514" s="38">
        <v>42524</v>
      </c>
      <c r="D514" s="2" t="s">
        <v>79</v>
      </c>
      <c r="E514" s="2" t="s">
        <v>267</v>
      </c>
      <c r="F514" s="7" t="s">
        <v>4451</v>
      </c>
      <c r="G514" s="2" t="s">
        <v>213</v>
      </c>
      <c r="H514" s="7" t="s">
        <v>4452</v>
      </c>
      <c r="I514" s="38">
        <v>42542</v>
      </c>
      <c r="J514" s="2" t="s">
        <v>116</v>
      </c>
      <c r="K514" s="2" t="s">
        <v>42</v>
      </c>
      <c r="L514" s="1" t="s">
        <v>6</v>
      </c>
      <c r="M514" s="1" t="s">
        <v>76</v>
      </c>
      <c r="N514" s="1">
        <v>582</v>
      </c>
    </row>
    <row r="515" spans="1:14" x14ac:dyDescent="0.25">
      <c r="A515" s="1"/>
      <c r="B515" s="2" t="s">
        <v>581</v>
      </c>
      <c r="C515" s="38">
        <v>42524</v>
      </c>
      <c r="D515" s="2" t="s">
        <v>256</v>
      </c>
      <c r="E515" s="2" t="s">
        <v>77</v>
      </c>
      <c r="F515" s="7" t="s">
        <v>4585</v>
      </c>
      <c r="G515" s="2" t="s">
        <v>213</v>
      </c>
      <c r="H515" s="7" t="s">
        <v>4453</v>
      </c>
      <c r="I515" s="38">
        <v>42524</v>
      </c>
      <c r="J515" s="2" t="s">
        <v>116</v>
      </c>
      <c r="K515" s="2" t="s">
        <v>42</v>
      </c>
      <c r="L515" s="1" t="s">
        <v>6</v>
      </c>
      <c r="M515" s="1" t="s">
        <v>76</v>
      </c>
      <c r="N515" s="1">
        <v>583</v>
      </c>
    </row>
    <row r="516" spans="1:14" x14ac:dyDescent="0.25">
      <c r="A516" s="1"/>
      <c r="B516" s="2" t="s">
        <v>2882</v>
      </c>
      <c r="C516" s="38">
        <v>42613</v>
      </c>
      <c r="D516" s="2" t="s">
        <v>256</v>
      </c>
      <c r="E516" s="2" t="s">
        <v>648</v>
      </c>
      <c r="F516" s="7" t="s">
        <v>4454</v>
      </c>
      <c r="G516" s="2" t="s">
        <v>213</v>
      </c>
      <c r="H516" s="7"/>
      <c r="I516" s="38">
        <v>42613</v>
      </c>
      <c r="J516" s="2" t="s">
        <v>1105</v>
      </c>
      <c r="K516" s="2" t="s">
        <v>36</v>
      </c>
      <c r="L516" s="1" t="s">
        <v>6</v>
      </c>
      <c r="M516" s="1" t="s">
        <v>76</v>
      </c>
      <c r="N516" s="1">
        <v>584</v>
      </c>
    </row>
    <row r="517" spans="1:14" x14ac:dyDescent="0.25">
      <c r="A517" s="1"/>
      <c r="B517" s="2" t="s">
        <v>2882</v>
      </c>
      <c r="C517" s="38">
        <v>42613</v>
      </c>
      <c r="D517" s="2" t="s">
        <v>256</v>
      </c>
      <c r="E517" s="2" t="s">
        <v>648</v>
      </c>
      <c r="F517" s="7" t="s">
        <v>4455</v>
      </c>
      <c r="G517" s="2" t="s">
        <v>213</v>
      </c>
      <c r="H517" s="7"/>
      <c r="I517" s="38">
        <v>42613</v>
      </c>
      <c r="J517" s="2" t="s">
        <v>1105</v>
      </c>
      <c r="K517" s="2" t="s">
        <v>36</v>
      </c>
      <c r="L517" s="1" t="s">
        <v>6</v>
      </c>
      <c r="M517" s="1" t="s">
        <v>76</v>
      </c>
      <c r="N517" s="1">
        <v>585</v>
      </c>
    </row>
    <row r="518" spans="1:14" ht="30" x14ac:dyDescent="0.25">
      <c r="A518" s="1"/>
      <c r="B518" s="2" t="s">
        <v>2882</v>
      </c>
      <c r="C518" s="38">
        <v>42620</v>
      </c>
      <c r="D518" s="2" t="s">
        <v>79</v>
      </c>
      <c r="E518" s="2" t="s">
        <v>77</v>
      </c>
      <c r="F518" s="7" t="s">
        <v>4586</v>
      </c>
      <c r="G518" s="2" t="s">
        <v>213</v>
      </c>
      <c r="H518" s="7" t="s">
        <v>4456</v>
      </c>
      <c r="I518" s="38">
        <v>42620</v>
      </c>
      <c r="J518" s="2" t="s">
        <v>1105</v>
      </c>
      <c r="K518" s="2" t="s">
        <v>36</v>
      </c>
      <c r="L518" s="1" t="s">
        <v>6</v>
      </c>
      <c r="M518" s="1" t="s">
        <v>76</v>
      </c>
      <c r="N518" s="1">
        <v>586</v>
      </c>
    </row>
    <row r="519" spans="1:14" ht="45" x14ac:dyDescent="0.25">
      <c r="A519" s="1"/>
      <c r="B519" s="2" t="s">
        <v>2882</v>
      </c>
      <c r="C519" s="38">
        <v>42620</v>
      </c>
      <c r="D519" s="2" t="s">
        <v>79</v>
      </c>
      <c r="E519" s="2" t="s">
        <v>77</v>
      </c>
      <c r="F519" s="7" t="s">
        <v>4457</v>
      </c>
      <c r="G519" s="2" t="s">
        <v>315</v>
      </c>
      <c r="H519" s="7" t="s">
        <v>4458</v>
      </c>
      <c r="I519" s="38"/>
      <c r="J519" s="2" t="s">
        <v>1105</v>
      </c>
      <c r="K519" s="2" t="s">
        <v>36</v>
      </c>
      <c r="L519" s="1" t="s">
        <v>6</v>
      </c>
      <c r="M519" s="1" t="s">
        <v>76</v>
      </c>
      <c r="N519" s="1">
        <v>587</v>
      </c>
    </row>
    <row r="520" spans="1:14" x14ac:dyDescent="0.25">
      <c r="A520" s="1"/>
      <c r="B520" s="2" t="s">
        <v>2882</v>
      </c>
      <c r="C520" s="38">
        <v>42620</v>
      </c>
      <c r="D520" s="2" t="s">
        <v>256</v>
      </c>
      <c r="E520" s="2" t="s">
        <v>648</v>
      </c>
      <c r="F520" s="7" t="s">
        <v>4459</v>
      </c>
      <c r="G520" s="2" t="s">
        <v>213</v>
      </c>
      <c r="H520" s="7"/>
      <c r="I520" s="38">
        <v>42620</v>
      </c>
      <c r="J520" s="2" t="s">
        <v>1105</v>
      </c>
      <c r="K520" s="2" t="s">
        <v>36</v>
      </c>
      <c r="L520" s="1" t="s">
        <v>6</v>
      </c>
      <c r="M520" s="1" t="s">
        <v>76</v>
      </c>
      <c r="N520" s="1">
        <v>588</v>
      </c>
    </row>
    <row r="521" spans="1:14" x14ac:dyDescent="0.25">
      <c r="A521" s="1"/>
      <c r="B521" s="2" t="s">
        <v>2884</v>
      </c>
      <c r="C521" s="38">
        <v>42881</v>
      </c>
      <c r="D521" s="2" t="s">
        <v>79</v>
      </c>
      <c r="E521" s="2" t="s">
        <v>269</v>
      </c>
      <c r="F521" s="7" t="s">
        <v>4587</v>
      </c>
      <c r="G521" s="2" t="s">
        <v>213</v>
      </c>
      <c r="H521" s="7" t="s">
        <v>4460</v>
      </c>
      <c r="I521" s="38">
        <v>42882</v>
      </c>
      <c r="J521" s="2" t="s">
        <v>42</v>
      </c>
      <c r="K521" s="2" t="s">
        <v>78</v>
      </c>
      <c r="L521" s="1" t="s">
        <v>6</v>
      </c>
      <c r="M521" s="1" t="s">
        <v>76</v>
      </c>
      <c r="N521" s="1">
        <v>589</v>
      </c>
    </row>
    <row r="522" spans="1:14" x14ac:dyDescent="0.25">
      <c r="A522" s="1"/>
      <c r="B522" s="2" t="s">
        <v>2884</v>
      </c>
      <c r="C522" s="38">
        <v>42881</v>
      </c>
      <c r="D522" s="2" t="s">
        <v>256</v>
      </c>
      <c r="E522" s="2" t="s">
        <v>269</v>
      </c>
      <c r="F522" s="7" t="s">
        <v>4588</v>
      </c>
      <c r="G522" s="2" t="s">
        <v>213</v>
      </c>
      <c r="H522" s="7"/>
      <c r="I522" s="38">
        <v>42881</v>
      </c>
      <c r="J522" s="2" t="s">
        <v>42</v>
      </c>
      <c r="K522" s="2" t="s">
        <v>78</v>
      </c>
      <c r="L522" s="1" t="s">
        <v>6</v>
      </c>
      <c r="M522" s="1" t="s">
        <v>76</v>
      </c>
      <c r="N522" s="1">
        <v>590</v>
      </c>
    </row>
    <row r="523" spans="1:14" ht="30" x14ac:dyDescent="0.25">
      <c r="A523" s="1"/>
      <c r="B523" s="2" t="s">
        <v>2884</v>
      </c>
      <c r="C523" s="38">
        <v>42881</v>
      </c>
      <c r="D523" s="2" t="s">
        <v>256</v>
      </c>
      <c r="E523" s="2" t="s">
        <v>279</v>
      </c>
      <c r="F523" s="7" t="s">
        <v>4461</v>
      </c>
      <c r="G523" s="2" t="s">
        <v>213</v>
      </c>
      <c r="H523" s="7"/>
      <c r="I523" s="38">
        <v>42881</v>
      </c>
      <c r="J523" s="2" t="s">
        <v>42</v>
      </c>
      <c r="K523" s="2" t="s">
        <v>78</v>
      </c>
      <c r="L523" s="1" t="s">
        <v>6</v>
      </c>
      <c r="M523" s="1" t="s">
        <v>76</v>
      </c>
      <c r="N523" s="1">
        <v>591</v>
      </c>
    </row>
    <row r="524" spans="1:14" x14ac:dyDescent="0.25">
      <c r="A524" s="1"/>
      <c r="B524" s="2" t="s">
        <v>2884</v>
      </c>
      <c r="C524" s="38">
        <v>42881</v>
      </c>
      <c r="D524" s="2" t="s">
        <v>79</v>
      </c>
      <c r="E524" s="2" t="s">
        <v>270</v>
      </c>
      <c r="F524" s="7" t="s">
        <v>4462</v>
      </c>
      <c r="G524" s="2" t="s">
        <v>213</v>
      </c>
      <c r="H524" s="7" t="s">
        <v>4463</v>
      </c>
      <c r="I524" s="38">
        <v>42882</v>
      </c>
      <c r="J524" s="2" t="s">
        <v>42</v>
      </c>
      <c r="K524" s="2" t="s">
        <v>78</v>
      </c>
      <c r="L524" s="1" t="s">
        <v>6</v>
      </c>
      <c r="M524" s="1" t="s">
        <v>76</v>
      </c>
      <c r="N524" s="1">
        <v>592</v>
      </c>
    </row>
    <row r="525" spans="1:14" ht="45" x14ac:dyDescent="0.25">
      <c r="A525" s="1"/>
      <c r="B525" s="2" t="s">
        <v>2884</v>
      </c>
      <c r="C525" s="38">
        <v>42881</v>
      </c>
      <c r="D525" s="2" t="s">
        <v>256</v>
      </c>
      <c r="E525" s="2" t="s">
        <v>269</v>
      </c>
      <c r="F525" s="7" t="s">
        <v>4589</v>
      </c>
      <c r="G525" s="2" t="s">
        <v>213</v>
      </c>
      <c r="H525" s="7"/>
      <c r="I525" s="38">
        <v>42881</v>
      </c>
      <c r="J525" s="2" t="s">
        <v>42</v>
      </c>
      <c r="K525" s="2" t="s">
        <v>78</v>
      </c>
      <c r="L525" s="1" t="s">
        <v>6</v>
      </c>
      <c r="M525" s="1" t="s">
        <v>76</v>
      </c>
      <c r="N525" s="1">
        <v>593</v>
      </c>
    </row>
    <row r="526" spans="1:14" x14ac:dyDescent="0.25">
      <c r="A526" s="1"/>
      <c r="B526" s="2" t="s">
        <v>2884</v>
      </c>
      <c r="C526" s="38">
        <v>42881</v>
      </c>
      <c r="D526" s="2" t="s">
        <v>256</v>
      </c>
      <c r="E526" s="2" t="s">
        <v>269</v>
      </c>
      <c r="F526" s="7" t="s">
        <v>4464</v>
      </c>
      <c r="G526" s="2" t="s">
        <v>213</v>
      </c>
      <c r="H526" s="7"/>
      <c r="I526" s="38">
        <v>42881</v>
      </c>
      <c r="J526" s="2" t="s">
        <v>42</v>
      </c>
      <c r="K526" s="2" t="s">
        <v>78</v>
      </c>
      <c r="L526" s="1" t="s">
        <v>6</v>
      </c>
      <c r="M526" s="1" t="s">
        <v>76</v>
      </c>
      <c r="N526" s="1">
        <v>594</v>
      </c>
    </row>
    <row r="527" spans="1:14" x14ac:dyDescent="0.25">
      <c r="A527" s="1"/>
      <c r="B527" s="2" t="s">
        <v>2884</v>
      </c>
      <c r="C527" s="38">
        <v>42881</v>
      </c>
      <c r="D527" s="2" t="s">
        <v>75</v>
      </c>
      <c r="E527" s="2" t="s">
        <v>485</v>
      </c>
      <c r="F527" s="7" t="s">
        <v>4465</v>
      </c>
      <c r="G527" s="2" t="s">
        <v>213</v>
      </c>
      <c r="H527" s="7" t="s">
        <v>4466</v>
      </c>
      <c r="I527" s="38">
        <v>42882</v>
      </c>
      <c r="J527" s="2" t="s">
        <v>42</v>
      </c>
      <c r="K527" s="2" t="s">
        <v>78</v>
      </c>
      <c r="L527" s="1" t="s">
        <v>6</v>
      </c>
      <c r="M527" s="1" t="s">
        <v>76</v>
      </c>
      <c r="N527" s="1">
        <v>595</v>
      </c>
    </row>
    <row r="528" spans="1:14" ht="30" x14ac:dyDescent="0.25">
      <c r="A528" s="1"/>
      <c r="B528" s="2" t="s">
        <v>2884</v>
      </c>
      <c r="C528" s="38">
        <v>42881</v>
      </c>
      <c r="D528" s="2" t="s">
        <v>256</v>
      </c>
      <c r="E528" s="2" t="s">
        <v>279</v>
      </c>
      <c r="F528" s="7" t="s">
        <v>4590</v>
      </c>
      <c r="G528" s="2" t="s">
        <v>213</v>
      </c>
      <c r="H528" s="7"/>
      <c r="I528" s="38">
        <v>42881</v>
      </c>
      <c r="J528" s="2" t="s">
        <v>42</v>
      </c>
      <c r="K528" s="2" t="s">
        <v>78</v>
      </c>
      <c r="L528" s="1" t="s">
        <v>6</v>
      </c>
      <c r="M528" s="1" t="s">
        <v>76</v>
      </c>
      <c r="N528" s="1">
        <v>596</v>
      </c>
    </row>
    <row r="529" spans="1:14" ht="30" x14ac:dyDescent="0.25">
      <c r="A529" s="1"/>
      <c r="B529" s="2" t="s">
        <v>2884</v>
      </c>
      <c r="C529" s="38">
        <v>42881</v>
      </c>
      <c r="D529" s="2" t="s">
        <v>79</v>
      </c>
      <c r="E529" s="2" t="s">
        <v>270</v>
      </c>
      <c r="F529" s="7" t="s">
        <v>4591</v>
      </c>
      <c r="G529" s="2" t="s">
        <v>213</v>
      </c>
      <c r="H529" s="7" t="s">
        <v>4467</v>
      </c>
      <c r="I529" s="38">
        <v>42882</v>
      </c>
      <c r="J529" s="2" t="s">
        <v>42</v>
      </c>
      <c r="K529" s="2" t="s">
        <v>78</v>
      </c>
      <c r="L529" s="1" t="s">
        <v>6</v>
      </c>
      <c r="M529" s="1" t="s">
        <v>76</v>
      </c>
      <c r="N529" s="1">
        <v>597</v>
      </c>
    </row>
    <row r="530" spans="1:14" ht="45" x14ac:dyDescent="0.25">
      <c r="A530" s="1"/>
      <c r="B530" s="2" t="s">
        <v>2884</v>
      </c>
      <c r="C530" s="38">
        <v>42881</v>
      </c>
      <c r="D530" s="2" t="s">
        <v>75</v>
      </c>
      <c r="E530" s="2" t="s">
        <v>80</v>
      </c>
      <c r="F530" s="7" t="s">
        <v>4592</v>
      </c>
      <c r="G530" s="2" t="s">
        <v>213</v>
      </c>
      <c r="H530" s="7" t="s">
        <v>4593</v>
      </c>
      <c r="I530" s="38">
        <v>42882</v>
      </c>
      <c r="J530" s="2" t="s">
        <v>42</v>
      </c>
      <c r="K530" s="2" t="s">
        <v>78</v>
      </c>
      <c r="L530" s="1" t="s">
        <v>6</v>
      </c>
      <c r="M530" s="1" t="s">
        <v>76</v>
      </c>
      <c r="N530" s="1">
        <v>598</v>
      </c>
    </row>
    <row r="531" spans="1:14" ht="45" x14ac:dyDescent="0.25">
      <c r="A531" s="1"/>
      <c r="B531" s="2" t="s">
        <v>2884</v>
      </c>
      <c r="C531" s="38">
        <v>42882</v>
      </c>
      <c r="D531" s="2" t="s">
        <v>79</v>
      </c>
      <c r="E531" s="2" t="s">
        <v>309</v>
      </c>
      <c r="F531" s="7" t="s">
        <v>4594</v>
      </c>
      <c r="G531" s="2" t="s">
        <v>213</v>
      </c>
      <c r="H531" s="7" t="s">
        <v>4468</v>
      </c>
      <c r="I531" s="38">
        <v>42882</v>
      </c>
      <c r="J531" s="2" t="s">
        <v>42</v>
      </c>
      <c r="K531" s="2" t="s">
        <v>78</v>
      </c>
      <c r="L531" s="1" t="s">
        <v>6</v>
      </c>
      <c r="M531" s="1" t="s">
        <v>76</v>
      </c>
      <c r="N531" s="1">
        <v>599</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K13"/>
  <sheetViews>
    <sheetView showGridLines="0" topLeftCell="A7" workbookViewId="0">
      <selection activeCell="H19" sqref="H19"/>
    </sheetView>
  </sheetViews>
  <sheetFormatPr defaultRowHeight="15" x14ac:dyDescent="0.25"/>
  <cols>
    <col min="1" max="1" width="12.28515625" bestFit="1" customWidth="1"/>
    <col min="3" max="3" width="26.7109375" bestFit="1" customWidth="1"/>
    <col min="4" max="4" width="28.140625" customWidth="1"/>
    <col min="5" max="5" width="26.42578125" customWidth="1"/>
    <col min="6" max="6" width="12.28515625" customWidth="1"/>
    <col min="7" max="7" width="19" bestFit="1" customWidth="1"/>
    <col min="8" max="8" width="19.5703125" bestFit="1" customWidth="1"/>
    <col min="9" max="9" width="19.5703125" customWidth="1"/>
  </cols>
  <sheetData>
    <row r="2" spans="1:11" ht="15.75" thickBot="1" x14ac:dyDescent="0.3">
      <c r="A2" s="11" t="s">
        <v>8</v>
      </c>
      <c r="B2" s="12" t="str">
        <f>Introduction!D10</f>
        <v>GGE064</v>
      </c>
    </row>
    <row r="6" spans="1:11" x14ac:dyDescent="0.25">
      <c r="C6" t="s">
        <v>46</v>
      </c>
      <c r="D6" s="7" t="s">
        <v>14</v>
      </c>
      <c r="E6" s="7" t="s">
        <v>15</v>
      </c>
      <c r="F6" t="s">
        <v>48</v>
      </c>
      <c r="G6" t="s">
        <v>49</v>
      </c>
      <c r="H6" t="s">
        <v>2868</v>
      </c>
      <c r="I6" t="s">
        <v>2869</v>
      </c>
      <c r="J6" t="s">
        <v>50</v>
      </c>
      <c r="K6" t="s">
        <v>51</v>
      </c>
    </row>
    <row r="7" spans="1:11" x14ac:dyDescent="0.25">
      <c r="C7" t="s">
        <v>17</v>
      </c>
      <c r="D7" s="6">
        <f>INDEX(Tbl_SchMls[Planned Date of Completion],MATCH($B$2&amp;$C7,Tbl_SchMls[Concat],0))</f>
        <v>42444</v>
      </c>
      <c r="E7" s="6">
        <f>INDEX(Tbl_SchMls[Actual Date of Completion],MATCH($B$2&amp;$C7,Tbl_SchMls[Concat],0))</f>
        <v>42444</v>
      </c>
      <c r="F7" s="9">
        <v>0</v>
      </c>
      <c r="G7" s="9">
        <v>0</v>
      </c>
      <c r="H7" s="10" t="str">
        <f>IFERROR((Table5[[#This Row],[Actual No Of days]]-Table5[[#This Row],[Planned No of days]])/Table5[[#This Row],[Planned No of days]],"")</f>
        <v/>
      </c>
      <c r="I7" s="10"/>
      <c r="J7">
        <f t="shared" ref="J7:J13" si="0">0.2</f>
        <v>0.2</v>
      </c>
      <c r="K7">
        <f t="shared" ref="K7:K13" si="1">-0.2</f>
        <v>-0.2</v>
      </c>
    </row>
    <row r="8" spans="1:11" x14ac:dyDescent="0.25">
      <c r="C8" t="s">
        <v>19</v>
      </c>
      <c r="D8" s="6">
        <f>INDEX(Tbl_SchMls[Planned Date of Completion],MATCH($B$2&amp;$C8,Tbl_SchMls[Concat],0))</f>
        <v>42452</v>
      </c>
      <c r="E8" s="6">
        <f>INDEX(Tbl_SchMls[Actual Date of Completion],MATCH($B$2&amp;$C8,Tbl_SchMls[Concat],0))</f>
        <v>42451</v>
      </c>
      <c r="F8" s="9">
        <f>Table5[[#This Row],[Planned Date of Completion]]-D7</f>
        <v>8</v>
      </c>
      <c r="G8" s="9">
        <f>IF(Table5[[#This Row],[Actual Date of Completion]]&gt;E7,Table5[[#This Row],[Actual Date of Completion]]-E7,NA())</f>
        <v>7</v>
      </c>
      <c r="H8" s="10">
        <f>IFERROR((Table5[[#This Row],[Actual No Of days]]-Table5[[#This Row],[Planned No of days]])/Table5[[#This Row],[Planned No of days]],"")</f>
        <v>-0.125</v>
      </c>
      <c r="I8" s="10">
        <f>SUM($G$7:G8)/SUM($F$7:F8)-1</f>
        <v>-0.125</v>
      </c>
      <c r="J8">
        <f t="shared" si="0"/>
        <v>0.2</v>
      </c>
      <c r="K8">
        <f t="shared" si="1"/>
        <v>-0.2</v>
      </c>
    </row>
    <row r="9" spans="1:11" x14ac:dyDescent="0.25">
      <c r="C9" t="s">
        <v>20</v>
      </c>
      <c r="D9" s="6">
        <f>INDEX(Tbl_SchMls[Planned Date of Completion],MATCH($B$2&amp;$C9,Tbl_SchMls[Concat],0))</f>
        <v>42461</v>
      </c>
      <c r="E9" s="6">
        <f>INDEX(Tbl_SchMls[Actual Date of Completion],MATCH($B$2&amp;$C9,Tbl_SchMls[Concat],0))</f>
        <v>42461</v>
      </c>
      <c r="F9" s="9">
        <f>Table5[[#This Row],[Planned Date of Completion]]-D8</f>
        <v>9</v>
      </c>
      <c r="G9" s="9">
        <f>IF(Table5[[#This Row],[Actual Date of Completion]]&gt;E8,Table5[[#This Row],[Actual Date of Completion]]-E8,NA())</f>
        <v>10</v>
      </c>
      <c r="H9" s="10">
        <f>IFERROR((Table5[[#This Row],[Actual No Of days]]-Table5[[#This Row],[Planned No of days]])/Table5[[#This Row],[Planned No of days]],"")</f>
        <v>0.1111111111111111</v>
      </c>
      <c r="I9" s="10">
        <f>SUM($G$7:G9)/SUM($F$7:F9)-1</f>
        <v>0</v>
      </c>
      <c r="J9">
        <f t="shared" si="0"/>
        <v>0.2</v>
      </c>
      <c r="K9">
        <f t="shared" si="1"/>
        <v>-0.2</v>
      </c>
    </row>
    <row r="10" spans="1:11" x14ac:dyDescent="0.25">
      <c r="C10" t="s">
        <v>32</v>
      </c>
      <c r="D10" s="6">
        <f>INDEX(Tbl_SchMls[Planned Date of Completion],MATCH($B$2&amp;$C10,Tbl_SchMls[Concat],0))</f>
        <v>42478</v>
      </c>
      <c r="E10" s="6">
        <f>INDEX(Tbl_SchMls[Actual Date of Completion],MATCH($B$2&amp;$C10,Tbl_SchMls[Concat],0))</f>
        <v>42478</v>
      </c>
      <c r="F10" s="9">
        <f>Table5[[#This Row],[Planned Date of Completion]]-D9</f>
        <v>17</v>
      </c>
      <c r="G10" s="9">
        <f>IF(Table5[[#This Row],[Actual Date of Completion]]&gt;E9,Table5[[#This Row],[Actual Date of Completion]]-E9,NA())</f>
        <v>17</v>
      </c>
      <c r="H10" s="10">
        <f>IFERROR((Table5[[#This Row],[Actual No Of days]]-Table5[[#This Row],[Planned No of days]])/Table5[[#This Row],[Planned No of days]],"")</f>
        <v>0</v>
      </c>
      <c r="I10" s="10">
        <f>SUM($G$7:G10)/SUM($F$7:F10)-1</f>
        <v>0</v>
      </c>
      <c r="J10">
        <f t="shared" si="0"/>
        <v>0.2</v>
      </c>
      <c r="K10">
        <f t="shared" si="1"/>
        <v>-0.2</v>
      </c>
    </row>
    <row r="11" spans="1:11" x14ac:dyDescent="0.25">
      <c r="C11" t="s">
        <v>33</v>
      </c>
      <c r="D11" s="6">
        <f>INDEX(Tbl_SchMls[Planned Date of Completion],MATCH($B$2&amp;$C11,Tbl_SchMls[Concat],0))</f>
        <v>42480</v>
      </c>
      <c r="E11" s="6">
        <f>INDEX(Tbl_SchMls[Actual Date of Completion],MATCH($B$2&amp;$C11,Tbl_SchMls[Concat],0))</f>
        <v>42480</v>
      </c>
      <c r="F11" s="9">
        <f>Table5[[#This Row],[Planned Date of Completion]]-D10</f>
        <v>2</v>
      </c>
      <c r="G11" s="9">
        <f>IF(Table5[[#This Row],[Actual Date of Completion]]&gt;E10,Table5[[#This Row],[Actual Date of Completion]]-E10,NA())</f>
        <v>2</v>
      </c>
      <c r="H11" s="10">
        <f>IFERROR((Table5[[#This Row],[Actual No Of days]]-Table5[[#This Row],[Planned No of days]])/Table5[[#This Row],[Planned No of days]],"")</f>
        <v>0</v>
      </c>
      <c r="I11" s="10">
        <f>SUM($G$7:G11)/SUM($F$7:F11)-1</f>
        <v>0</v>
      </c>
      <c r="J11">
        <f t="shared" si="0"/>
        <v>0.2</v>
      </c>
      <c r="K11">
        <f t="shared" si="1"/>
        <v>-0.2</v>
      </c>
    </row>
    <row r="12" spans="1:11" x14ac:dyDescent="0.25">
      <c r="C12" t="s">
        <v>34</v>
      </c>
      <c r="D12" s="6">
        <f>INDEX(Tbl_SchMls[Planned Date of Completion],MATCH($B$2&amp;$C12,Tbl_SchMls[Concat],0))</f>
        <v>42487</v>
      </c>
      <c r="E12" s="6">
        <f>INDEX(Tbl_SchMls[Actual Date of Completion],MATCH($B$2&amp;$C12,Tbl_SchMls[Concat],0))</f>
        <v>42487</v>
      </c>
      <c r="F12" s="9">
        <f>Table5[[#This Row],[Planned Date of Completion]]-D11</f>
        <v>7</v>
      </c>
      <c r="G12" s="9">
        <f>IF(Table5[[#This Row],[Actual Date of Completion]]&gt;E11,Table5[[#This Row],[Actual Date of Completion]]-E11,NA())</f>
        <v>7</v>
      </c>
      <c r="H12" s="10">
        <f>IFERROR((Table5[[#This Row],[Actual No Of days]]-Table5[[#This Row],[Planned No of days]])/Table5[[#This Row],[Planned No of days]],"")</f>
        <v>0</v>
      </c>
      <c r="I12" s="10">
        <f>SUM($G$7:G12)/SUM($F$7:F12)-1</f>
        <v>0</v>
      </c>
      <c r="J12">
        <f t="shared" si="0"/>
        <v>0.2</v>
      </c>
      <c r="K12">
        <f t="shared" si="1"/>
        <v>-0.2</v>
      </c>
    </row>
    <row r="13" spans="1:11" x14ac:dyDescent="0.25">
      <c r="C13" t="s">
        <v>35</v>
      </c>
      <c r="D13" s="6">
        <f>INDEX(Tbl_SchMls[Planned Date of Completion],MATCH($B$2&amp;$C13,Tbl_SchMls[Concat],0))</f>
        <v>42490</v>
      </c>
      <c r="E13" s="6">
        <f>INDEX(Tbl_SchMls[Actual Date of Completion],MATCH($B$2&amp;$C13,Tbl_SchMls[Concat],0))</f>
        <v>42489</v>
      </c>
      <c r="F13" s="9">
        <f>Table5[[#This Row],[Planned Date of Completion]]-D12</f>
        <v>3</v>
      </c>
      <c r="G13" s="9">
        <f>IF(Table5[[#This Row],[Actual Date of Completion]]&gt;E12,Table5[[#This Row],[Actual Date of Completion]]-E12,NA())</f>
        <v>2</v>
      </c>
      <c r="H13" s="10">
        <f>IFERROR((Table5[[#This Row],[Actual No Of days]]-Table5[[#This Row],[Planned No of days]])/Table5[[#This Row],[Planned No of days]],"")</f>
        <v>-0.33333333333333331</v>
      </c>
      <c r="I13" s="10">
        <f>SUM($G$7:G13)/SUM($F$7:F13)-1</f>
        <v>-2.1739130434782594E-2</v>
      </c>
      <c r="J13">
        <f t="shared" si="0"/>
        <v>0.2</v>
      </c>
      <c r="K13">
        <f t="shared" si="1"/>
        <v>-0.2</v>
      </c>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count="1">
        <x14:dataValidation type="custom" allowBlank="1" showInputMessage="1" showErrorMessage="1">
          <x14:formula1>
            <xm:f>Introduction!$D$10</xm:f>
          </x14:formula1>
          <xm:sqref>B2</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I13"/>
  <sheetViews>
    <sheetView showGridLines="0" zoomScaleNormal="100" workbookViewId="0">
      <selection activeCell="K26" sqref="K26"/>
    </sheetView>
  </sheetViews>
  <sheetFormatPr defaultRowHeight="15" x14ac:dyDescent="0.25"/>
  <cols>
    <col min="1" max="1" width="12.28515625" bestFit="1" customWidth="1"/>
    <col min="3" max="3" width="26.7109375" bestFit="1" customWidth="1"/>
    <col min="4" max="4" width="28.140625" customWidth="1"/>
    <col min="5" max="5" width="26.42578125" customWidth="1"/>
  </cols>
  <sheetData>
    <row r="2" spans="1:9" ht="15.75" thickBot="1" x14ac:dyDescent="0.3">
      <c r="A2" s="11" t="s">
        <v>8</v>
      </c>
      <c r="B2" s="12" t="str">
        <f>Introduction!D10</f>
        <v>GGE064</v>
      </c>
    </row>
    <row r="6" spans="1:9" x14ac:dyDescent="0.25">
      <c r="C6" t="s">
        <v>46</v>
      </c>
      <c r="D6" s="16" t="s">
        <v>16</v>
      </c>
      <c r="E6" s="16" t="s">
        <v>52</v>
      </c>
      <c r="F6" s="17" t="s">
        <v>2868</v>
      </c>
      <c r="G6" s="17" t="s">
        <v>2869</v>
      </c>
      <c r="H6" s="17" t="s">
        <v>50</v>
      </c>
      <c r="I6" s="17" t="s">
        <v>51</v>
      </c>
    </row>
    <row r="7" spans="1:9" x14ac:dyDescent="0.25">
      <c r="C7" t="s">
        <v>17</v>
      </c>
      <c r="D7" s="15">
        <f>INDEX(Tbl_SchMls[Planned Efforts],MATCH($B$2&amp;$C7,Tbl_SchMls[Concat],0))</f>
        <v>0</v>
      </c>
      <c r="E7" s="15">
        <f>SUMIFS(TblTimeSheet[PersonHrs],TblTimeSheet[Project Code/Support Function],$B$2,TblTimeSheet[Project Phase/Function Name],Table57[[#This Row],[Phase]])</f>
        <v>0</v>
      </c>
      <c r="F7" s="18" t="str">
        <f>IFERROR(IF(Table57[[#This Row],[Actual efforts]]&lt;&gt;0,(Table57[[#This Row],[Actual efforts]]-Table57[[#This Row],[Planned Efforts]])/Table57[[#This Row],[Planned Efforts]],""),"")</f>
        <v/>
      </c>
      <c r="G7" s="18"/>
      <c r="H7" s="17">
        <f t="shared" ref="H7:H13" si="0">0.2</f>
        <v>0.2</v>
      </c>
      <c r="I7" s="17">
        <f t="shared" ref="I7:I13" si="1">-0.2</f>
        <v>-0.2</v>
      </c>
    </row>
    <row r="8" spans="1:9" x14ac:dyDescent="0.25">
      <c r="C8" t="s">
        <v>19</v>
      </c>
      <c r="D8" s="15">
        <f>INDEX(Tbl_SchMls[Planned Efforts],MATCH($B$2&amp;$C8,Tbl_SchMls[Concat],0))</f>
        <v>22</v>
      </c>
      <c r="E8" s="15">
        <f>SUMIFS(TblTimeSheet[PersonHrs],TblTimeSheet[Project Code/Support Function],$B$2,TblTimeSheet[Project Phase/Function Name],Table57[[#This Row],[Phase]])</f>
        <v>17.666666666278616</v>
      </c>
      <c r="F8" s="18">
        <f>IFERROR(IF(Table57[[#This Row],[Actual efforts]]&lt;&gt;0,(Table57[[#This Row],[Actual efforts]]-Table57[[#This Row],[Planned Efforts]])/Table57[[#This Row],[Planned Efforts]],""),"")</f>
        <v>-0.19696969698733566</v>
      </c>
      <c r="G8" s="18">
        <f>SUM($E$7:E8)/SUM($D$7:D8)-1</f>
        <v>-0.19696969698733569</v>
      </c>
      <c r="H8" s="17">
        <f t="shared" si="0"/>
        <v>0.2</v>
      </c>
      <c r="I8" s="17">
        <f t="shared" si="1"/>
        <v>-0.2</v>
      </c>
    </row>
    <row r="9" spans="1:9" x14ac:dyDescent="0.25">
      <c r="C9" t="s">
        <v>20</v>
      </c>
      <c r="D9" s="15">
        <f>INDEX(Tbl_SchMls[Planned Efforts],MATCH($B$2&amp;$C9,Tbl_SchMls[Concat],0))</f>
        <v>14.9</v>
      </c>
      <c r="E9" s="15">
        <f>SUMIFS(TblTimeSheet[PersonHrs],TblTimeSheet[Project Code/Support Function],$B$2,TblTimeSheet[Project Phase/Function Name],Table57[[#This Row],[Phase]])</f>
        <v>18.41666666592937</v>
      </c>
      <c r="F9" s="18">
        <f>IFERROR(IF(Table57[[#This Row],[Actual efforts]]&lt;&gt;0,(Table57[[#This Row],[Actual efforts]]-Table57[[#This Row],[Planned Efforts]])/Table57[[#This Row],[Planned Efforts]],""),"")</f>
        <v>0.23601789704223955</v>
      </c>
      <c r="G9" s="18">
        <f>SUM($E$7:E9)/SUM($D$7:D9)-1</f>
        <v>-2.213188801604371E-2</v>
      </c>
      <c r="H9" s="17">
        <f t="shared" si="0"/>
        <v>0.2</v>
      </c>
      <c r="I9" s="17">
        <f t="shared" si="1"/>
        <v>-0.2</v>
      </c>
    </row>
    <row r="10" spans="1:9" x14ac:dyDescent="0.25">
      <c r="C10" t="s">
        <v>32</v>
      </c>
      <c r="D10" s="15">
        <f>INDEX(Tbl_SchMls[Planned Efforts],MATCH($B$2&amp;$C10,Tbl_SchMls[Concat],0))</f>
        <v>74.5</v>
      </c>
      <c r="E10" s="15">
        <f>SUMIFS(TblTimeSheet[PersonHrs],TblTimeSheet[Project Code/Support Function],$B$2,TblTimeSheet[Project Phase/Function Name],Table57[[#This Row],[Phase]])</f>
        <v>75.583333334710915</v>
      </c>
      <c r="F10" s="18">
        <f>IFERROR(IF(Table57[[#This Row],[Actual efforts]]&lt;&gt;0,(Table57[[#This Row],[Actual efforts]]-Table57[[#This Row],[Planned Efforts]])/Table57[[#This Row],[Planned Efforts]],""),"")</f>
        <v>1.4541387043099525E-2</v>
      </c>
      <c r="G10" s="18">
        <f>SUM($E$7:E10)/SUM($D$7:D10)-1</f>
        <v>2.3937761841912319E-3</v>
      </c>
      <c r="H10" s="17">
        <f t="shared" si="0"/>
        <v>0.2</v>
      </c>
      <c r="I10" s="17">
        <f t="shared" si="1"/>
        <v>-0.2</v>
      </c>
    </row>
    <row r="11" spans="1:9" x14ac:dyDescent="0.25">
      <c r="C11" t="s">
        <v>33</v>
      </c>
      <c r="D11" s="15">
        <f>INDEX(Tbl_SchMls[Planned Efforts],MATCH($B$2&amp;$C11,Tbl_SchMls[Concat],0))</f>
        <v>14.9</v>
      </c>
      <c r="E11" s="15">
        <f>SUMIFS(TblTimeSheet[PersonHrs],TblTimeSheet[Project Code/Support Function],$B$2,TblTimeSheet[Project Phase/Function Name],Table57[[#This Row],[Phase]])</f>
        <v>14.000000000058208</v>
      </c>
      <c r="F11" s="18">
        <f>IFERROR(IF(Table57[[#This Row],[Actual efforts]]&lt;&gt;0,(Table57[[#This Row],[Actual efforts]]-Table57[[#This Row],[Planned Efforts]])/Table57[[#This Row],[Planned Efforts]],""),"")</f>
        <v>-6.0402684559851857E-2</v>
      </c>
      <c r="G11" s="18">
        <f>SUM($E$7:E11)/SUM($D$7:D11)-1</f>
        <v>-5.0145157008939512E-3</v>
      </c>
      <c r="H11" s="17">
        <f t="shared" si="0"/>
        <v>0.2</v>
      </c>
      <c r="I11" s="17">
        <f t="shared" si="1"/>
        <v>-0.2</v>
      </c>
    </row>
    <row r="12" spans="1:9" x14ac:dyDescent="0.25">
      <c r="C12" t="s">
        <v>34</v>
      </c>
      <c r="D12" s="15">
        <f>INDEX(Tbl_SchMls[Planned Efforts],MATCH($B$2&amp;$C12,Tbl_SchMls[Concat],0))</f>
        <v>37.299999999999997</v>
      </c>
      <c r="E12" s="15">
        <f>SUMIFS(TblTimeSheet[PersonHrs],TblTimeSheet[Project Code/Support Function],$B$2,TblTimeSheet[Project Phase/Function Name],Table57[[#This Row],[Phase]])</f>
        <v>35.916666666744277</v>
      </c>
      <c r="F12" s="18">
        <f>IFERROR(IF(Table57[[#This Row],[Actual efforts]]&lt;&gt;0,(Table57[[#This Row],[Actual efforts]]-Table57[[#This Row],[Planned Efforts]])/Table57[[#This Row],[Planned Efforts]],""),"")</f>
        <v>-3.7086684537686876E-2</v>
      </c>
      <c r="G12" s="18">
        <f>SUM($E$7:E12)/SUM($D$7:D12)-1</f>
        <v>-1.232681336356134E-2</v>
      </c>
      <c r="H12" s="17">
        <f t="shared" si="0"/>
        <v>0.2</v>
      </c>
      <c r="I12" s="17">
        <f t="shared" si="1"/>
        <v>-0.2</v>
      </c>
    </row>
    <row r="13" spans="1:9" x14ac:dyDescent="0.25">
      <c r="C13" t="s">
        <v>35</v>
      </c>
      <c r="D13" s="15">
        <f>INDEX(Tbl_SchMls[Planned Efforts],MATCH($B$2&amp;$C13,Tbl_SchMls[Concat],0))</f>
        <v>7.5</v>
      </c>
      <c r="E13" s="15">
        <f>SUMIFS(TblTimeSheet[PersonHrs],TblTimeSheet[Project Code/Support Function],$B$2,TblTimeSheet[Project Phase/Function Name],Table57[[#This Row],[Phase]])</f>
        <v>7.0833333324990235</v>
      </c>
      <c r="F13" s="18">
        <f>IFERROR(IF(Table57[[#This Row],[Actual efforts]]&lt;&gt;0,(Table57[[#This Row],[Actual efforts]]-Table57[[#This Row],[Planned Efforts]])/Table57[[#This Row],[Planned Efforts]],""),"")</f>
        <v>-5.555555566679686E-2</v>
      </c>
      <c r="G13" s="18">
        <f>SUM($E$7:E13)/SUM($D$7:D13)-1</f>
        <v>-1.4221702710576323E-2</v>
      </c>
      <c r="H13" s="17">
        <f t="shared" si="0"/>
        <v>0.2</v>
      </c>
      <c r="I13" s="17">
        <f t="shared" si="1"/>
        <v>-0.2</v>
      </c>
    </row>
  </sheetData>
  <pageMargins left="0.7" right="0.7" top="0.75" bottom="0.75" header="0.3" footer="0.3"/>
  <drawing r:id="rId1"/>
  <tableParts count="1">
    <tablePart r:id="rId2"/>
  </tableParts>
  <extLst>
    <ext xmlns:x14="http://schemas.microsoft.com/office/spreadsheetml/2009/9/main" uri="{CCE6A557-97BC-4b89-ADB6-D9C93CAAB3DF}">
      <x14:dataValidations xmlns:xm="http://schemas.microsoft.com/office/excel/2006/main" disablePrompts="1" count="1">
        <x14:dataValidation type="custom" allowBlank="1" showInputMessage="1" showErrorMessage="1">
          <x14:formula1>
            <xm:f>Introduction!$D$10</xm:f>
          </x14:formula1>
          <xm:sqref>B2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3:B9"/>
  <sheetViews>
    <sheetView workbookViewId="0">
      <selection activeCell="B7" sqref="B7"/>
    </sheetView>
  </sheetViews>
  <sheetFormatPr defaultRowHeight="15" x14ac:dyDescent="0.25"/>
  <cols>
    <col min="1" max="1" width="23" customWidth="1"/>
  </cols>
  <sheetData>
    <row r="3" spans="1:2" ht="15.75" thickBot="1" x14ac:dyDescent="0.3">
      <c r="A3" s="11" t="s">
        <v>8</v>
      </c>
      <c r="B3" s="12" t="str">
        <f>Introduction!D10</f>
        <v>GGE064</v>
      </c>
    </row>
    <row r="6" spans="1:2" ht="45" x14ac:dyDescent="0.25">
      <c r="A6" s="7" t="s">
        <v>63</v>
      </c>
      <c r="B6">
        <f>COUNTIFS(TblDefects[Project Code],$B$3,TblDefects[Defect Classification],"Functional")</f>
        <v>27</v>
      </c>
    </row>
    <row r="7" spans="1:2" ht="30" x14ac:dyDescent="0.25">
      <c r="A7" s="7" t="s">
        <v>100</v>
      </c>
      <c r="B7">
        <f>SUMIFS(TblTimeSheet[PersonHrs],TblTimeSheet[Project Code/Support Function],$B$3)</f>
        <v>168.66666666622041</v>
      </c>
    </row>
    <row r="9" spans="1:2" x14ac:dyDescent="0.25">
      <c r="A9" t="s">
        <v>74</v>
      </c>
      <c r="B9">
        <f>IFERROR(B6/B7,"----")</f>
        <v>0.16007905138382275</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custom" allowBlank="1" showInputMessage="1" showErrorMessage="1">
          <x14:formula1>
            <xm:f>Introduction!$D$10</xm:f>
          </x14:formula1>
          <xm:sqref>B3</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B10"/>
  <sheetViews>
    <sheetView workbookViewId="0">
      <selection activeCell="K13" sqref="K13"/>
    </sheetView>
  </sheetViews>
  <sheetFormatPr defaultRowHeight="15" x14ac:dyDescent="0.25"/>
  <cols>
    <col min="1" max="1" width="23" customWidth="1"/>
  </cols>
  <sheetData>
    <row r="3" spans="1:2" ht="15.75" thickBot="1" x14ac:dyDescent="0.3">
      <c r="A3" s="11" t="s">
        <v>8</v>
      </c>
      <c r="B3" s="12" t="str">
        <f>Introduction!D10</f>
        <v>GGE064</v>
      </c>
    </row>
    <row r="6" spans="1:2" ht="30" x14ac:dyDescent="0.25">
      <c r="A6" s="19" t="s">
        <v>82</v>
      </c>
      <c r="B6" s="21">
        <f>COUNTIFS(TblAdtNC[Project Code/ Process name],'Process Defect Density(Project)'!$B$3,TblAdtNC[Classification],"Major NC")</f>
        <v>1</v>
      </c>
    </row>
    <row r="7" spans="1:2" ht="30" x14ac:dyDescent="0.25">
      <c r="A7" s="19" t="s">
        <v>83</v>
      </c>
      <c r="B7" s="21">
        <f>COUNTIFS(TblAdtNC[Project Code/ Process name],'Process Defect Density(Project)'!$B$3,TblAdtNC[Classification],"Minor NC")</f>
        <v>10</v>
      </c>
    </row>
    <row r="8" spans="1:2" ht="30" x14ac:dyDescent="0.25">
      <c r="A8" s="19" t="s">
        <v>73</v>
      </c>
      <c r="B8" s="21">
        <f>SUMIFS(TblTimeSheet[PersonHrs],TblTimeSheet[Project Code/Support Function],'Process Defect Density(Project)'!$B$3)</f>
        <v>168.66666666622041</v>
      </c>
    </row>
    <row r="9" spans="1:2" x14ac:dyDescent="0.25">
      <c r="A9" s="20"/>
    </row>
    <row r="10" spans="1:2" ht="30" x14ac:dyDescent="0.25">
      <c r="A10" s="19" t="s">
        <v>84</v>
      </c>
      <c r="B10" s="22">
        <f>(5*Total_Number_of_Major_NCs_in_theproject
+1*Total_Number_of_Minor_NCs_in_theproject)
/ (Total_Effort_Expended_in_the_prroject)</f>
        <v>8.893280632434597E-2</v>
      </c>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custom" allowBlank="1" showInputMessage="1" showErrorMessage="1">
          <x14:formula1>
            <xm:f>Introduction!$D$10</xm:f>
          </x14:formula1>
          <xm:sqref>B3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J28"/>
  <sheetViews>
    <sheetView showGridLines="0" workbookViewId="0">
      <selection activeCell="C11" sqref="C11"/>
    </sheetView>
  </sheetViews>
  <sheetFormatPr defaultRowHeight="15" x14ac:dyDescent="0.25"/>
  <cols>
    <col min="2" max="2" width="16.28515625" bestFit="1" customWidth="1"/>
    <col min="3" max="3" width="81.140625" bestFit="1" customWidth="1"/>
    <col min="4" max="4" width="12.140625" bestFit="1" customWidth="1"/>
    <col min="5" max="5" width="22.42578125" bestFit="1" customWidth="1"/>
    <col min="6" max="6" width="24.28515625" bestFit="1" customWidth="1"/>
    <col min="7" max="7" width="22.5703125" bestFit="1" customWidth="1"/>
    <col min="8" max="8" width="16.5703125" bestFit="1" customWidth="1"/>
    <col min="9" max="9" width="6.5703125" bestFit="1" customWidth="1"/>
    <col min="10" max="10" width="6" bestFit="1" customWidth="1"/>
  </cols>
  <sheetData>
    <row r="2" spans="2:10" x14ac:dyDescent="0.25">
      <c r="B2" t="s">
        <v>0</v>
      </c>
      <c r="C2" t="s">
        <v>1</v>
      </c>
      <c r="D2" t="s">
        <v>3</v>
      </c>
      <c r="E2" t="s">
        <v>2</v>
      </c>
      <c r="F2" s="17" t="s">
        <v>90</v>
      </c>
      <c r="G2" s="17" t="s">
        <v>91</v>
      </c>
      <c r="H2" t="s">
        <v>92</v>
      </c>
      <c r="I2" t="s">
        <v>50</v>
      </c>
      <c r="J2" t="s">
        <v>51</v>
      </c>
    </row>
    <row r="3" spans="2:10" x14ac:dyDescent="0.25">
      <c r="B3" s="1" t="s">
        <v>4</v>
      </c>
      <c r="C3" s="1" t="s">
        <v>102</v>
      </c>
      <c r="D3" s="1" t="s">
        <v>6</v>
      </c>
      <c r="E3" s="1" t="s">
        <v>5</v>
      </c>
      <c r="F3" s="26">
        <f>SUMIFS(Tbl_SchMls[Planned Efforts],Tbl_SchMls[Project Code],Table_owssvr__2[[#This Row],[Title]])</f>
        <v>67</v>
      </c>
      <c r="G3" s="15">
        <f>SUMIFS(TblTimeSheet[PersonHrs],TblTimeSheet[Project Code/Support Function],Table_owssvr__2[[#This Row],[Title]])</f>
        <v>55.749999999941792</v>
      </c>
      <c r="H3" s="27">
        <f>(Table_owssvr__2[[#This Row],[Total Actual Efforts]]-Table_owssvr__2[[#This Row],[Total Planned Efforts]])/Table_owssvr__2[[#This Row],[Total Planned Efforts]]</f>
        <v>-0.16791044776206279</v>
      </c>
      <c r="I3">
        <f t="shared" ref="I3:I28" si="0">0.2</f>
        <v>0.2</v>
      </c>
      <c r="J3">
        <f t="shared" ref="J3:J28" si="1">-0.2</f>
        <v>-0.2</v>
      </c>
    </row>
    <row r="4" spans="2:10" x14ac:dyDescent="0.25">
      <c r="B4" s="1" t="s">
        <v>7</v>
      </c>
      <c r="C4" s="1"/>
      <c r="D4" s="1" t="s">
        <v>6</v>
      </c>
      <c r="E4" s="1" t="s">
        <v>5</v>
      </c>
      <c r="F4" s="26">
        <f>SUMIFS(Tbl_SchMls[Planned Efforts],Tbl_SchMls[Project Code],Table_owssvr__2[[#This Row],[Title]])</f>
        <v>75</v>
      </c>
      <c r="G4" s="25">
        <f>SUMIFS(TblTimeSheet[PersonHrs],TblTimeSheet[Project Code/Support Function],Table_owssvr__2[[#This Row],[Title]])</f>
        <v>14.750000000058208</v>
      </c>
      <c r="H4" s="27">
        <f>(Table_owssvr__2[[#This Row],[Total Actual Efforts]]-Table_owssvr__2[[#This Row],[Total Planned Efforts]])/Table_owssvr__2[[#This Row],[Total Planned Efforts]]</f>
        <v>-0.80333333333255719</v>
      </c>
      <c r="I4">
        <f t="shared" si="0"/>
        <v>0.2</v>
      </c>
      <c r="J4">
        <f t="shared" si="1"/>
        <v>-0.2</v>
      </c>
    </row>
    <row r="5" spans="2:10" x14ac:dyDescent="0.25">
      <c r="B5" s="1" t="s">
        <v>103</v>
      </c>
      <c r="C5" s="1" t="s">
        <v>104</v>
      </c>
      <c r="D5" s="1" t="s">
        <v>6</v>
      </c>
      <c r="E5" s="1" t="s">
        <v>5</v>
      </c>
      <c r="F5" s="26">
        <f>SUMIFS(Tbl_SchMls[Planned Efforts],Tbl_SchMls[Project Code],Table_owssvr__2[[#This Row],[Title]])</f>
        <v>0</v>
      </c>
      <c r="G5" s="15">
        <f>SUMIFS(TblTimeSheet[PersonHrs],TblTimeSheet[Project Code/Support Function],Table_owssvr__2[[#This Row],[Title]])</f>
        <v>3.9999999999417923</v>
      </c>
      <c r="H5" s="33" t="e">
        <f>(Table_owssvr__2[[#This Row],[Total Actual Efforts]]-Table_owssvr__2[[#This Row],[Total Planned Efforts]])/Table_owssvr__2[[#This Row],[Total Planned Efforts]]</f>
        <v>#DIV/0!</v>
      </c>
      <c r="I5" s="14">
        <f t="shared" si="0"/>
        <v>0.2</v>
      </c>
      <c r="J5" s="14">
        <f t="shared" si="1"/>
        <v>-0.2</v>
      </c>
    </row>
    <row r="6" spans="2:10" x14ac:dyDescent="0.25">
      <c r="B6" s="1" t="s">
        <v>105</v>
      </c>
      <c r="C6" s="1" t="s">
        <v>106</v>
      </c>
      <c r="D6" s="1" t="s">
        <v>6</v>
      </c>
      <c r="E6" s="1" t="s">
        <v>5</v>
      </c>
      <c r="F6" s="26">
        <f>SUMIFS(Tbl_SchMls[Planned Efforts],Tbl_SchMls[Project Code],Table_owssvr__2[[#This Row],[Title]])</f>
        <v>0</v>
      </c>
      <c r="G6" s="15">
        <f>SUMIFS(TblTimeSheet[PersonHrs],TblTimeSheet[Project Code/Support Function],Table_owssvr__2[[#This Row],[Title]])</f>
        <v>6.4999999993597157</v>
      </c>
      <c r="H6" s="33" t="e">
        <f>(Table_owssvr__2[[#This Row],[Total Actual Efforts]]-Table_owssvr__2[[#This Row],[Total Planned Efforts]])/Table_owssvr__2[[#This Row],[Total Planned Efforts]]</f>
        <v>#DIV/0!</v>
      </c>
      <c r="I6" s="14">
        <f t="shared" si="0"/>
        <v>0.2</v>
      </c>
      <c r="J6" s="14">
        <f t="shared" si="1"/>
        <v>-0.2</v>
      </c>
    </row>
    <row r="7" spans="2:10" x14ac:dyDescent="0.25">
      <c r="B7" s="1" t="s">
        <v>107</v>
      </c>
      <c r="C7" s="1" t="s">
        <v>107</v>
      </c>
      <c r="D7" s="1" t="s">
        <v>6</v>
      </c>
      <c r="E7" s="1" t="s">
        <v>5</v>
      </c>
      <c r="F7" s="26">
        <f>SUMIFS(Tbl_SchMls[Planned Efforts],Tbl_SchMls[Project Code],Table_owssvr__2[[#This Row],[Title]])</f>
        <v>0</v>
      </c>
      <c r="G7" s="15">
        <f>SUMIFS(TblTimeSheet[PersonHrs],TblTimeSheet[Project Code/Support Function],Table_owssvr__2[[#This Row],[Title]])</f>
        <v>8.4166666666860692</v>
      </c>
      <c r="H7" s="33" t="e">
        <f>(Table_owssvr__2[[#This Row],[Total Actual Efforts]]-Table_owssvr__2[[#This Row],[Total Planned Efforts]])/Table_owssvr__2[[#This Row],[Total Planned Efforts]]</f>
        <v>#DIV/0!</v>
      </c>
      <c r="I7" s="14">
        <f t="shared" si="0"/>
        <v>0.2</v>
      </c>
      <c r="J7" s="14">
        <f t="shared" si="1"/>
        <v>-0.2</v>
      </c>
    </row>
    <row r="8" spans="2:10" x14ac:dyDescent="0.25">
      <c r="B8" s="1" t="s">
        <v>108</v>
      </c>
      <c r="C8" s="1" t="s">
        <v>109</v>
      </c>
      <c r="D8" s="1" t="s">
        <v>6</v>
      </c>
      <c r="E8" s="1" t="s">
        <v>5</v>
      </c>
      <c r="F8" s="26">
        <f>SUMIFS(Tbl_SchMls[Planned Efforts],Tbl_SchMls[Project Code],Table_owssvr__2[[#This Row],[Title]])</f>
        <v>422</v>
      </c>
      <c r="G8" s="15">
        <f>SUMIFS(TblTimeSheet[PersonHrs],TblTimeSheet[Project Code/Support Function],Table_owssvr__2[[#This Row],[Title]])</f>
        <v>259.91666666226229</v>
      </c>
      <c r="H8" s="33">
        <f>(Table_owssvr__2[[#This Row],[Total Actual Efforts]]-Table_owssvr__2[[#This Row],[Total Planned Efforts]])/Table_owssvr__2[[#This Row],[Total Planned Efforts]]</f>
        <v>-0.38408372828847798</v>
      </c>
      <c r="I8" s="14">
        <f t="shared" si="0"/>
        <v>0.2</v>
      </c>
      <c r="J8" s="14">
        <f t="shared" si="1"/>
        <v>-0.2</v>
      </c>
    </row>
    <row r="9" spans="2:10" x14ac:dyDescent="0.25">
      <c r="B9" s="1" t="s">
        <v>110</v>
      </c>
      <c r="C9" s="1" t="s">
        <v>111</v>
      </c>
      <c r="D9" s="1" t="s">
        <v>6</v>
      </c>
      <c r="E9" s="1" t="s">
        <v>5</v>
      </c>
      <c r="F9" s="26">
        <f>SUMIFS(Tbl_SchMls[Planned Efforts],Tbl_SchMls[Project Code],Table_owssvr__2[[#This Row],[Title]])</f>
        <v>522</v>
      </c>
      <c r="G9" s="15">
        <f>SUMIFS(TblTimeSheet[PersonHrs],TblTimeSheet[Project Code/Support Function],Table_owssvr__2[[#This Row],[Title]])</f>
        <v>168.24999999732245</v>
      </c>
      <c r="H9" s="33">
        <f>(Table_owssvr__2[[#This Row],[Total Actual Efforts]]-Table_owssvr__2[[#This Row],[Total Planned Efforts]])/Table_owssvr__2[[#This Row],[Total Planned Efforts]]</f>
        <v>-0.6776819923422942</v>
      </c>
      <c r="I9" s="14">
        <f t="shared" si="0"/>
        <v>0.2</v>
      </c>
      <c r="J9" s="14">
        <f t="shared" si="1"/>
        <v>-0.2</v>
      </c>
    </row>
    <row r="10" spans="2:10" x14ac:dyDescent="0.25">
      <c r="B10" s="1" t="s">
        <v>112</v>
      </c>
      <c r="C10" s="1" t="s">
        <v>113</v>
      </c>
      <c r="D10" s="1" t="s">
        <v>6</v>
      </c>
      <c r="E10" s="1" t="s">
        <v>5</v>
      </c>
      <c r="F10" s="26">
        <f>SUMIFS(Tbl_SchMls[Planned Efforts],Tbl_SchMls[Project Code],Table_owssvr__2[[#This Row],[Title]])</f>
        <v>0</v>
      </c>
      <c r="G10" s="15">
        <f>SUMIFS(TblTimeSheet[PersonHrs],TblTimeSheet[Project Code/Support Function],Table_owssvr__2[[#This Row],[Title]])</f>
        <v>0</v>
      </c>
      <c r="H10" s="33" t="e">
        <f>(Table_owssvr__2[[#This Row],[Total Actual Efforts]]-Table_owssvr__2[[#This Row],[Total Planned Efforts]])/Table_owssvr__2[[#This Row],[Total Planned Efforts]]</f>
        <v>#DIV/0!</v>
      </c>
      <c r="I10" s="14">
        <f t="shared" si="0"/>
        <v>0.2</v>
      </c>
      <c r="J10" s="14">
        <f t="shared" si="1"/>
        <v>-0.2</v>
      </c>
    </row>
    <row r="11" spans="2:10" x14ac:dyDescent="0.25">
      <c r="B11" s="1" t="s">
        <v>114</v>
      </c>
      <c r="C11" s="1" t="s">
        <v>115</v>
      </c>
      <c r="D11" s="1" t="s">
        <v>6</v>
      </c>
      <c r="E11" s="1" t="s">
        <v>5</v>
      </c>
      <c r="F11" s="26">
        <f>SUMIFS(Tbl_SchMls[Planned Efforts],Tbl_SchMls[Project Code],Table_owssvr__2[[#This Row],[Title]])</f>
        <v>1080</v>
      </c>
      <c r="G11" s="15">
        <f>SUMIFS(TblTimeSheet[PersonHrs],TblTimeSheet[Project Code/Support Function],Table_owssvr__2[[#This Row],[Title]])</f>
        <v>98.916666667792015</v>
      </c>
      <c r="H11" s="33">
        <f>(Table_owssvr__2[[#This Row],[Total Actual Efforts]]-Table_owssvr__2[[#This Row],[Total Planned Efforts]])/Table_owssvr__2[[#This Row],[Total Planned Efforts]]</f>
        <v>-0.90841049382611849</v>
      </c>
      <c r="I11" s="14">
        <f t="shared" si="0"/>
        <v>0.2</v>
      </c>
      <c r="J11" s="14">
        <f t="shared" si="1"/>
        <v>-0.2</v>
      </c>
    </row>
    <row r="12" spans="2:10" x14ac:dyDescent="0.25">
      <c r="B12" s="1" t="s">
        <v>581</v>
      </c>
      <c r="C12" s="1" t="s">
        <v>488</v>
      </c>
      <c r="D12" s="1" t="s">
        <v>6</v>
      </c>
      <c r="E12" s="1" t="s">
        <v>5</v>
      </c>
      <c r="F12" s="26">
        <f>SUMIFS(Tbl_SchMls[Planned Efforts],Tbl_SchMls[Project Code],Table_owssvr__2[[#This Row],[Title]])</f>
        <v>87</v>
      </c>
      <c r="G12" s="15">
        <f>SUMIFS(TblTimeSheet[PersonHrs],TblTimeSheet[Project Code/Support Function],Table_owssvr__2[[#This Row],[Title]])</f>
        <v>5.5000000001164153</v>
      </c>
      <c r="H12" s="33">
        <f>(Table_owssvr__2[[#This Row],[Total Actual Efforts]]-Table_owssvr__2[[#This Row],[Total Planned Efforts]])/Table_owssvr__2[[#This Row],[Total Planned Efforts]]</f>
        <v>-0.93678160919406417</v>
      </c>
      <c r="I12" s="14">
        <f t="shared" si="0"/>
        <v>0.2</v>
      </c>
      <c r="J12" s="14">
        <f t="shared" si="1"/>
        <v>-0.2</v>
      </c>
    </row>
    <row r="13" spans="2:10" x14ac:dyDescent="0.25">
      <c r="B13" s="1" t="s">
        <v>582</v>
      </c>
      <c r="C13" s="1" t="s">
        <v>583</v>
      </c>
      <c r="D13" s="1" t="s">
        <v>6</v>
      </c>
      <c r="E13" s="1" t="s">
        <v>5</v>
      </c>
      <c r="F13" s="26">
        <f>SUMIFS(Tbl_SchMls[Planned Efforts],Tbl_SchMls[Project Code],Table_owssvr__2[[#This Row],[Title]])</f>
        <v>0</v>
      </c>
      <c r="G13" s="15">
        <f>SUMIFS(TblTimeSheet[PersonHrs],TblTimeSheet[Project Code/Support Function],Table_owssvr__2[[#This Row],[Title]])</f>
        <v>0</v>
      </c>
      <c r="H13" s="33" t="e">
        <f>(Table_owssvr__2[[#This Row],[Total Actual Efforts]]-Table_owssvr__2[[#This Row],[Total Planned Efforts]])/Table_owssvr__2[[#This Row],[Total Planned Efforts]]</f>
        <v>#DIV/0!</v>
      </c>
      <c r="I13" s="14">
        <f t="shared" si="0"/>
        <v>0.2</v>
      </c>
      <c r="J13" s="14">
        <f t="shared" si="1"/>
        <v>-0.2</v>
      </c>
    </row>
    <row r="14" spans="2:10" x14ac:dyDescent="0.25">
      <c r="B14" s="1" t="s">
        <v>697</v>
      </c>
      <c r="C14" s="1" t="s">
        <v>698</v>
      </c>
      <c r="D14" s="1" t="s">
        <v>6</v>
      </c>
      <c r="E14" s="1" t="s">
        <v>5</v>
      </c>
      <c r="F14" s="26">
        <f>SUMIFS(Tbl_SchMls[Planned Efforts],Tbl_SchMls[Project Code],Table_owssvr__2[[#This Row],[Title]])</f>
        <v>1122</v>
      </c>
      <c r="G14" s="15">
        <f>SUMIFS(TblTimeSheet[PersonHrs],TblTimeSheet[Project Code/Support Function],Table_owssvr__2[[#This Row],[Title]])</f>
        <v>625.41666665766388</v>
      </c>
      <c r="H14" s="33">
        <f>(Table_owssvr__2[[#This Row],[Total Actual Efforts]]-Table_owssvr__2[[#This Row],[Total Planned Efforts]])/Table_owssvr__2[[#This Row],[Total Planned Efforts]]</f>
        <v>-0.44258764112507676</v>
      </c>
      <c r="I14" s="14">
        <f t="shared" si="0"/>
        <v>0.2</v>
      </c>
      <c r="J14" s="14">
        <f t="shared" si="1"/>
        <v>-0.2</v>
      </c>
    </row>
    <row r="15" spans="2:10" x14ac:dyDescent="0.25">
      <c r="B15" s="1" t="s">
        <v>699</v>
      </c>
      <c r="C15" s="1" t="s">
        <v>700</v>
      </c>
      <c r="D15" s="1" t="s">
        <v>6</v>
      </c>
      <c r="E15" s="1" t="s">
        <v>5</v>
      </c>
      <c r="F15" s="26">
        <f>SUMIFS(Tbl_SchMls[Planned Efforts],Tbl_SchMls[Project Code],Table_owssvr__2[[#This Row],[Title]])</f>
        <v>549.29999999999995</v>
      </c>
      <c r="G15" s="15">
        <f>SUMIFS(TblTimeSheet[PersonHrs],TblTimeSheet[Project Code/Support Function],Table_owssvr__2[[#This Row],[Title]])</f>
        <v>264.16666666424135</v>
      </c>
      <c r="H15" s="27">
        <f>(Table_owssvr__2[[#This Row],[Total Actual Efforts]]-Table_owssvr__2[[#This Row],[Total Planned Efforts]])/Table_owssvr__2[[#This Row],[Total Planned Efforts]]</f>
        <v>-0.51908489593256624</v>
      </c>
      <c r="I15" s="14">
        <f t="shared" si="0"/>
        <v>0.2</v>
      </c>
      <c r="J15" s="14">
        <f t="shared" si="1"/>
        <v>-0.2</v>
      </c>
    </row>
    <row r="16" spans="2:10" x14ac:dyDescent="0.25">
      <c r="B16" s="1" t="s">
        <v>909</v>
      </c>
      <c r="C16" s="1" t="s">
        <v>910</v>
      </c>
      <c r="D16" s="1" t="s">
        <v>6</v>
      </c>
      <c r="E16" s="1" t="s">
        <v>5</v>
      </c>
      <c r="F16" s="26">
        <f>SUMIFS(Tbl_SchMls[Planned Efforts],Tbl_SchMls[Project Code],Table_owssvr__2[[#This Row],[Title]])</f>
        <v>273.49999999999994</v>
      </c>
      <c r="G16" s="15">
        <f>SUMIFS(TblTimeSheet[PersonHrs],TblTimeSheet[Project Code/Support Function],Table_owssvr__2[[#This Row],[Title]])</f>
        <v>301.24999999639113</v>
      </c>
      <c r="H16" s="35">
        <f>(Table_owssvr__2[[#This Row],[Total Actual Efforts]]-Table_owssvr__2[[#This Row],[Total Planned Efforts]])/Table_owssvr__2[[#This Row],[Total Planned Efforts]]</f>
        <v>0.10146252283872463</v>
      </c>
      <c r="I16" s="14">
        <f t="shared" si="0"/>
        <v>0.2</v>
      </c>
      <c r="J16" s="14">
        <f t="shared" si="1"/>
        <v>-0.2</v>
      </c>
    </row>
    <row r="17" spans="2:10" x14ac:dyDescent="0.25">
      <c r="B17" s="1" t="s">
        <v>911</v>
      </c>
      <c r="C17" s="1" t="s">
        <v>912</v>
      </c>
      <c r="D17" s="1" t="s">
        <v>6</v>
      </c>
      <c r="E17" s="1" t="s">
        <v>5</v>
      </c>
      <c r="F17" s="26">
        <f>SUMIFS(Tbl_SchMls[Planned Efforts],Tbl_SchMls[Project Code],Table_owssvr__2[[#This Row],[Title]])</f>
        <v>218</v>
      </c>
      <c r="G17" s="15">
        <f>SUMIFS(TblTimeSheet[PersonHrs],TblTimeSheet[Project Code/Support Function],Table_owssvr__2[[#This Row],[Title]])</f>
        <v>188.24999999598367</v>
      </c>
      <c r="H17" s="35">
        <f>(Table_owssvr__2[[#This Row],[Total Actual Efforts]]-Table_owssvr__2[[#This Row],[Total Planned Efforts]])/Table_owssvr__2[[#This Row],[Total Planned Efforts]]</f>
        <v>-0.13646788992668041</v>
      </c>
      <c r="I17" s="14">
        <f t="shared" si="0"/>
        <v>0.2</v>
      </c>
      <c r="J17" s="14">
        <f t="shared" si="1"/>
        <v>-0.2</v>
      </c>
    </row>
    <row r="18" spans="2:10" x14ac:dyDescent="0.25">
      <c r="B18" s="1" t="s">
        <v>913</v>
      </c>
      <c r="C18" s="1" t="s">
        <v>914</v>
      </c>
      <c r="D18" s="1" t="s">
        <v>6</v>
      </c>
      <c r="E18" s="1" t="s">
        <v>5</v>
      </c>
      <c r="F18" s="26">
        <f>SUMIFS(Tbl_SchMls[Planned Efforts],Tbl_SchMls[Project Code],Table_owssvr__2[[#This Row],[Title]])</f>
        <v>79.2</v>
      </c>
      <c r="G18" s="15">
        <f>SUMIFS(TblTimeSheet[PersonHrs],TblTimeSheet[Project Code/Support Function],Table_owssvr__2[[#This Row],[Title]])</f>
        <v>89.083333334885538</v>
      </c>
      <c r="H18" s="27">
        <f>(Table_owssvr__2[[#This Row],[Total Actual Efforts]]-Table_owssvr__2[[#This Row],[Total Planned Efforts]])/Table_owssvr__2[[#This Row],[Total Planned Efforts]]</f>
        <v>0.12478956230916079</v>
      </c>
      <c r="I18" s="14">
        <f t="shared" si="0"/>
        <v>0.2</v>
      </c>
      <c r="J18" s="14">
        <f t="shared" si="1"/>
        <v>-0.2</v>
      </c>
    </row>
    <row r="19" spans="2:10" x14ac:dyDescent="0.25">
      <c r="B19" s="1" t="s">
        <v>915</v>
      </c>
      <c r="C19" s="1" t="s">
        <v>916</v>
      </c>
      <c r="D19" s="1" t="s">
        <v>6</v>
      </c>
      <c r="E19" s="1" t="s">
        <v>5</v>
      </c>
      <c r="F19" s="26">
        <f>SUMIFS(Tbl_SchMls[Planned Efforts],Tbl_SchMls[Project Code],Table_owssvr__2[[#This Row],[Title]])</f>
        <v>263</v>
      </c>
      <c r="G19" s="15">
        <f>SUMIFS(TblTimeSheet[PersonHrs],TblTimeSheet[Project Code/Support Function],Table_owssvr__2[[#This Row],[Title]])</f>
        <v>232.41666666499805</v>
      </c>
      <c r="H19" s="27">
        <f>(Table_owssvr__2[[#This Row],[Total Actual Efforts]]-Table_owssvr__2[[#This Row],[Total Planned Efforts]])/Table_owssvr__2[[#This Row],[Total Planned Efforts]]</f>
        <v>-0.11628643853612911</v>
      </c>
      <c r="I19" s="14">
        <f t="shared" si="0"/>
        <v>0.2</v>
      </c>
      <c r="J19" s="14">
        <f t="shared" si="1"/>
        <v>-0.2</v>
      </c>
    </row>
    <row r="20" spans="2:10" x14ac:dyDescent="0.25">
      <c r="B20" s="1" t="s">
        <v>917</v>
      </c>
      <c r="C20" s="1" t="s">
        <v>918</v>
      </c>
      <c r="D20" s="1" t="s">
        <v>6</v>
      </c>
      <c r="E20" s="1" t="s">
        <v>5</v>
      </c>
      <c r="F20" s="26">
        <f>SUMIFS(Tbl_SchMls[Planned Efforts],Tbl_SchMls[Project Code],Table_owssvr__2[[#This Row],[Title]])</f>
        <v>171.10000000000002</v>
      </c>
      <c r="G20" s="15">
        <f>SUMIFS(TblTimeSheet[PersonHrs],TblTimeSheet[Project Code/Support Function],Table_owssvr__2[[#This Row],[Title]])</f>
        <v>168.66666666622041</v>
      </c>
      <c r="H20" s="27">
        <f>(Table_owssvr__2[[#This Row],[Total Actual Efforts]]-Table_owssvr__2[[#This Row],[Total Planned Efforts]])/Table_owssvr__2[[#This Row],[Total Planned Efforts]]</f>
        <v>-1.4221702710576356E-2</v>
      </c>
      <c r="I20" s="14">
        <f t="shared" si="0"/>
        <v>0.2</v>
      </c>
      <c r="J20" s="14">
        <f t="shared" si="1"/>
        <v>-0.2</v>
      </c>
    </row>
    <row r="21" spans="2:10" x14ac:dyDescent="0.25">
      <c r="B21" s="1" t="s">
        <v>2870</v>
      </c>
      <c r="C21" s="1" t="s">
        <v>2871</v>
      </c>
      <c r="D21" s="1" t="s">
        <v>6</v>
      </c>
      <c r="E21" s="1" t="s">
        <v>5</v>
      </c>
      <c r="F21" s="26">
        <f>SUMIFS(Tbl_SchMls[Planned Efforts],Tbl_SchMls[Project Code],Table_owssvr__2[[#This Row],[Title]])</f>
        <v>138.30000000000001</v>
      </c>
      <c r="G21" s="15">
        <f>SUMIFS(TblTimeSheet[PersonHrs],TblTimeSheet[Project Code/Support Function],Table_owssvr__2[[#This Row],[Title]])</f>
        <v>64.416666666744277</v>
      </c>
      <c r="H21" s="40">
        <f>(Table_owssvr__2[[#This Row],[Total Actual Efforts]]-Table_owssvr__2[[#This Row],[Total Planned Efforts]])/Table_owssvr__2[[#This Row],[Total Planned Efforts]]</f>
        <v>-0.53422511448485699</v>
      </c>
      <c r="I21" s="14">
        <f t="shared" si="0"/>
        <v>0.2</v>
      </c>
      <c r="J21" s="14">
        <f t="shared" si="1"/>
        <v>-0.2</v>
      </c>
    </row>
    <row r="22" spans="2:10" x14ac:dyDescent="0.25">
      <c r="B22" s="1" t="s">
        <v>2872</v>
      </c>
      <c r="C22" s="1" t="s">
        <v>2873</v>
      </c>
      <c r="D22" s="1" t="s">
        <v>6</v>
      </c>
      <c r="E22" s="1" t="s">
        <v>5</v>
      </c>
      <c r="F22" s="26">
        <f>SUMIFS(Tbl_SchMls[Planned Efforts],Tbl_SchMls[Project Code],Table_owssvr__2[[#This Row],[Title]])</f>
        <v>10</v>
      </c>
      <c r="G22" s="15">
        <f>SUMIFS(TblTimeSheet[PersonHrs],TblTimeSheet[Project Code/Support Function],Table_owssvr__2[[#This Row],[Title]])</f>
        <v>30.916666664590593</v>
      </c>
      <c r="H22" s="40">
        <f>(Table_owssvr__2[[#This Row],[Total Actual Efforts]]-Table_owssvr__2[[#This Row],[Total Planned Efforts]])/Table_owssvr__2[[#This Row],[Total Planned Efforts]]</f>
        <v>2.0916666664590595</v>
      </c>
      <c r="I22" s="14">
        <f t="shared" si="0"/>
        <v>0.2</v>
      </c>
      <c r="J22" s="14">
        <f t="shared" si="1"/>
        <v>-0.2</v>
      </c>
    </row>
    <row r="23" spans="2:10" x14ac:dyDescent="0.25">
      <c r="B23" s="1" t="s">
        <v>2874</v>
      </c>
      <c r="C23" s="1" t="s">
        <v>2875</v>
      </c>
      <c r="D23" s="1" t="s">
        <v>6</v>
      </c>
      <c r="E23" s="1" t="s">
        <v>5</v>
      </c>
      <c r="F23" s="26">
        <f>SUMIFS(Tbl_SchMls[Planned Efforts],Tbl_SchMls[Project Code],Table_owssvr__2[[#This Row],[Title]])</f>
        <v>12</v>
      </c>
      <c r="G23" s="15">
        <f>SUMIFS(TblTimeSheet[PersonHrs],TblTimeSheet[Project Code/Support Function],Table_owssvr__2[[#This Row],[Title]])</f>
        <v>11.583333332149778</v>
      </c>
      <c r="H23" s="40">
        <f>(Table_owssvr__2[[#This Row],[Total Actual Efforts]]-Table_owssvr__2[[#This Row],[Total Planned Efforts]])/Table_owssvr__2[[#This Row],[Total Planned Efforts]]</f>
        <v>-3.472222232085187E-2</v>
      </c>
      <c r="I23" s="14">
        <f t="shared" si="0"/>
        <v>0.2</v>
      </c>
      <c r="J23" s="14">
        <f t="shared" si="1"/>
        <v>-0.2</v>
      </c>
    </row>
    <row r="24" spans="2:10" x14ac:dyDescent="0.25">
      <c r="B24" s="1" t="s">
        <v>2876</v>
      </c>
      <c r="C24" s="1" t="s">
        <v>2877</v>
      </c>
      <c r="D24" s="1" t="s">
        <v>6</v>
      </c>
      <c r="E24" s="1" t="s">
        <v>5</v>
      </c>
      <c r="F24" s="26">
        <f>SUMIFS(Tbl_SchMls[Planned Efforts],Tbl_SchMls[Project Code],Table_owssvr__2[[#This Row],[Title]])</f>
        <v>0</v>
      </c>
      <c r="G24" s="15">
        <f>SUMIFS(TblTimeSheet[PersonHrs],TblTimeSheet[Project Code/Support Function],Table_owssvr__2[[#This Row],[Title]])</f>
        <v>21.500000000407454</v>
      </c>
      <c r="H24" s="40" t="e">
        <f>(Table_owssvr__2[[#This Row],[Total Actual Efforts]]-Table_owssvr__2[[#This Row],[Total Planned Efforts]])/Table_owssvr__2[[#This Row],[Total Planned Efforts]]</f>
        <v>#DIV/0!</v>
      </c>
      <c r="I24" s="14">
        <f t="shared" si="0"/>
        <v>0.2</v>
      </c>
      <c r="J24" s="14">
        <f t="shared" si="1"/>
        <v>-0.2</v>
      </c>
    </row>
    <row r="25" spans="2:10" x14ac:dyDescent="0.25">
      <c r="B25" s="1" t="s">
        <v>2878</v>
      </c>
      <c r="C25" s="1" t="s">
        <v>2879</v>
      </c>
      <c r="D25" s="1" t="s">
        <v>6</v>
      </c>
      <c r="E25" s="1" t="s">
        <v>5</v>
      </c>
      <c r="F25" s="26">
        <f>SUMIFS(Tbl_SchMls[Planned Efforts],Tbl_SchMls[Project Code],Table_owssvr__2[[#This Row],[Title]])</f>
        <v>0</v>
      </c>
      <c r="G25" s="15">
        <f>SUMIFS(TblTimeSheet[PersonHrs],TblTimeSheet[Project Code/Support Function],Table_owssvr__2[[#This Row],[Title]])</f>
        <v>1385.9166666581878</v>
      </c>
      <c r="H25" s="40" t="e">
        <f>(Table_owssvr__2[[#This Row],[Total Actual Efforts]]-Table_owssvr__2[[#This Row],[Total Planned Efforts]])/Table_owssvr__2[[#This Row],[Total Planned Efforts]]</f>
        <v>#DIV/0!</v>
      </c>
      <c r="I25" s="14">
        <f t="shared" si="0"/>
        <v>0.2</v>
      </c>
      <c r="J25" s="14">
        <f t="shared" si="1"/>
        <v>-0.2</v>
      </c>
    </row>
    <row r="26" spans="2:10" x14ac:dyDescent="0.25">
      <c r="B26" s="1" t="s">
        <v>2880</v>
      </c>
      <c r="C26" s="1" t="s">
        <v>2881</v>
      </c>
      <c r="D26" s="1" t="s">
        <v>6</v>
      </c>
      <c r="E26" s="1" t="s">
        <v>5</v>
      </c>
      <c r="F26" s="26">
        <f>SUMIFS(Tbl_SchMls[Planned Efforts],Tbl_SchMls[Project Code],Table_owssvr__2[[#This Row],[Title]])</f>
        <v>30</v>
      </c>
      <c r="G26" s="15">
        <f>SUMIFS(TblTimeSheet[PersonHrs],TblTimeSheet[Project Code/Support Function],Table_owssvr__2[[#This Row],[Title]])</f>
        <v>41.666666665405501</v>
      </c>
      <c r="H26" s="40">
        <f>(Table_owssvr__2[[#This Row],[Total Actual Efforts]]-Table_owssvr__2[[#This Row],[Total Planned Efforts]])/Table_owssvr__2[[#This Row],[Total Planned Efforts]]</f>
        <v>0.38888888884685002</v>
      </c>
      <c r="I26" s="14">
        <f t="shared" si="0"/>
        <v>0.2</v>
      </c>
      <c r="J26" s="14">
        <f t="shared" si="1"/>
        <v>-0.2</v>
      </c>
    </row>
    <row r="27" spans="2:10" x14ac:dyDescent="0.25">
      <c r="B27" s="1" t="s">
        <v>2882</v>
      </c>
      <c r="C27" s="1" t="s">
        <v>2883</v>
      </c>
      <c r="D27" s="1" t="s">
        <v>6</v>
      </c>
      <c r="E27" s="1" t="s">
        <v>5</v>
      </c>
      <c r="F27" s="26">
        <f>SUMIFS(Tbl_SchMls[Planned Efforts],Tbl_SchMls[Project Code],Table_owssvr__2[[#This Row],[Title]])</f>
        <v>1004.67</v>
      </c>
      <c r="G27" s="15">
        <f>SUMIFS(TblTimeSheet[PersonHrs],TblTimeSheet[Project Code/Support Function],Table_owssvr__2[[#This Row],[Title]])</f>
        <v>31.250000000232831</v>
      </c>
      <c r="H27" s="40">
        <f>(Table_owssvr__2[[#This Row],[Total Actual Efforts]]-Table_owssvr__2[[#This Row],[Total Planned Efforts]])/Table_owssvr__2[[#This Row],[Total Planned Efforts]]</f>
        <v>-0.9688952591395853</v>
      </c>
      <c r="I27" s="14">
        <f t="shared" si="0"/>
        <v>0.2</v>
      </c>
      <c r="J27" s="14">
        <f t="shared" si="1"/>
        <v>-0.2</v>
      </c>
    </row>
    <row r="28" spans="2:10" x14ac:dyDescent="0.25">
      <c r="B28" s="1" t="s">
        <v>2884</v>
      </c>
      <c r="C28" s="1" t="s">
        <v>2885</v>
      </c>
      <c r="D28" s="1" t="s">
        <v>6</v>
      </c>
      <c r="E28" s="1" t="s">
        <v>5</v>
      </c>
      <c r="F28" s="26">
        <f>SUMIFS(Tbl_SchMls[Planned Efforts],Tbl_SchMls[Project Code],Table_owssvr__2[[#This Row],[Title]])</f>
        <v>28</v>
      </c>
      <c r="G28" s="15">
        <f>SUMIFS(TblTimeSheet[PersonHrs],TblTimeSheet[Project Code/Support Function],Table_owssvr__2[[#This Row],[Title]])</f>
        <v>32.166666665871162</v>
      </c>
      <c r="H28" s="40">
        <f>(Table_owssvr__2[[#This Row],[Total Actual Efforts]]-Table_owssvr__2[[#This Row],[Total Planned Efforts]])/Table_owssvr__2[[#This Row],[Total Planned Efforts]]</f>
        <v>0.14880952378111292</v>
      </c>
      <c r="I28" s="14">
        <f t="shared" si="0"/>
        <v>0.2</v>
      </c>
      <c r="J28" s="14">
        <f t="shared" si="1"/>
        <v>-0.2</v>
      </c>
    </row>
  </sheetData>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M28"/>
  <sheetViews>
    <sheetView showGridLines="0" topLeftCell="F1" workbookViewId="0">
      <selection activeCell="M4" sqref="M4"/>
    </sheetView>
  </sheetViews>
  <sheetFormatPr defaultRowHeight="15" x14ac:dyDescent="0.25"/>
  <cols>
    <col min="2" max="2" width="16.28515625" bestFit="1" customWidth="1"/>
    <col min="3" max="3" width="81.140625" bestFit="1" customWidth="1"/>
    <col min="4" max="4" width="12.140625" bestFit="1" customWidth="1"/>
    <col min="5" max="5" width="22.42578125" bestFit="1" customWidth="1"/>
    <col min="6" max="6" width="18.85546875" bestFit="1" customWidth="1"/>
    <col min="7" max="7" width="19" bestFit="1" customWidth="1"/>
    <col min="8" max="8" width="17.28515625" bestFit="1" customWidth="1"/>
    <col min="9" max="9" width="18.85546875" bestFit="1" customWidth="1"/>
    <col min="10" max="10" width="17.140625" bestFit="1" customWidth="1"/>
    <col min="11" max="11" width="19.85546875" bestFit="1" customWidth="1"/>
    <col min="12" max="12" width="6.5703125" bestFit="1" customWidth="1"/>
    <col min="13" max="13" width="6" bestFit="1" customWidth="1"/>
  </cols>
  <sheetData>
    <row r="2" spans="2:13" x14ac:dyDescent="0.25">
      <c r="B2" t="s">
        <v>0</v>
      </c>
      <c r="C2" t="s">
        <v>1</v>
      </c>
      <c r="D2" t="s">
        <v>3</v>
      </c>
      <c r="E2" t="s">
        <v>2</v>
      </c>
      <c r="F2" t="s">
        <v>93</v>
      </c>
      <c r="G2" t="s">
        <v>94</v>
      </c>
      <c r="H2" t="s">
        <v>95</v>
      </c>
      <c r="I2" t="s">
        <v>96</v>
      </c>
      <c r="J2" t="s">
        <v>97</v>
      </c>
      <c r="K2" t="s">
        <v>98</v>
      </c>
      <c r="L2" t="s">
        <v>50</v>
      </c>
      <c r="M2" t="s">
        <v>51</v>
      </c>
    </row>
    <row r="3" spans="2:13" x14ac:dyDescent="0.25">
      <c r="B3" s="1" t="s">
        <v>4</v>
      </c>
      <c r="C3" s="1" t="s">
        <v>102</v>
      </c>
      <c r="D3" s="1" t="s">
        <v>6</v>
      </c>
      <c r="E3" s="1" t="s">
        <v>5</v>
      </c>
      <c r="F3" s="29">
        <f>INDEX(Tbl_SchMls[Planned Date of Completion],MATCH(Table_owssvr__210[[#This Row],[Title]]&amp;"Project Start",Tbl_SchMls[Concat],0))</f>
        <v>42186</v>
      </c>
      <c r="G3" s="29">
        <f>INDEX(Tbl_SchMls[Planned Date of Completion],MATCH(Table_owssvr__210[[#This Row],[Title]]&amp;"Closure and Release",Tbl_SchMls[Concat],0))</f>
        <v>42254</v>
      </c>
      <c r="H3" s="29">
        <f>INDEX(Tbl_SchMls[Actual Date of Completion],MATCH(Table_owssvr__210[[#This Row],[Title]]&amp;"Closure and Release",Tbl_SchMls[Concat],0))</f>
        <v>42263</v>
      </c>
      <c r="I3" s="24">
        <f>Table_owssvr__210[[#This Row],[Planned End Date]]-Table_owssvr__210[[#This Row],[Project Start Date]]</f>
        <v>68</v>
      </c>
      <c r="J3" s="24">
        <f>Table_owssvr__210[[#This Row],[Actual End Date]]-Table_owssvr__210[[#This Row],[Project Start Date]]</f>
        <v>77</v>
      </c>
      <c r="K3" s="28">
        <f>(Table_owssvr__210[[#This Row],[Actual Duration]]-Table_owssvr__210[[#This Row],[Planned Duration]])/Table_owssvr__210[[#This Row],[Planned Duration]]</f>
        <v>0.13235294117647059</v>
      </c>
      <c r="L3">
        <f t="shared" ref="L3:L28" si="0">0.2</f>
        <v>0.2</v>
      </c>
      <c r="M3">
        <f t="shared" ref="M3:M28" si="1">-0.2</f>
        <v>-0.2</v>
      </c>
    </row>
    <row r="4" spans="2:13" x14ac:dyDescent="0.25">
      <c r="B4" s="1" t="s">
        <v>7</v>
      </c>
      <c r="C4" s="1"/>
      <c r="D4" s="1" t="s">
        <v>6</v>
      </c>
      <c r="E4" s="1" t="s">
        <v>5</v>
      </c>
      <c r="F4" s="29">
        <f>INDEX(Tbl_SchMls[Planned Date of Completion],MATCH(Table_owssvr__210[[#This Row],[Title]]&amp;"Project Start",Tbl_SchMls[Concat],0))</f>
        <v>42197</v>
      </c>
      <c r="G4" s="29">
        <f>INDEX(Tbl_SchMls[Planned Date of Completion],MATCH(Table_owssvr__210[[#This Row],[Title]]&amp;"Closure and Release",Tbl_SchMls[Concat],0))</f>
        <v>42256</v>
      </c>
      <c r="H4" s="29">
        <f>INDEX(Tbl_SchMls[Actual Date of Completion],MATCH(Table_owssvr__210[[#This Row],[Title]]&amp;"Closure and Release",Tbl_SchMls[Concat],0))</f>
        <v>42265</v>
      </c>
      <c r="I4" s="24">
        <f>Table_owssvr__210[[#This Row],[Planned End Date]]-Table_owssvr__210[[#This Row],[Project Start Date]]</f>
        <v>59</v>
      </c>
      <c r="J4" s="24">
        <f>Table_owssvr__210[[#This Row],[Actual End Date]]-Table_owssvr__210[[#This Row],[Project Start Date]]</f>
        <v>68</v>
      </c>
      <c r="K4" s="28">
        <f>(Table_owssvr__210[[#This Row],[Actual Duration]]-Table_owssvr__210[[#This Row],[Planned Duration]])/Table_owssvr__210[[#This Row],[Planned Duration]]</f>
        <v>0.15254237288135594</v>
      </c>
      <c r="L4">
        <f t="shared" si="0"/>
        <v>0.2</v>
      </c>
      <c r="M4">
        <f t="shared" si="1"/>
        <v>-0.2</v>
      </c>
    </row>
    <row r="5" spans="2:13" x14ac:dyDescent="0.25">
      <c r="B5" s="1" t="s">
        <v>103</v>
      </c>
      <c r="C5" s="1" t="s">
        <v>104</v>
      </c>
      <c r="D5" s="1" t="s">
        <v>6</v>
      </c>
      <c r="E5" s="1" t="s">
        <v>5</v>
      </c>
      <c r="F5" s="29" t="e">
        <f>INDEX(Tbl_SchMls[Planned Date of Completion],MATCH(Table_owssvr__210[[#This Row],[Title]]&amp;"Project Start",Tbl_SchMls[Concat],0))</f>
        <v>#N/A</v>
      </c>
      <c r="G5" s="29" t="e">
        <f>INDEX(Tbl_SchMls[Planned Date of Completion],MATCH(Table_owssvr__210[[#This Row],[Title]]&amp;"Closure and Release",Tbl_SchMls[Concat],0))</f>
        <v>#N/A</v>
      </c>
      <c r="H5" s="29" t="e">
        <f>INDEX(Tbl_SchMls[Actual Date of Completion],MATCH(Table_owssvr__210[[#This Row],[Title]]&amp;"Closure and Release",Tbl_SchMls[Concat],0))</f>
        <v>#N/A</v>
      </c>
      <c r="I5" s="24" t="e">
        <f>Table_owssvr__210[[#This Row],[Planned End Date]]-Table_owssvr__210[[#This Row],[Project Start Date]]</f>
        <v>#N/A</v>
      </c>
      <c r="J5" s="24" t="e">
        <f>Table_owssvr__210[[#This Row],[Actual End Date]]-Table_owssvr__210[[#This Row],[Project Start Date]]</f>
        <v>#N/A</v>
      </c>
      <c r="K5" s="34" t="e">
        <f>(Table_owssvr__210[[#This Row],[Actual Duration]]-Table_owssvr__210[[#This Row],[Planned Duration]])/Table_owssvr__210[[#This Row],[Planned Duration]]</f>
        <v>#N/A</v>
      </c>
      <c r="L5" s="14">
        <f t="shared" si="0"/>
        <v>0.2</v>
      </c>
      <c r="M5" s="14">
        <f t="shared" si="1"/>
        <v>-0.2</v>
      </c>
    </row>
    <row r="6" spans="2:13" x14ac:dyDescent="0.25">
      <c r="B6" s="1" t="s">
        <v>105</v>
      </c>
      <c r="C6" s="1" t="s">
        <v>106</v>
      </c>
      <c r="D6" s="1" t="s">
        <v>6</v>
      </c>
      <c r="E6" s="1" t="s">
        <v>5</v>
      </c>
      <c r="F6" s="29" t="e">
        <f>INDEX(Tbl_SchMls[Planned Date of Completion],MATCH(Table_owssvr__210[[#This Row],[Title]]&amp;"Project Start",Tbl_SchMls[Concat],0))</f>
        <v>#N/A</v>
      </c>
      <c r="G6" s="29" t="e">
        <f>INDEX(Tbl_SchMls[Planned Date of Completion],MATCH(Table_owssvr__210[[#This Row],[Title]]&amp;"Closure and Release",Tbl_SchMls[Concat],0))</f>
        <v>#N/A</v>
      </c>
      <c r="H6" s="29" t="e">
        <f>INDEX(Tbl_SchMls[Actual Date of Completion],MATCH(Table_owssvr__210[[#This Row],[Title]]&amp;"Closure and Release",Tbl_SchMls[Concat],0))</f>
        <v>#N/A</v>
      </c>
      <c r="I6" s="24" t="e">
        <f>Table_owssvr__210[[#This Row],[Planned End Date]]-Table_owssvr__210[[#This Row],[Project Start Date]]</f>
        <v>#N/A</v>
      </c>
      <c r="J6" s="24" t="e">
        <f>Table_owssvr__210[[#This Row],[Actual End Date]]-Table_owssvr__210[[#This Row],[Project Start Date]]</f>
        <v>#N/A</v>
      </c>
      <c r="K6" s="34" t="e">
        <f>(Table_owssvr__210[[#This Row],[Actual Duration]]-Table_owssvr__210[[#This Row],[Planned Duration]])/Table_owssvr__210[[#This Row],[Planned Duration]]</f>
        <v>#N/A</v>
      </c>
      <c r="L6" s="14">
        <f t="shared" si="0"/>
        <v>0.2</v>
      </c>
      <c r="M6" s="14">
        <f t="shared" si="1"/>
        <v>-0.2</v>
      </c>
    </row>
    <row r="7" spans="2:13" x14ac:dyDescent="0.25">
      <c r="B7" s="1" t="s">
        <v>107</v>
      </c>
      <c r="C7" s="1" t="s">
        <v>107</v>
      </c>
      <c r="D7" s="1" t="s">
        <v>6</v>
      </c>
      <c r="E7" s="1" t="s">
        <v>5</v>
      </c>
      <c r="F7" s="29" t="e">
        <f>INDEX(Tbl_SchMls[Planned Date of Completion],MATCH(Table_owssvr__210[[#This Row],[Title]]&amp;"Project Start",Tbl_SchMls[Concat],0))</f>
        <v>#N/A</v>
      </c>
      <c r="G7" s="29" t="e">
        <f>INDEX(Tbl_SchMls[Planned Date of Completion],MATCH(Table_owssvr__210[[#This Row],[Title]]&amp;"Closure and Release",Tbl_SchMls[Concat],0))</f>
        <v>#N/A</v>
      </c>
      <c r="H7" s="29" t="e">
        <f>INDEX(Tbl_SchMls[Actual Date of Completion],MATCH(Table_owssvr__210[[#This Row],[Title]]&amp;"Closure and Release",Tbl_SchMls[Concat],0))</f>
        <v>#N/A</v>
      </c>
      <c r="I7" s="24" t="e">
        <f>Table_owssvr__210[[#This Row],[Planned End Date]]-Table_owssvr__210[[#This Row],[Project Start Date]]</f>
        <v>#N/A</v>
      </c>
      <c r="J7" s="24" t="e">
        <f>Table_owssvr__210[[#This Row],[Actual End Date]]-Table_owssvr__210[[#This Row],[Project Start Date]]</f>
        <v>#N/A</v>
      </c>
      <c r="K7" s="34" t="e">
        <f>(Table_owssvr__210[[#This Row],[Actual Duration]]-Table_owssvr__210[[#This Row],[Planned Duration]])/Table_owssvr__210[[#This Row],[Planned Duration]]</f>
        <v>#N/A</v>
      </c>
      <c r="L7" s="14">
        <f t="shared" si="0"/>
        <v>0.2</v>
      </c>
      <c r="M7" s="14">
        <f t="shared" si="1"/>
        <v>-0.2</v>
      </c>
    </row>
    <row r="8" spans="2:13" x14ac:dyDescent="0.25">
      <c r="B8" s="1" t="s">
        <v>108</v>
      </c>
      <c r="C8" s="1" t="s">
        <v>109</v>
      </c>
      <c r="D8" s="1" t="s">
        <v>6</v>
      </c>
      <c r="E8" s="1" t="s">
        <v>5</v>
      </c>
      <c r="F8" s="29">
        <f>INDEX(Tbl_SchMls[Planned Date of Completion],MATCH(Table_owssvr__210[[#This Row],[Title]]&amp;"Project Start",Tbl_SchMls[Concat],0))</f>
        <v>42228</v>
      </c>
      <c r="G8" s="29">
        <f>INDEX(Tbl_SchMls[Planned Date of Completion],MATCH(Table_owssvr__210[[#This Row],[Title]]&amp;"Closure and Release",Tbl_SchMls[Concat],0))</f>
        <v>42282</v>
      </c>
      <c r="H8" s="29">
        <f>INDEX(Tbl_SchMls[Actual Date of Completion],MATCH(Table_owssvr__210[[#This Row],[Title]]&amp;"Closure and Release",Tbl_SchMls[Concat],0))</f>
        <v>42378</v>
      </c>
      <c r="I8" s="24">
        <f>Table_owssvr__210[[#This Row],[Planned End Date]]-Table_owssvr__210[[#This Row],[Project Start Date]]</f>
        <v>54</v>
      </c>
      <c r="J8" s="24">
        <f>Table_owssvr__210[[#This Row],[Actual End Date]]-Table_owssvr__210[[#This Row],[Project Start Date]]</f>
        <v>150</v>
      </c>
      <c r="K8" s="34">
        <f>(Table_owssvr__210[[#This Row],[Actual Duration]]-Table_owssvr__210[[#This Row],[Planned Duration]])/Table_owssvr__210[[#This Row],[Planned Duration]]</f>
        <v>1.7777777777777777</v>
      </c>
      <c r="L8" s="14">
        <f t="shared" si="0"/>
        <v>0.2</v>
      </c>
      <c r="M8" s="14">
        <f t="shared" si="1"/>
        <v>-0.2</v>
      </c>
    </row>
    <row r="9" spans="2:13" x14ac:dyDescent="0.25">
      <c r="B9" s="1" t="s">
        <v>110</v>
      </c>
      <c r="C9" s="1" t="s">
        <v>111</v>
      </c>
      <c r="D9" s="1" t="s">
        <v>6</v>
      </c>
      <c r="E9" s="1" t="s">
        <v>5</v>
      </c>
      <c r="F9" s="29">
        <f>INDEX(Tbl_SchMls[Planned Date of Completion],MATCH(Table_owssvr__210[[#This Row],[Title]]&amp;"Project Start",Tbl_SchMls[Concat],0))</f>
        <v>42228</v>
      </c>
      <c r="G9" s="29">
        <f>INDEX(Tbl_SchMls[Planned Date of Completion],MATCH(Table_owssvr__210[[#This Row],[Title]]&amp;"Closure and Release",Tbl_SchMls[Concat],0))</f>
        <v>42291</v>
      </c>
      <c r="H9" s="29">
        <f>INDEX(Tbl_SchMls[Actual Date of Completion],MATCH(Table_owssvr__210[[#This Row],[Title]]&amp;"Closure and Release",Tbl_SchMls[Concat],0))</f>
        <v>42377</v>
      </c>
      <c r="I9" s="24">
        <f>Table_owssvr__210[[#This Row],[Planned End Date]]-Table_owssvr__210[[#This Row],[Project Start Date]]</f>
        <v>63</v>
      </c>
      <c r="J9" s="24">
        <f>Table_owssvr__210[[#This Row],[Actual End Date]]-Table_owssvr__210[[#This Row],[Project Start Date]]</f>
        <v>149</v>
      </c>
      <c r="K9" s="34">
        <f>(Table_owssvr__210[[#This Row],[Actual Duration]]-Table_owssvr__210[[#This Row],[Planned Duration]])/Table_owssvr__210[[#This Row],[Planned Duration]]</f>
        <v>1.3650793650793651</v>
      </c>
      <c r="L9" s="14">
        <f t="shared" si="0"/>
        <v>0.2</v>
      </c>
      <c r="M9" s="14">
        <f t="shared" si="1"/>
        <v>-0.2</v>
      </c>
    </row>
    <row r="10" spans="2:13" x14ac:dyDescent="0.25">
      <c r="B10" s="1" t="s">
        <v>112</v>
      </c>
      <c r="C10" s="1" t="s">
        <v>113</v>
      </c>
      <c r="D10" s="1" t="s">
        <v>6</v>
      </c>
      <c r="E10" s="1" t="s">
        <v>5</v>
      </c>
      <c r="F10" s="29" t="e">
        <f>INDEX(Tbl_SchMls[Planned Date of Completion],MATCH(Table_owssvr__210[[#This Row],[Title]]&amp;"Project Start",Tbl_SchMls[Concat],0))</f>
        <v>#N/A</v>
      </c>
      <c r="G10" s="29" t="e">
        <f>INDEX(Tbl_SchMls[Planned Date of Completion],MATCH(Table_owssvr__210[[#This Row],[Title]]&amp;"Closure and Release",Tbl_SchMls[Concat],0))</f>
        <v>#N/A</v>
      </c>
      <c r="H10" s="29" t="e">
        <f>INDEX(Tbl_SchMls[Actual Date of Completion],MATCH(Table_owssvr__210[[#This Row],[Title]]&amp;"Closure and Release",Tbl_SchMls[Concat],0))</f>
        <v>#N/A</v>
      </c>
      <c r="I10" s="24" t="e">
        <f>Table_owssvr__210[[#This Row],[Planned End Date]]-Table_owssvr__210[[#This Row],[Project Start Date]]</f>
        <v>#N/A</v>
      </c>
      <c r="J10" s="24" t="e">
        <f>Table_owssvr__210[[#This Row],[Actual End Date]]-Table_owssvr__210[[#This Row],[Project Start Date]]</f>
        <v>#N/A</v>
      </c>
      <c r="K10" s="34" t="e">
        <f>(Table_owssvr__210[[#This Row],[Actual Duration]]-Table_owssvr__210[[#This Row],[Planned Duration]])/Table_owssvr__210[[#This Row],[Planned Duration]]</f>
        <v>#N/A</v>
      </c>
      <c r="L10" s="14">
        <f t="shared" si="0"/>
        <v>0.2</v>
      </c>
      <c r="M10" s="14">
        <f t="shared" si="1"/>
        <v>-0.2</v>
      </c>
    </row>
    <row r="11" spans="2:13" x14ac:dyDescent="0.25">
      <c r="B11" s="1" t="s">
        <v>114</v>
      </c>
      <c r="C11" s="1" t="s">
        <v>115</v>
      </c>
      <c r="D11" s="1" t="s">
        <v>6</v>
      </c>
      <c r="E11" s="1" t="s">
        <v>5</v>
      </c>
      <c r="F11" s="29">
        <f>INDEX(Tbl_SchMls[Planned Date of Completion],MATCH(Table_owssvr__210[[#This Row],[Title]]&amp;"Project Start",Tbl_SchMls[Concat],0))</f>
        <v>42236</v>
      </c>
      <c r="G11" s="29">
        <f>INDEX(Tbl_SchMls[Planned Date of Completion],MATCH(Table_owssvr__210[[#This Row],[Title]]&amp;"Closure and Release",Tbl_SchMls[Concat],0))</f>
        <v>42340</v>
      </c>
      <c r="H11" s="29">
        <f>INDEX(Tbl_SchMls[Actual Date of Completion],MATCH(Table_owssvr__210[[#This Row],[Title]]&amp;"Closure and Release",Tbl_SchMls[Concat],0))</f>
        <v>42378</v>
      </c>
      <c r="I11" s="24">
        <f>Table_owssvr__210[[#This Row],[Planned End Date]]-Table_owssvr__210[[#This Row],[Project Start Date]]</f>
        <v>104</v>
      </c>
      <c r="J11" s="24">
        <f>Table_owssvr__210[[#This Row],[Actual End Date]]-Table_owssvr__210[[#This Row],[Project Start Date]]</f>
        <v>142</v>
      </c>
      <c r="K11" s="34">
        <f>(Table_owssvr__210[[#This Row],[Actual Duration]]-Table_owssvr__210[[#This Row],[Planned Duration]])/Table_owssvr__210[[#This Row],[Planned Duration]]</f>
        <v>0.36538461538461536</v>
      </c>
      <c r="L11" s="14">
        <f t="shared" si="0"/>
        <v>0.2</v>
      </c>
      <c r="M11" s="14">
        <f t="shared" si="1"/>
        <v>-0.2</v>
      </c>
    </row>
    <row r="12" spans="2:13" x14ac:dyDescent="0.25">
      <c r="B12" s="1" t="s">
        <v>581</v>
      </c>
      <c r="C12" s="1" t="s">
        <v>488</v>
      </c>
      <c r="D12" s="1" t="s">
        <v>6</v>
      </c>
      <c r="E12" s="1" t="s">
        <v>5</v>
      </c>
      <c r="F12" s="29" t="e">
        <f>INDEX(Tbl_SchMls[Planned Date of Completion],MATCH(Table_owssvr__210[[#This Row],[Title]]&amp;"Project Start",Tbl_SchMls[Concat],0))</f>
        <v>#N/A</v>
      </c>
      <c r="G12" s="29" t="e">
        <f>INDEX(Tbl_SchMls[Planned Date of Completion],MATCH(Table_owssvr__210[[#This Row],[Title]]&amp;"Closure and Release",Tbl_SchMls[Concat],0))</f>
        <v>#N/A</v>
      </c>
      <c r="H12" s="29" t="e">
        <f>INDEX(Tbl_SchMls[Actual Date of Completion],MATCH(Table_owssvr__210[[#This Row],[Title]]&amp;"Closure and Release",Tbl_SchMls[Concat],0))</f>
        <v>#N/A</v>
      </c>
      <c r="I12" s="24" t="e">
        <f>Table_owssvr__210[[#This Row],[Planned End Date]]-Table_owssvr__210[[#This Row],[Project Start Date]]</f>
        <v>#N/A</v>
      </c>
      <c r="J12" s="24" t="e">
        <f>Table_owssvr__210[[#This Row],[Actual End Date]]-Table_owssvr__210[[#This Row],[Project Start Date]]</f>
        <v>#N/A</v>
      </c>
      <c r="K12" s="34" t="e">
        <f>(Table_owssvr__210[[#This Row],[Actual Duration]]-Table_owssvr__210[[#This Row],[Planned Duration]])/Table_owssvr__210[[#This Row],[Planned Duration]]</f>
        <v>#N/A</v>
      </c>
      <c r="L12" s="14">
        <f t="shared" si="0"/>
        <v>0.2</v>
      </c>
      <c r="M12" s="14">
        <f t="shared" si="1"/>
        <v>-0.2</v>
      </c>
    </row>
    <row r="13" spans="2:13" x14ac:dyDescent="0.25">
      <c r="B13" s="1" t="s">
        <v>582</v>
      </c>
      <c r="C13" s="1" t="s">
        <v>583</v>
      </c>
      <c r="D13" s="1" t="s">
        <v>6</v>
      </c>
      <c r="E13" s="1" t="s">
        <v>5</v>
      </c>
      <c r="F13" s="29" t="e">
        <f>INDEX(Tbl_SchMls[Planned Date of Completion],MATCH(Table_owssvr__210[[#This Row],[Title]]&amp;"Project Start",Tbl_SchMls[Concat],0))</f>
        <v>#N/A</v>
      </c>
      <c r="G13" s="29" t="e">
        <f>INDEX(Tbl_SchMls[Planned Date of Completion],MATCH(Table_owssvr__210[[#This Row],[Title]]&amp;"Closure and Release",Tbl_SchMls[Concat],0))</f>
        <v>#N/A</v>
      </c>
      <c r="H13" s="29" t="e">
        <f>INDEX(Tbl_SchMls[Actual Date of Completion],MATCH(Table_owssvr__210[[#This Row],[Title]]&amp;"Closure and Release",Tbl_SchMls[Concat],0))</f>
        <v>#N/A</v>
      </c>
      <c r="I13" s="24" t="e">
        <f>Table_owssvr__210[[#This Row],[Planned End Date]]-Table_owssvr__210[[#This Row],[Project Start Date]]</f>
        <v>#N/A</v>
      </c>
      <c r="J13" s="24" t="e">
        <f>Table_owssvr__210[[#This Row],[Actual End Date]]-Table_owssvr__210[[#This Row],[Project Start Date]]</f>
        <v>#N/A</v>
      </c>
      <c r="K13" s="34" t="e">
        <f>(Table_owssvr__210[[#This Row],[Actual Duration]]-Table_owssvr__210[[#This Row],[Planned Duration]])/Table_owssvr__210[[#This Row],[Planned Duration]]</f>
        <v>#N/A</v>
      </c>
      <c r="L13" s="14">
        <f t="shared" si="0"/>
        <v>0.2</v>
      </c>
      <c r="M13" s="14">
        <f t="shared" si="1"/>
        <v>-0.2</v>
      </c>
    </row>
    <row r="14" spans="2:13" x14ac:dyDescent="0.25">
      <c r="B14" s="1" t="s">
        <v>697</v>
      </c>
      <c r="C14" s="1" t="s">
        <v>698</v>
      </c>
      <c r="D14" s="1" t="s">
        <v>6</v>
      </c>
      <c r="E14" s="1" t="s">
        <v>5</v>
      </c>
      <c r="F14" s="29">
        <f>INDEX(Tbl_SchMls[Planned Date of Completion],MATCH(Table_owssvr__210[[#This Row],[Title]]&amp;"Project Start",Tbl_SchMls[Concat],0))</f>
        <v>42304</v>
      </c>
      <c r="G14" s="29">
        <f>INDEX(Tbl_SchMls[Planned Date of Completion],MATCH(Table_owssvr__210[[#This Row],[Title]]&amp;"Closure and Release",Tbl_SchMls[Concat],0))</f>
        <v>42455</v>
      </c>
      <c r="H14" s="29">
        <f>INDEX(Tbl_SchMls[Actual Date of Completion],MATCH(Table_owssvr__210[[#This Row],[Title]]&amp;"Closure and Release",Tbl_SchMls[Concat],0))</f>
        <v>42459</v>
      </c>
      <c r="I14" s="24">
        <f>Table_owssvr__210[[#This Row],[Planned End Date]]-Table_owssvr__210[[#This Row],[Project Start Date]]</f>
        <v>151</v>
      </c>
      <c r="J14" s="24">
        <f>Table_owssvr__210[[#This Row],[Actual End Date]]-Table_owssvr__210[[#This Row],[Project Start Date]]</f>
        <v>155</v>
      </c>
      <c r="K14" s="34">
        <f>(Table_owssvr__210[[#This Row],[Actual Duration]]-Table_owssvr__210[[#This Row],[Planned Duration]])/Table_owssvr__210[[#This Row],[Planned Duration]]</f>
        <v>2.6490066225165563E-2</v>
      </c>
      <c r="L14" s="14">
        <f t="shared" si="0"/>
        <v>0.2</v>
      </c>
      <c r="M14" s="14">
        <f t="shared" si="1"/>
        <v>-0.2</v>
      </c>
    </row>
    <row r="15" spans="2:13" x14ac:dyDescent="0.25">
      <c r="B15" s="1" t="s">
        <v>699</v>
      </c>
      <c r="C15" s="1" t="s">
        <v>700</v>
      </c>
      <c r="D15" s="1" t="s">
        <v>6</v>
      </c>
      <c r="E15" s="1" t="s">
        <v>5</v>
      </c>
      <c r="F15" s="29">
        <f>INDEX(Tbl_SchMls[Planned Date of Completion],MATCH(Table_owssvr__210[[#This Row],[Title]]&amp;"Project Start",Tbl_SchMls[Concat],0))</f>
        <v>42304</v>
      </c>
      <c r="G15" s="29">
        <f>INDEX(Tbl_SchMls[Planned Date of Completion],MATCH(Table_owssvr__210[[#This Row],[Title]]&amp;"Closure and Release",Tbl_SchMls[Concat],0))</f>
        <v>42355</v>
      </c>
      <c r="H15" s="29">
        <f>INDEX(Tbl_SchMls[Actual Date of Completion],MATCH(Table_owssvr__210[[#This Row],[Title]]&amp;"Closure and Release",Tbl_SchMls[Concat],0))</f>
        <v>42359</v>
      </c>
      <c r="I15" s="24">
        <f>Table_owssvr__210[[#This Row],[Planned End Date]]-Table_owssvr__210[[#This Row],[Project Start Date]]</f>
        <v>51</v>
      </c>
      <c r="J15" s="24">
        <f>Table_owssvr__210[[#This Row],[Actual End Date]]-Table_owssvr__210[[#This Row],[Project Start Date]]</f>
        <v>55</v>
      </c>
      <c r="K15" s="28">
        <f>(Table_owssvr__210[[#This Row],[Actual Duration]]-Table_owssvr__210[[#This Row],[Planned Duration]])/Table_owssvr__210[[#This Row],[Planned Duration]]</f>
        <v>7.8431372549019607E-2</v>
      </c>
      <c r="L15" s="14">
        <f t="shared" si="0"/>
        <v>0.2</v>
      </c>
      <c r="M15" s="14">
        <f t="shared" si="1"/>
        <v>-0.2</v>
      </c>
    </row>
    <row r="16" spans="2:13" x14ac:dyDescent="0.25">
      <c r="B16" s="1" t="s">
        <v>909</v>
      </c>
      <c r="C16" s="1" t="s">
        <v>910</v>
      </c>
      <c r="D16" s="1" t="s">
        <v>6</v>
      </c>
      <c r="E16" s="1" t="s">
        <v>5</v>
      </c>
      <c r="F16" s="29">
        <f>INDEX(Tbl_SchMls[Planned Date of Completion],MATCH(Table_owssvr__210[[#This Row],[Title]]&amp;"Project Start",Tbl_SchMls[Concat],0))</f>
        <v>42369</v>
      </c>
      <c r="G16" s="29">
        <f>INDEX(Tbl_SchMls[Planned Date of Completion],MATCH(Table_owssvr__210[[#This Row],[Title]]&amp;"Closure and Release",Tbl_SchMls[Concat],0))</f>
        <v>42432</v>
      </c>
      <c r="H16" s="29">
        <f>INDEX(Tbl_SchMls[Actual Date of Completion],MATCH(Table_owssvr__210[[#This Row],[Title]]&amp;"Closure and Release",Tbl_SchMls[Concat],0))</f>
        <v>42444</v>
      </c>
      <c r="I16" s="24">
        <f>Table_owssvr__210[[#This Row],[Planned End Date]]-Table_owssvr__210[[#This Row],[Project Start Date]]</f>
        <v>63</v>
      </c>
      <c r="J16" s="24">
        <f>Table_owssvr__210[[#This Row],[Actual End Date]]-Table_owssvr__210[[#This Row],[Project Start Date]]</f>
        <v>75</v>
      </c>
      <c r="K16" s="36">
        <f>(Table_owssvr__210[[#This Row],[Actual Duration]]-Table_owssvr__210[[#This Row],[Planned Duration]])/Table_owssvr__210[[#This Row],[Planned Duration]]</f>
        <v>0.19047619047619047</v>
      </c>
      <c r="L16" s="14">
        <f t="shared" si="0"/>
        <v>0.2</v>
      </c>
      <c r="M16" s="14">
        <f t="shared" si="1"/>
        <v>-0.2</v>
      </c>
    </row>
    <row r="17" spans="2:13" x14ac:dyDescent="0.25">
      <c r="B17" s="1" t="s">
        <v>911</v>
      </c>
      <c r="C17" s="1" t="s">
        <v>912</v>
      </c>
      <c r="D17" s="1" t="s">
        <v>6</v>
      </c>
      <c r="E17" s="1" t="s">
        <v>5</v>
      </c>
      <c r="F17" s="29">
        <f>INDEX(Tbl_SchMls[Planned Date of Completion],MATCH(Table_owssvr__210[[#This Row],[Title]]&amp;"Project Start",Tbl_SchMls[Concat],0))</f>
        <v>42408</v>
      </c>
      <c r="G17" s="29">
        <f>INDEX(Tbl_SchMls[Planned Date of Completion],MATCH(Table_owssvr__210[[#This Row],[Title]]&amp;"Closure and Release",Tbl_SchMls[Concat],0))</f>
        <v>42453</v>
      </c>
      <c r="H17" s="29">
        <f>INDEX(Tbl_SchMls[Actual Date of Completion],MATCH(Table_owssvr__210[[#This Row],[Title]]&amp;"Closure and Release",Tbl_SchMls[Concat],0))</f>
        <v>42458</v>
      </c>
      <c r="I17" s="24">
        <f>Table_owssvr__210[[#This Row],[Planned End Date]]-Table_owssvr__210[[#This Row],[Project Start Date]]</f>
        <v>45</v>
      </c>
      <c r="J17" s="24">
        <f>Table_owssvr__210[[#This Row],[Actual End Date]]-Table_owssvr__210[[#This Row],[Project Start Date]]</f>
        <v>50</v>
      </c>
      <c r="K17" s="36">
        <f>(Table_owssvr__210[[#This Row],[Actual Duration]]-Table_owssvr__210[[#This Row],[Planned Duration]])/Table_owssvr__210[[#This Row],[Planned Duration]]</f>
        <v>0.1111111111111111</v>
      </c>
      <c r="L17" s="14">
        <f t="shared" si="0"/>
        <v>0.2</v>
      </c>
      <c r="M17" s="14">
        <f t="shared" si="1"/>
        <v>-0.2</v>
      </c>
    </row>
    <row r="18" spans="2:13" x14ac:dyDescent="0.25">
      <c r="B18" s="1" t="s">
        <v>913</v>
      </c>
      <c r="C18" s="1" t="s">
        <v>914</v>
      </c>
      <c r="D18" s="1" t="s">
        <v>6</v>
      </c>
      <c r="E18" s="1" t="s">
        <v>5</v>
      </c>
      <c r="F18" s="29">
        <f>INDEX(Tbl_SchMls[Planned Date of Completion],MATCH(Table_owssvr__210[[#This Row],[Title]]&amp;"Project Start",Tbl_SchMls[Concat],0))</f>
        <v>42425</v>
      </c>
      <c r="G18" s="29">
        <f>INDEX(Tbl_SchMls[Planned Date of Completion],MATCH(Table_owssvr__210[[#This Row],[Title]]&amp;"Closure and Release",Tbl_SchMls[Concat],0))</f>
        <v>42452</v>
      </c>
      <c r="H18" s="29">
        <f>INDEX(Tbl_SchMls[Actual Date of Completion],MATCH(Table_owssvr__210[[#This Row],[Title]]&amp;"Closure and Release",Tbl_SchMls[Concat],0))</f>
        <v>42451</v>
      </c>
      <c r="I18" s="24">
        <f>Table_owssvr__210[[#This Row],[Planned End Date]]-Table_owssvr__210[[#This Row],[Project Start Date]]</f>
        <v>27</v>
      </c>
      <c r="J18" s="24">
        <f>Table_owssvr__210[[#This Row],[Actual End Date]]-Table_owssvr__210[[#This Row],[Project Start Date]]</f>
        <v>26</v>
      </c>
      <c r="K18" s="28">
        <f>(Table_owssvr__210[[#This Row],[Actual Duration]]-Table_owssvr__210[[#This Row],[Planned Duration]])/Table_owssvr__210[[#This Row],[Planned Duration]]</f>
        <v>-3.7037037037037035E-2</v>
      </c>
      <c r="L18" s="14">
        <f t="shared" si="0"/>
        <v>0.2</v>
      </c>
      <c r="M18" s="14">
        <f t="shared" si="1"/>
        <v>-0.2</v>
      </c>
    </row>
    <row r="19" spans="2:13" x14ac:dyDescent="0.25">
      <c r="B19" s="1" t="s">
        <v>915</v>
      </c>
      <c r="C19" s="1" t="s">
        <v>916</v>
      </c>
      <c r="D19" s="1" t="s">
        <v>6</v>
      </c>
      <c r="E19" s="1" t="s">
        <v>5</v>
      </c>
      <c r="F19" s="29">
        <f>INDEX(Tbl_SchMls[Planned Date of Completion],MATCH(Table_owssvr__210[[#This Row],[Title]]&amp;"Project Start",Tbl_SchMls[Concat],0))</f>
        <v>42426</v>
      </c>
      <c r="G19" s="29">
        <f>INDEX(Tbl_SchMls[Planned Date of Completion],MATCH(Table_owssvr__210[[#This Row],[Title]]&amp;"Closure and Release",Tbl_SchMls[Concat],0))</f>
        <v>42473</v>
      </c>
      <c r="H19" s="29">
        <f>INDEX(Tbl_SchMls[Actual Date of Completion],MATCH(Table_owssvr__210[[#This Row],[Title]]&amp;"Closure and Release",Tbl_SchMls[Concat],0))</f>
        <v>42481</v>
      </c>
      <c r="I19" s="24">
        <f>Table_owssvr__210[[#This Row],[Planned End Date]]-Table_owssvr__210[[#This Row],[Project Start Date]]</f>
        <v>47</v>
      </c>
      <c r="J19" s="24">
        <f>Table_owssvr__210[[#This Row],[Actual End Date]]-Table_owssvr__210[[#This Row],[Project Start Date]]</f>
        <v>55</v>
      </c>
      <c r="K19" s="28">
        <f>(Table_owssvr__210[[#This Row],[Actual Duration]]-Table_owssvr__210[[#This Row],[Planned Duration]])/Table_owssvr__210[[#This Row],[Planned Duration]]</f>
        <v>0.1702127659574468</v>
      </c>
      <c r="L19" s="14">
        <f t="shared" si="0"/>
        <v>0.2</v>
      </c>
      <c r="M19" s="14">
        <f t="shared" si="1"/>
        <v>-0.2</v>
      </c>
    </row>
    <row r="20" spans="2:13" x14ac:dyDescent="0.25">
      <c r="B20" s="1" t="s">
        <v>917</v>
      </c>
      <c r="C20" s="1" t="s">
        <v>918</v>
      </c>
      <c r="D20" s="1" t="s">
        <v>6</v>
      </c>
      <c r="E20" s="1" t="s">
        <v>5</v>
      </c>
      <c r="F20" s="29">
        <f>INDEX(Tbl_SchMls[Planned Date of Completion],MATCH(Table_owssvr__210[[#This Row],[Title]]&amp;"Project Start",Tbl_SchMls[Concat],0))</f>
        <v>42444</v>
      </c>
      <c r="G20" s="29">
        <f>INDEX(Tbl_SchMls[Planned Date of Completion],MATCH(Table_owssvr__210[[#This Row],[Title]]&amp;"Closure and Release",Tbl_SchMls[Concat],0))</f>
        <v>42490</v>
      </c>
      <c r="H20" s="29">
        <f>INDEX(Tbl_SchMls[Actual Date of Completion],MATCH(Table_owssvr__210[[#This Row],[Title]]&amp;"Closure and Release",Tbl_SchMls[Concat],0))</f>
        <v>42489</v>
      </c>
      <c r="I20" s="24">
        <f>Table_owssvr__210[[#This Row],[Planned End Date]]-Table_owssvr__210[[#This Row],[Project Start Date]]</f>
        <v>46</v>
      </c>
      <c r="J20" s="24">
        <f>Table_owssvr__210[[#This Row],[Actual End Date]]-Table_owssvr__210[[#This Row],[Project Start Date]]</f>
        <v>45</v>
      </c>
      <c r="K20" s="28">
        <f>(Table_owssvr__210[[#This Row],[Actual Duration]]-Table_owssvr__210[[#This Row],[Planned Duration]])/Table_owssvr__210[[#This Row],[Planned Duration]]</f>
        <v>-2.1739130434782608E-2</v>
      </c>
      <c r="L20" s="14">
        <f t="shared" si="0"/>
        <v>0.2</v>
      </c>
      <c r="M20" s="14">
        <f t="shared" si="1"/>
        <v>-0.2</v>
      </c>
    </row>
    <row r="21" spans="2:13" x14ac:dyDescent="0.25">
      <c r="B21" s="1" t="s">
        <v>2870</v>
      </c>
      <c r="C21" s="1" t="s">
        <v>2871</v>
      </c>
      <c r="D21" s="1" t="s">
        <v>6</v>
      </c>
      <c r="E21" s="1" t="s">
        <v>5</v>
      </c>
      <c r="F21" s="29">
        <f>INDEX(Tbl_SchMls[Planned Date of Completion],MATCH(Table_owssvr__210[[#This Row],[Title]]&amp;"Project Start",Tbl_SchMls[Concat],0))</f>
        <v>42451</v>
      </c>
      <c r="G21" s="29">
        <f>INDEX(Tbl_SchMls[Planned Date of Completion],MATCH(Table_owssvr__210[[#This Row],[Title]]&amp;"Closure and Release",Tbl_SchMls[Concat],0))</f>
        <v>42486</v>
      </c>
      <c r="H21" s="29">
        <f>INDEX(Tbl_SchMls[Actual Date of Completion],MATCH(Table_owssvr__210[[#This Row],[Title]]&amp;"Closure and Release",Tbl_SchMls[Concat],0))</f>
        <v>42514</v>
      </c>
      <c r="I21" s="24">
        <f>Table_owssvr__210[[#This Row],[Planned End Date]]-Table_owssvr__210[[#This Row],[Project Start Date]]</f>
        <v>35</v>
      </c>
      <c r="J21" s="24">
        <f>Table_owssvr__210[[#This Row],[Actual End Date]]-Table_owssvr__210[[#This Row],[Project Start Date]]</f>
        <v>63</v>
      </c>
      <c r="K21" s="41">
        <f>(Table_owssvr__210[[#This Row],[Actual Duration]]-Table_owssvr__210[[#This Row],[Planned Duration]])/Table_owssvr__210[[#This Row],[Planned Duration]]</f>
        <v>0.8</v>
      </c>
      <c r="L21" s="14">
        <f t="shared" si="0"/>
        <v>0.2</v>
      </c>
      <c r="M21" s="14">
        <f t="shared" si="1"/>
        <v>-0.2</v>
      </c>
    </row>
    <row r="22" spans="2:13" x14ac:dyDescent="0.25">
      <c r="B22" s="1" t="s">
        <v>2872</v>
      </c>
      <c r="C22" s="1" t="s">
        <v>2873</v>
      </c>
      <c r="D22" s="1" t="s">
        <v>6</v>
      </c>
      <c r="E22" s="1" t="s">
        <v>5</v>
      </c>
      <c r="F22" s="29">
        <f>INDEX(Tbl_SchMls[Planned Date of Completion],MATCH(Table_owssvr__210[[#This Row],[Title]]&amp;"Project Start",Tbl_SchMls[Concat],0))</f>
        <v>42465</v>
      </c>
      <c r="G22" s="29" t="e">
        <f>INDEX(Tbl_SchMls[Planned Date of Completion],MATCH(Table_owssvr__210[[#This Row],[Title]]&amp;"Closure and Release",Tbl_SchMls[Concat],0))</f>
        <v>#N/A</v>
      </c>
      <c r="H22" s="29" t="e">
        <f>INDEX(Tbl_SchMls[Actual Date of Completion],MATCH(Table_owssvr__210[[#This Row],[Title]]&amp;"Closure and Release",Tbl_SchMls[Concat],0))</f>
        <v>#N/A</v>
      </c>
      <c r="I22" s="24" t="e">
        <f>Table_owssvr__210[[#This Row],[Planned End Date]]-Table_owssvr__210[[#This Row],[Project Start Date]]</f>
        <v>#N/A</v>
      </c>
      <c r="J22" s="24" t="e">
        <f>Table_owssvr__210[[#This Row],[Actual End Date]]-Table_owssvr__210[[#This Row],[Project Start Date]]</f>
        <v>#N/A</v>
      </c>
      <c r="K22" s="41" t="e">
        <f>(Table_owssvr__210[[#This Row],[Actual Duration]]-Table_owssvr__210[[#This Row],[Planned Duration]])/Table_owssvr__210[[#This Row],[Planned Duration]]</f>
        <v>#N/A</v>
      </c>
      <c r="L22" s="14">
        <f t="shared" si="0"/>
        <v>0.2</v>
      </c>
      <c r="M22" s="14">
        <f t="shared" si="1"/>
        <v>-0.2</v>
      </c>
    </row>
    <row r="23" spans="2:13" x14ac:dyDescent="0.25">
      <c r="B23" s="1" t="s">
        <v>2874</v>
      </c>
      <c r="C23" s="1" t="s">
        <v>2875</v>
      </c>
      <c r="D23" s="1" t="s">
        <v>6</v>
      </c>
      <c r="E23" s="1" t="s">
        <v>5</v>
      </c>
      <c r="F23" s="29">
        <f>INDEX(Tbl_SchMls[Planned Date of Completion],MATCH(Table_owssvr__210[[#This Row],[Title]]&amp;"Project Start",Tbl_SchMls[Concat],0))</f>
        <v>42469</v>
      </c>
      <c r="G23" s="29" t="e">
        <f>INDEX(Tbl_SchMls[Planned Date of Completion],MATCH(Table_owssvr__210[[#This Row],[Title]]&amp;"Closure and Release",Tbl_SchMls[Concat],0))</f>
        <v>#N/A</v>
      </c>
      <c r="H23" s="29" t="e">
        <f>INDEX(Tbl_SchMls[Actual Date of Completion],MATCH(Table_owssvr__210[[#This Row],[Title]]&amp;"Closure and Release",Tbl_SchMls[Concat],0))</f>
        <v>#N/A</v>
      </c>
      <c r="I23" s="24" t="e">
        <f>Table_owssvr__210[[#This Row],[Planned End Date]]-Table_owssvr__210[[#This Row],[Project Start Date]]</f>
        <v>#N/A</v>
      </c>
      <c r="J23" s="24" t="e">
        <f>Table_owssvr__210[[#This Row],[Actual End Date]]-Table_owssvr__210[[#This Row],[Project Start Date]]</f>
        <v>#N/A</v>
      </c>
      <c r="K23" s="41" t="e">
        <f>(Table_owssvr__210[[#This Row],[Actual Duration]]-Table_owssvr__210[[#This Row],[Planned Duration]])/Table_owssvr__210[[#This Row],[Planned Duration]]</f>
        <v>#N/A</v>
      </c>
      <c r="L23" s="14">
        <f t="shared" si="0"/>
        <v>0.2</v>
      </c>
      <c r="M23" s="14">
        <f t="shared" si="1"/>
        <v>-0.2</v>
      </c>
    </row>
    <row r="24" spans="2:13" x14ac:dyDescent="0.25">
      <c r="B24" s="1" t="s">
        <v>2876</v>
      </c>
      <c r="C24" s="1" t="s">
        <v>2877</v>
      </c>
      <c r="D24" s="1" t="s">
        <v>6</v>
      </c>
      <c r="E24" s="1" t="s">
        <v>5</v>
      </c>
      <c r="F24" s="29" t="e">
        <f>INDEX(Tbl_SchMls[Planned Date of Completion],MATCH(Table_owssvr__210[[#This Row],[Title]]&amp;"Project Start",Tbl_SchMls[Concat],0))</f>
        <v>#N/A</v>
      </c>
      <c r="G24" s="29" t="e">
        <f>INDEX(Tbl_SchMls[Planned Date of Completion],MATCH(Table_owssvr__210[[#This Row],[Title]]&amp;"Closure and Release",Tbl_SchMls[Concat],0))</f>
        <v>#N/A</v>
      </c>
      <c r="H24" s="29" t="e">
        <f>INDEX(Tbl_SchMls[Actual Date of Completion],MATCH(Table_owssvr__210[[#This Row],[Title]]&amp;"Closure and Release",Tbl_SchMls[Concat],0))</f>
        <v>#N/A</v>
      </c>
      <c r="I24" s="24" t="e">
        <f>Table_owssvr__210[[#This Row],[Planned End Date]]-Table_owssvr__210[[#This Row],[Project Start Date]]</f>
        <v>#N/A</v>
      </c>
      <c r="J24" s="24" t="e">
        <f>Table_owssvr__210[[#This Row],[Actual End Date]]-Table_owssvr__210[[#This Row],[Project Start Date]]</f>
        <v>#N/A</v>
      </c>
      <c r="K24" s="41" t="e">
        <f>(Table_owssvr__210[[#This Row],[Actual Duration]]-Table_owssvr__210[[#This Row],[Planned Duration]])/Table_owssvr__210[[#This Row],[Planned Duration]]</f>
        <v>#N/A</v>
      </c>
      <c r="L24" s="14">
        <f t="shared" si="0"/>
        <v>0.2</v>
      </c>
      <c r="M24" s="14">
        <f t="shared" si="1"/>
        <v>-0.2</v>
      </c>
    </row>
    <row r="25" spans="2:13" x14ac:dyDescent="0.25">
      <c r="B25" s="1" t="s">
        <v>2878</v>
      </c>
      <c r="C25" s="1" t="s">
        <v>2879</v>
      </c>
      <c r="D25" s="1" t="s">
        <v>6</v>
      </c>
      <c r="E25" s="1" t="s">
        <v>5</v>
      </c>
      <c r="F25" s="29" t="e">
        <f>INDEX(Tbl_SchMls[Planned Date of Completion],MATCH(Table_owssvr__210[[#This Row],[Title]]&amp;"Project Start",Tbl_SchMls[Concat],0))</f>
        <v>#N/A</v>
      </c>
      <c r="G25" s="29" t="e">
        <f>INDEX(Tbl_SchMls[Planned Date of Completion],MATCH(Table_owssvr__210[[#This Row],[Title]]&amp;"Closure and Release",Tbl_SchMls[Concat],0))</f>
        <v>#N/A</v>
      </c>
      <c r="H25" s="29" t="e">
        <f>INDEX(Tbl_SchMls[Actual Date of Completion],MATCH(Table_owssvr__210[[#This Row],[Title]]&amp;"Closure and Release",Tbl_SchMls[Concat],0))</f>
        <v>#N/A</v>
      </c>
      <c r="I25" s="24" t="e">
        <f>Table_owssvr__210[[#This Row],[Planned End Date]]-Table_owssvr__210[[#This Row],[Project Start Date]]</f>
        <v>#N/A</v>
      </c>
      <c r="J25" s="24" t="e">
        <f>Table_owssvr__210[[#This Row],[Actual End Date]]-Table_owssvr__210[[#This Row],[Project Start Date]]</f>
        <v>#N/A</v>
      </c>
      <c r="K25" s="41" t="e">
        <f>(Table_owssvr__210[[#This Row],[Actual Duration]]-Table_owssvr__210[[#This Row],[Planned Duration]])/Table_owssvr__210[[#This Row],[Planned Duration]]</f>
        <v>#N/A</v>
      </c>
      <c r="L25" s="14">
        <f t="shared" si="0"/>
        <v>0.2</v>
      </c>
      <c r="M25" s="14">
        <f t="shared" si="1"/>
        <v>-0.2</v>
      </c>
    </row>
    <row r="26" spans="2:13" x14ac:dyDescent="0.25">
      <c r="B26" s="1" t="s">
        <v>2880</v>
      </c>
      <c r="C26" s="1" t="s">
        <v>2881</v>
      </c>
      <c r="D26" s="1" t="s">
        <v>6</v>
      </c>
      <c r="E26" s="1" t="s">
        <v>5</v>
      </c>
      <c r="F26" s="29">
        <f>INDEX(Tbl_SchMls[Planned Date of Completion],MATCH(Table_owssvr__210[[#This Row],[Title]]&amp;"Project Start",Tbl_SchMls[Concat],0))</f>
        <v>42587</v>
      </c>
      <c r="G26" s="29" t="e">
        <f>INDEX(Tbl_SchMls[Planned Date of Completion],MATCH(Table_owssvr__210[[#This Row],[Title]]&amp;"Closure and Release",Tbl_SchMls[Concat],0))</f>
        <v>#N/A</v>
      </c>
      <c r="H26" s="29" t="e">
        <f>INDEX(Tbl_SchMls[Actual Date of Completion],MATCH(Table_owssvr__210[[#This Row],[Title]]&amp;"Closure and Release",Tbl_SchMls[Concat],0))</f>
        <v>#N/A</v>
      </c>
      <c r="I26" s="24" t="e">
        <f>Table_owssvr__210[[#This Row],[Planned End Date]]-Table_owssvr__210[[#This Row],[Project Start Date]]</f>
        <v>#N/A</v>
      </c>
      <c r="J26" s="24" t="e">
        <f>Table_owssvr__210[[#This Row],[Actual End Date]]-Table_owssvr__210[[#This Row],[Project Start Date]]</f>
        <v>#N/A</v>
      </c>
      <c r="K26" s="41" t="e">
        <f>(Table_owssvr__210[[#This Row],[Actual Duration]]-Table_owssvr__210[[#This Row],[Planned Duration]])/Table_owssvr__210[[#This Row],[Planned Duration]]</f>
        <v>#N/A</v>
      </c>
      <c r="L26" s="14">
        <f t="shared" si="0"/>
        <v>0.2</v>
      </c>
      <c r="M26" s="14">
        <f t="shared" si="1"/>
        <v>-0.2</v>
      </c>
    </row>
    <row r="27" spans="2:13" x14ac:dyDescent="0.25">
      <c r="B27" s="1" t="s">
        <v>2882</v>
      </c>
      <c r="C27" s="1" t="s">
        <v>2883</v>
      </c>
      <c r="D27" s="1" t="s">
        <v>6</v>
      </c>
      <c r="E27" s="1" t="s">
        <v>5</v>
      </c>
      <c r="F27" s="29">
        <f>INDEX(Tbl_SchMls[Planned Date of Completion],MATCH(Table_owssvr__210[[#This Row],[Title]]&amp;"Project Start",Tbl_SchMls[Concat],0))</f>
        <v>42606</v>
      </c>
      <c r="G27" s="29">
        <f>INDEX(Tbl_SchMls[Planned Date of Completion],MATCH(Table_owssvr__210[[#This Row],[Title]]&amp;"Closure and Release",Tbl_SchMls[Concat],0))</f>
        <v>42658</v>
      </c>
      <c r="H27" s="29">
        <f>INDEX(Tbl_SchMls[Actual Date of Completion],MATCH(Table_owssvr__210[[#This Row],[Title]]&amp;"Closure and Release",Tbl_SchMls[Concat],0))</f>
        <v>0</v>
      </c>
      <c r="I27" s="24">
        <f>Table_owssvr__210[[#This Row],[Planned End Date]]-Table_owssvr__210[[#This Row],[Project Start Date]]</f>
        <v>52</v>
      </c>
      <c r="J27" s="24">
        <f>Table_owssvr__210[[#This Row],[Actual End Date]]-Table_owssvr__210[[#This Row],[Project Start Date]]</f>
        <v>-42606</v>
      </c>
      <c r="K27" s="41">
        <f>(Table_owssvr__210[[#This Row],[Actual Duration]]-Table_owssvr__210[[#This Row],[Planned Duration]])/Table_owssvr__210[[#This Row],[Planned Duration]]</f>
        <v>-820.34615384615381</v>
      </c>
      <c r="L27" s="14">
        <f t="shared" si="0"/>
        <v>0.2</v>
      </c>
      <c r="M27" s="14">
        <f t="shared" si="1"/>
        <v>-0.2</v>
      </c>
    </row>
    <row r="28" spans="2:13" x14ac:dyDescent="0.25">
      <c r="B28" s="1" t="s">
        <v>2884</v>
      </c>
      <c r="C28" s="1" t="s">
        <v>2885</v>
      </c>
      <c r="D28" s="1" t="s">
        <v>6</v>
      </c>
      <c r="E28" s="1" t="s">
        <v>5</v>
      </c>
      <c r="F28" s="29">
        <f>INDEX(Tbl_SchMls[Planned Date of Completion],MATCH(Table_owssvr__210[[#This Row],[Title]]&amp;"Project Start",Tbl_SchMls[Concat],0))</f>
        <v>42874</v>
      </c>
      <c r="G28" s="29" t="e">
        <f>INDEX(Tbl_SchMls[Planned Date of Completion],MATCH(Table_owssvr__210[[#This Row],[Title]]&amp;"Closure and Release",Tbl_SchMls[Concat],0))</f>
        <v>#N/A</v>
      </c>
      <c r="H28" s="29" t="e">
        <f>INDEX(Tbl_SchMls[Actual Date of Completion],MATCH(Table_owssvr__210[[#This Row],[Title]]&amp;"Closure and Release",Tbl_SchMls[Concat],0))</f>
        <v>#N/A</v>
      </c>
      <c r="I28" s="24" t="e">
        <f>Table_owssvr__210[[#This Row],[Planned End Date]]-Table_owssvr__210[[#This Row],[Project Start Date]]</f>
        <v>#N/A</v>
      </c>
      <c r="J28" s="24" t="e">
        <f>Table_owssvr__210[[#This Row],[Actual End Date]]-Table_owssvr__210[[#This Row],[Project Start Date]]</f>
        <v>#N/A</v>
      </c>
      <c r="K28" s="41" t="e">
        <f>(Table_owssvr__210[[#This Row],[Actual Duration]]-Table_owssvr__210[[#This Row],[Planned Duration]])/Table_owssvr__210[[#This Row],[Planned Duration]]</f>
        <v>#N/A</v>
      </c>
      <c r="L28" s="14">
        <f t="shared" si="0"/>
        <v>0.2</v>
      </c>
      <c r="M28" s="14">
        <f t="shared" si="1"/>
        <v>-0.2</v>
      </c>
    </row>
  </sheetData>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B2:J28"/>
  <sheetViews>
    <sheetView showGridLines="0" topLeftCell="D1" workbookViewId="0">
      <selection activeCell="K4" sqref="K4"/>
    </sheetView>
  </sheetViews>
  <sheetFormatPr defaultRowHeight="15" x14ac:dyDescent="0.25"/>
  <cols>
    <col min="2" max="2" width="16.28515625" bestFit="1" customWidth="1"/>
    <col min="3" max="3" width="81.140625" bestFit="1" customWidth="1"/>
    <col min="4" max="4" width="12.140625" bestFit="1" customWidth="1"/>
    <col min="5" max="5" width="22.42578125" bestFit="1" customWidth="1"/>
    <col min="6" max="6" width="19.85546875" bestFit="1" customWidth="1"/>
    <col min="7" max="7" width="17.85546875" bestFit="1" customWidth="1"/>
    <col min="8" max="8" width="24" bestFit="1" customWidth="1"/>
    <col min="9" max="9" width="6.5703125" bestFit="1" customWidth="1"/>
    <col min="10" max="10" width="6" bestFit="1" customWidth="1"/>
  </cols>
  <sheetData>
    <row r="2" spans="2:10" ht="60" x14ac:dyDescent="0.25">
      <c r="B2" t="s">
        <v>0</v>
      </c>
      <c r="C2" t="s">
        <v>1</v>
      </c>
      <c r="D2" t="s">
        <v>3</v>
      </c>
      <c r="E2" t="s">
        <v>2</v>
      </c>
      <c r="F2" s="7" t="s">
        <v>63</v>
      </c>
      <c r="G2" s="7" t="s">
        <v>100</v>
      </c>
      <c r="H2" t="s">
        <v>74</v>
      </c>
      <c r="I2" t="s">
        <v>50</v>
      </c>
      <c r="J2" t="s">
        <v>51</v>
      </c>
    </row>
    <row r="3" spans="2:10" x14ac:dyDescent="0.25">
      <c r="B3" s="1" t="s">
        <v>4</v>
      </c>
      <c r="C3" s="1" t="s">
        <v>102</v>
      </c>
      <c r="D3" s="1" t="s">
        <v>6</v>
      </c>
      <c r="E3" s="1" t="s">
        <v>5</v>
      </c>
      <c r="F3" s="24">
        <f>COUNTIFS(TblDefects[Project Code],Table_owssvr__211[[#This Row],[Title]],TblDefects[Defect Classification],"Functional")</f>
        <v>1</v>
      </c>
      <c r="G3" s="24">
        <f>SUMIFS(TblTimeSheet[PersonHrs],TblTimeSheet[Project Code/Support Function],Table_owssvr__211[[#This Row],[Title]])</f>
        <v>55.749999999941792</v>
      </c>
      <c r="H3" s="23">
        <f>Table_owssvr__211[[#This Row],[Total Number of Functional defects detected in the product]]/Table_owssvr__211[[#This Row],[Total Effort Expended in the project]]</f>
        <v>1.7937219730960432E-2</v>
      </c>
    </row>
    <row r="4" spans="2:10" x14ac:dyDescent="0.25">
      <c r="B4" s="1" t="s">
        <v>7</v>
      </c>
      <c r="C4" s="1"/>
      <c r="D4" s="1" t="s">
        <v>6</v>
      </c>
      <c r="E4" s="1" t="s">
        <v>5</v>
      </c>
      <c r="F4" s="24">
        <f>COUNTIFS(TblDefects[Project Code],Table_owssvr__211[[#This Row],[Title]],TblDefects[Defect Classification],"Functional")</f>
        <v>2</v>
      </c>
      <c r="G4" s="24">
        <f>SUMIFS(TblTimeSheet[PersonHrs],TblTimeSheet[Project Code/Support Function],Table_owssvr__211[[#This Row],[Title]])</f>
        <v>14.750000000058208</v>
      </c>
      <c r="H4" s="23">
        <f>Table_owssvr__211[[#This Row],[Total Number of Functional defects detected in the product]]/Table_owssvr__211[[#This Row],[Total Effort Expended in the project]]</f>
        <v>0.13559322033844795</v>
      </c>
    </row>
    <row r="5" spans="2:10" x14ac:dyDescent="0.25">
      <c r="B5" s="1" t="s">
        <v>103</v>
      </c>
      <c r="C5" s="1" t="s">
        <v>104</v>
      </c>
      <c r="D5" s="1" t="s">
        <v>6</v>
      </c>
      <c r="E5" s="1" t="s">
        <v>5</v>
      </c>
      <c r="F5" s="24">
        <f>COUNTIFS(TblDefects[Project Code],Table_owssvr__211[[#This Row],[Title]],TblDefects[Defect Classification],"Functional")</f>
        <v>0</v>
      </c>
      <c r="G5" s="24">
        <f>SUMIFS(TblTimeSheet[PersonHrs],TblTimeSheet[Project Code/Support Function],Table_owssvr__211[[#This Row],[Title]])</f>
        <v>3.9999999999417923</v>
      </c>
      <c r="H5" s="23">
        <f>Table_owssvr__211[[#This Row],[Total Number of Functional defects detected in the product]]/Table_owssvr__211[[#This Row],[Total Effort Expended in the project]]</f>
        <v>0</v>
      </c>
    </row>
    <row r="6" spans="2:10" x14ac:dyDescent="0.25">
      <c r="B6" s="1" t="s">
        <v>105</v>
      </c>
      <c r="C6" s="1" t="s">
        <v>106</v>
      </c>
      <c r="D6" s="1" t="s">
        <v>6</v>
      </c>
      <c r="E6" s="1" t="s">
        <v>5</v>
      </c>
      <c r="F6" s="24">
        <f>COUNTIFS(TblDefects[Project Code],Table_owssvr__211[[#This Row],[Title]],TblDefects[Defect Classification],"Functional")</f>
        <v>0</v>
      </c>
      <c r="G6" s="24">
        <f>SUMIFS(TblTimeSheet[PersonHrs],TblTimeSheet[Project Code/Support Function],Table_owssvr__211[[#This Row],[Title]])</f>
        <v>6.4999999993597157</v>
      </c>
      <c r="H6" s="23">
        <f>Table_owssvr__211[[#This Row],[Total Number of Functional defects detected in the product]]/Table_owssvr__211[[#This Row],[Total Effort Expended in the project]]</f>
        <v>0</v>
      </c>
    </row>
    <row r="7" spans="2:10" x14ac:dyDescent="0.25">
      <c r="B7" s="1" t="s">
        <v>107</v>
      </c>
      <c r="C7" s="1" t="s">
        <v>107</v>
      </c>
      <c r="D7" s="1" t="s">
        <v>6</v>
      </c>
      <c r="E7" s="1" t="s">
        <v>5</v>
      </c>
      <c r="F7" s="24">
        <f>COUNTIFS(TblDefects[Project Code],Table_owssvr__211[[#This Row],[Title]],TblDefects[Defect Classification],"Functional")</f>
        <v>0</v>
      </c>
      <c r="G7" s="24">
        <f>SUMIFS(TblTimeSheet[PersonHrs],TblTimeSheet[Project Code/Support Function],Table_owssvr__211[[#This Row],[Title]])</f>
        <v>8.4166666666860692</v>
      </c>
      <c r="H7" s="23">
        <f>Table_owssvr__211[[#This Row],[Total Number of Functional defects detected in the product]]/Table_owssvr__211[[#This Row],[Total Effort Expended in the project]]</f>
        <v>0</v>
      </c>
    </row>
    <row r="8" spans="2:10" x14ac:dyDescent="0.25">
      <c r="B8" s="1" t="s">
        <v>108</v>
      </c>
      <c r="C8" s="1" t="s">
        <v>109</v>
      </c>
      <c r="D8" s="1" t="s">
        <v>6</v>
      </c>
      <c r="E8" s="1" t="s">
        <v>5</v>
      </c>
      <c r="F8" s="24">
        <f>COUNTIFS(TblDefects[Project Code],Table_owssvr__211[[#This Row],[Title]],TblDefects[Defect Classification],"Functional")</f>
        <v>14</v>
      </c>
      <c r="G8" s="24">
        <f>SUMIFS(TblTimeSheet[PersonHrs],TblTimeSheet[Project Code/Support Function],Table_owssvr__211[[#This Row],[Title]])</f>
        <v>259.91666666226229</v>
      </c>
      <c r="H8" s="23">
        <f>Table_owssvr__211[[#This Row],[Total Number of Functional defects detected in the product]]/Table_owssvr__211[[#This Row],[Total Effort Expended in the project]]</f>
        <v>5.3863417763015974E-2</v>
      </c>
    </row>
    <row r="9" spans="2:10" x14ac:dyDescent="0.25">
      <c r="B9" s="1" t="s">
        <v>110</v>
      </c>
      <c r="C9" s="1" t="s">
        <v>111</v>
      </c>
      <c r="D9" s="1" t="s">
        <v>6</v>
      </c>
      <c r="E9" s="1" t="s">
        <v>5</v>
      </c>
      <c r="F9" s="24">
        <f>COUNTIFS(TblDefects[Project Code],Table_owssvr__211[[#This Row],[Title]],TblDefects[Defect Classification],"Functional")</f>
        <v>4</v>
      </c>
      <c r="G9" s="24">
        <f>SUMIFS(TblTimeSheet[PersonHrs],TblTimeSheet[Project Code/Support Function],Table_owssvr__211[[#This Row],[Title]])</f>
        <v>168.24999999732245</v>
      </c>
      <c r="H9" s="23">
        <f>Table_owssvr__211[[#This Row],[Total Number of Functional defects detected in the product]]/Table_owssvr__211[[#This Row],[Total Effort Expended in the project]]</f>
        <v>2.3774145617020247E-2</v>
      </c>
    </row>
    <row r="10" spans="2:10" x14ac:dyDescent="0.25">
      <c r="B10" s="1" t="s">
        <v>112</v>
      </c>
      <c r="C10" s="1" t="s">
        <v>113</v>
      </c>
      <c r="D10" s="1" t="s">
        <v>6</v>
      </c>
      <c r="E10" s="1" t="s">
        <v>5</v>
      </c>
      <c r="F10" s="24">
        <f>COUNTIFS(TblDefects[Project Code],Table_owssvr__211[[#This Row],[Title]],TblDefects[Defect Classification],"Functional")</f>
        <v>0</v>
      </c>
      <c r="G10" s="24">
        <f>SUMIFS(TblTimeSheet[PersonHrs],TblTimeSheet[Project Code/Support Function],Table_owssvr__211[[#This Row],[Title]])</f>
        <v>0</v>
      </c>
      <c r="H10" s="23" t="e">
        <f>Table_owssvr__211[[#This Row],[Total Number of Functional defects detected in the product]]/Table_owssvr__211[[#This Row],[Total Effort Expended in the project]]</f>
        <v>#DIV/0!</v>
      </c>
    </row>
    <row r="11" spans="2:10" x14ac:dyDescent="0.25">
      <c r="B11" s="1" t="s">
        <v>114</v>
      </c>
      <c r="C11" s="1" t="s">
        <v>115</v>
      </c>
      <c r="D11" s="1" t="s">
        <v>6</v>
      </c>
      <c r="E11" s="1" t="s">
        <v>5</v>
      </c>
      <c r="F11" s="24">
        <f>COUNTIFS(TblDefects[Project Code],Table_owssvr__211[[#This Row],[Title]],TblDefects[Defect Classification],"Functional")</f>
        <v>4</v>
      </c>
      <c r="G11" s="24">
        <f>SUMIFS(TblTimeSheet[PersonHrs],TblTimeSheet[Project Code/Support Function],Table_owssvr__211[[#This Row],[Title]])</f>
        <v>98.916666667792015</v>
      </c>
      <c r="H11" s="23">
        <f>Table_owssvr__211[[#This Row],[Total Number of Functional defects detected in the product]]/Table_owssvr__211[[#This Row],[Total Effort Expended in the project]]</f>
        <v>4.043807919077836E-2</v>
      </c>
    </row>
    <row r="12" spans="2:10" x14ac:dyDescent="0.25">
      <c r="B12" s="1" t="s">
        <v>581</v>
      </c>
      <c r="C12" s="1" t="s">
        <v>488</v>
      </c>
      <c r="D12" s="1" t="s">
        <v>6</v>
      </c>
      <c r="E12" s="1" t="s">
        <v>5</v>
      </c>
      <c r="F12" s="24">
        <f>COUNTIFS(TblDefects[Project Code],Table_owssvr__211[[#This Row],[Title]],TblDefects[Defect Classification],"Functional")</f>
        <v>0</v>
      </c>
      <c r="G12" s="24">
        <f>SUMIFS(TblTimeSheet[PersonHrs],TblTimeSheet[Project Code/Support Function],Table_owssvr__211[[#This Row],[Title]])</f>
        <v>5.5000000001164153</v>
      </c>
      <c r="H12" s="23">
        <f>Table_owssvr__211[[#This Row],[Total Number of Functional defects detected in the product]]/Table_owssvr__211[[#This Row],[Total Effort Expended in the project]]</f>
        <v>0</v>
      </c>
    </row>
    <row r="13" spans="2:10" x14ac:dyDescent="0.25">
      <c r="B13" s="1" t="s">
        <v>582</v>
      </c>
      <c r="C13" s="1" t="s">
        <v>583</v>
      </c>
      <c r="D13" s="1" t="s">
        <v>6</v>
      </c>
      <c r="E13" s="1" t="s">
        <v>5</v>
      </c>
      <c r="F13" s="24">
        <f>COUNTIFS(TblDefects[Project Code],Table_owssvr__211[[#This Row],[Title]],TblDefects[Defect Classification],"Functional")</f>
        <v>0</v>
      </c>
      <c r="G13" s="24">
        <f>SUMIFS(TblTimeSheet[PersonHrs],TblTimeSheet[Project Code/Support Function],Table_owssvr__211[[#This Row],[Title]])</f>
        <v>0</v>
      </c>
      <c r="H13" s="23" t="e">
        <f>Table_owssvr__211[[#This Row],[Total Number of Functional defects detected in the product]]/Table_owssvr__211[[#This Row],[Total Effort Expended in the project]]</f>
        <v>#DIV/0!</v>
      </c>
    </row>
    <row r="14" spans="2:10" x14ac:dyDescent="0.25">
      <c r="B14" s="1" t="s">
        <v>697</v>
      </c>
      <c r="C14" s="1" t="s">
        <v>698</v>
      </c>
      <c r="D14" s="1" t="s">
        <v>6</v>
      </c>
      <c r="E14" s="1" t="s">
        <v>5</v>
      </c>
      <c r="F14" s="24">
        <f>COUNTIFS(TblDefects[Project Code],Table_owssvr__211[[#This Row],[Title]],TblDefects[Defect Classification],"Functional")</f>
        <v>36</v>
      </c>
      <c r="G14" s="24">
        <f>SUMIFS(TblTimeSheet[PersonHrs],TblTimeSheet[Project Code/Support Function],Table_owssvr__211[[#This Row],[Title]])</f>
        <v>625.41666665766388</v>
      </c>
      <c r="H14" s="23">
        <f>Table_owssvr__211[[#This Row],[Total Number of Functional defects detected in the product]]/Table_owssvr__211[[#This Row],[Total Effort Expended in the project]]</f>
        <v>5.7561625583773292E-2</v>
      </c>
    </row>
    <row r="15" spans="2:10" x14ac:dyDescent="0.25">
      <c r="B15" s="1" t="s">
        <v>699</v>
      </c>
      <c r="C15" s="1" t="s">
        <v>700</v>
      </c>
      <c r="D15" s="1" t="s">
        <v>6</v>
      </c>
      <c r="E15" s="1" t="s">
        <v>5</v>
      </c>
      <c r="F15" s="24">
        <f>COUNTIFS(TblDefects[Project Code],Table_owssvr__211[[#This Row],[Title]],TblDefects[Defect Classification],"Functional")</f>
        <v>18</v>
      </c>
      <c r="G15" s="24">
        <f>SUMIFS(TblTimeSheet[PersonHrs],TblTimeSheet[Project Code/Support Function],Table_owssvr__211[[#This Row],[Title]])</f>
        <v>264.16666666424135</v>
      </c>
      <c r="H15" s="23">
        <f>Table_owssvr__211[[#This Row],[Total Number of Functional defects detected in the product]]/Table_owssvr__211[[#This Row],[Total Effort Expended in the project]]</f>
        <v>6.8138801262455237E-2</v>
      </c>
    </row>
    <row r="16" spans="2:10" x14ac:dyDescent="0.25">
      <c r="B16" s="1" t="s">
        <v>909</v>
      </c>
      <c r="C16" s="1" t="s">
        <v>910</v>
      </c>
      <c r="D16" s="1" t="s">
        <v>6</v>
      </c>
      <c r="E16" s="1" t="s">
        <v>5</v>
      </c>
      <c r="F16" s="24">
        <f>COUNTIFS(TblDefects[Project Code],Table_owssvr__211[[#This Row],[Title]],TblDefects[Defect Classification],"Functional")</f>
        <v>49</v>
      </c>
      <c r="G16" s="24">
        <f>SUMIFS(TblTimeSheet[PersonHrs],TblTimeSheet[Project Code/Support Function],Table_owssvr__211[[#This Row],[Title]])</f>
        <v>301.24999999639113</v>
      </c>
      <c r="H16" s="23">
        <f>Table_owssvr__211[[#This Row],[Total Number of Functional defects detected in the product]]/Table_owssvr__211[[#This Row],[Total Effort Expended in the project]]</f>
        <v>0.16265560166169959</v>
      </c>
    </row>
    <row r="17" spans="2:8" x14ac:dyDescent="0.25">
      <c r="B17" s="1" t="s">
        <v>911</v>
      </c>
      <c r="C17" s="1" t="s">
        <v>912</v>
      </c>
      <c r="D17" s="1" t="s">
        <v>6</v>
      </c>
      <c r="E17" s="1" t="s">
        <v>5</v>
      </c>
      <c r="F17" s="24">
        <f>COUNTIFS(TblDefects[Project Code],Table_owssvr__211[[#This Row],[Title]],TblDefects[Defect Classification],"Functional")</f>
        <v>17</v>
      </c>
      <c r="G17" s="24">
        <f>SUMIFS(TblTimeSheet[PersonHrs],TblTimeSheet[Project Code/Support Function],Table_owssvr__211[[#This Row],[Title]])</f>
        <v>188.24999999598367</v>
      </c>
      <c r="H17" s="23">
        <f>Table_owssvr__211[[#This Row],[Total Number of Functional defects detected in the product]]/Table_owssvr__211[[#This Row],[Total Effort Expended in the project]]</f>
        <v>9.0305444889044864E-2</v>
      </c>
    </row>
    <row r="18" spans="2:8" x14ac:dyDescent="0.25">
      <c r="B18" s="1" t="s">
        <v>913</v>
      </c>
      <c r="C18" s="1" t="s">
        <v>914</v>
      </c>
      <c r="D18" s="1" t="s">
        <v>6</v>
      </c>
      <c r="E18" s="1" t="s">
        <v>5</v>
      </c>
      <c r="F18" s="24">
        <f>COUNTIFS(TblDefects[Project Code],Table_owssvr__211[[#This Row],[Title]],TblDefects[Defect Classification],"Functional")</f>
        <v>23</v>
      </c>
      <c r="G18" s="24">
        <f>SUMIFS(TblTimeSheet[PersonHrs],TblTimeSheet[Project Code/Support Function],Table_owssvr__211[[#This Row],[Title]])</f>
        <v>89.083333334885538</v>
      </c>
      <c r="H18" s="23">
        <f>Table_owssvr__211[[#This Row],[Total Number of Functional defects detected in the product]]/Table_owssvr__211[[#This Row],[Total Effort Expended in the project]]</f>
        <v>0.25818521982711967</v>
      </c>
    </row>
    <row r="19" spans="2:8" x14ac:dyDescent="0.25">
      <c r="B19" s="1" t="s">
        <v>915</v>
      </c>
      <c r="C19" s="1" t="s">
        <v>916</v>
      </c>
      <c r="D19" s="1" t="s">
        <v>6</v>
      </c>
      <c r="E19" s="1" t="s">
        <v>5</v>
      </c>
      <c r="F19" s="24">
        <f>COUNTIFS(TblDefects[Project Code],Table_owssvr__211[[#This Row],[Title]],TblDefects[Defect Classification],"Functional")</f>
        <v>28</v>
      </c>
      <c r="G19" s="24">
        <f>SUMIFS(TblTimeSheet[PersonHrs],TblTimeSheet[Project Code/Support Function],Table_owssvr__211[[#This Row],[Title]])</f>
        <v>232.41666666499805</v>
      </c>
      <c r="H19" s="23">
        <f>Table_owssvr__211[[#This Row],[Total Number of Functional defects detected in the product]]/Table_owssvr__211[[#This Row],[Total Effort Expended in the project]]</f>
        <v>0.120473287917681</v>
      </c>
    </row>
    <row r="20" spans="2:8" x14ac:dyDescent="0.25">
      <c r="B20" s="1" t="s">
        <v>917</v>
      </c>
      <c r="C20" s="1" t="s">
        <v>918</v>
      </c>
      <c r="D20" s="1" t="s">
        <v>6</v>
      </c>
      <c r="E20" s="1" t="s">
        <v>5</v>
      </c>
      <c r="F20" s="24">
        <f>COUNTIFS(TblDefects[Project Code],Table_owssvr__211[[#This Row],[Title]],TblDefects[Defect Classification],"Functional")</f>
        <v>27</v>
      </c>
      <c r="G20" s="24">
        <f>SUMIFS(TblTimeSheet[PersonHrs],TblTimeSheet[Project Code/Support Function],Table_owssvr__211[[#This Row],[Title]])</f>
        <v>168.66666666622041</v>
      </c>
      <c r="H20" s="23">
        <f>Table_owssvr__211[[#This Row],[Total Number of Functional defects detected in the product]]/Table_owssvr__211[[#This Row],[Total Effort Expended in the project]]</f>
        <v>0.16007905138382275</v>
      </c>
    </row>
    <row r="21" spans="2:8" x14ac:dyDescent="0.25">
      <c r="B21" s="1" t="s">
        <v>2870</v>
      </c>
      <c r="C21" s="1" t="s">
        <v>2871</v>
      </c>
      <c r="D21" s="1" t="s">
        <v>6</v>
      </c>
      <c r="E21" s="1" t="s">
        <v>5</v>
      </c>
      <c r="F21" s="24">
        <f>COUNTIFS(TblDefects[Project Code],Table_owssvr__211[[#This Row],[Title]],TblDefects[Defect Classification],"Functional")</f>
        <v>14</v>
      </c>
      <c r="G21" s="24">
        <f>SUMIFS(TblTimeSheet[PersonHrs],TblTimeSheet[Project Code/Support Function],Table_owssvr__211[[#This Row],[Title]])</f>
        <v>64.416666666744277</v>
      </c>
      <c r="H21" s="23">
        <f>Table_owssvr__211[[#This Row],[Total Number of Functional defects detected in the product]]/Table_owssvr__211[[#This Row],[Total Effort Expended in the project]]</f>
        <v>0.2173350582144859</v>
      </c>
    </row>
    <row r="22" spans="2:8" x14ac:dyDescent="0.25">
      <c r="B22" s="1" t="s">
        <v>2872</v>
      </c>
      <c r="C22" s="1" t="s">
        <v>2873</v>
      </c>
      <c r="D22" s="1" t="s">
        <v>6</v>
      </c>
      <c r="E22" s="1" t="s">
        <v>5</v>
      </c>
      <c r="F22" s="24">
        <f>COUNTIFS(TblDefects[Project Code],Table_owssvr__211[[#This Row],[Title]],TblDefects[Defect Classification],"Functional")</f>
        <v>2</v>
      </c>
      <c r="G22" s="24">
        <f>SUMIFS(TblTimeSheet[PersonHrs],TblTimeSheet[Project Code/Support Function],Table_owssvr__211[[#This Row],[Title]])</f>
        <v>30.916666664590593</v>
      </c>
      <c r="H22" s="23">
        <f>Table_owssvr__211[[#This Row],[Total Number of Functional defects detected in the product]]/Table_owssvr__211[[#This Row],[Total Effort Expended in the project]]</f>
        <v>6.4690026958521871E-2</v>
      </c>
    </row>
    <row r="23" spans="2:8" x14ac:dyDescent="0.25">
      <c r="B23" s="1" t="s">
        <v>2874</v>
      </c>
      <c r="C23" s="1" t="s">
        <v>2875</v>
      </c>
      <c r="D23" s="1" t="s">
        <v>6</v>
      </c>
      <c r="E23" s="1" t="s">
        <v>5</v>
      </c>
      <c r="F23" s="24">
        <f>COUNTIFS(TblDefects[Project Code],Table_owssvr__211[[#This Row],[Title]],TblDefects[Defect Classification],"Functional")</f>
        <v>3</v>
      </c>
      <c r="G23" s="24">
        <f>SUMIFS(TblTimeSheet[PersonHrs],TblTimeSheet[Project Code/Support Function],Table_owssvr__211[[#This Row],[Title]])</f>
        <v>11.583333332149778</v>
      </c>
      <c r="H23" s="23">
        <f>Table_owssvr__211[[#This Row],[Total Number of Functional defects detected in the product]]/Table_owssvr__211[[#This Row],[Total Effort Expended in the project]]</f>
        <v>0.2589928057818589</v>
      </c>
    </row>
    <row r="24" spans="2:8" x14ac:dyDescent="0.25">
      <c r="B24" s="1" t="s">
        <v>2876</v>
      </c>
      <c r="C24" s="1" t="s">
        <v>2877</v>
      </c>
      <c r="D24" s="1" t="s">
        <v>6</v>
      </c>
      <c r="E24" s="1" t="s">
        <v>5</v>
      </c>
      <c r="F24" s="24">
        <f>COUNTIFS(TblDefects[Project Code],Table_owssvr__211[[#This Row],[Title]],TblDefects[Defect Classification],"Functional")</f>
        <v>0</v>
      </c>
      <c r="G24" s="24">
        <f>SUMIFS(TblTimeSheet[PersonHrs],TblTimeSheet[Project Code/Support Function],Table_owssvr__211[[#This Row],[Title]])</f>
        <v>21.500000000407454</v>
      </c>
      <c r="H24" s="23">
        <f>Table_owssvr__211[[#This Row],[Total Number of Functional defects detected in the product]]/Table_owssvr__211[[#This Row],[Total Effort Expended in the project]]</f>
        <v>0</v>
      </c>
    </row>
    <row r="25" spans="2:8" x14ac:dyDescent="0.25">
      <c r="B25" s="1" t="s">
        <v>2878</v>
      </c>
      <c r="C25" s="1" t="s">
        <v>2879</v>
      </c>
      <c r="D25" s="1" t="s">
        <v>6</v>
      </c>
      <c r="E25" s="1" t="s">
        <v>5</v>
      </c>
      <c r="F25" s="24">
        <f>COUNTIFS(TblDefects[Project Code],Table_owssvr__211[[#This Row],[Title]],TblDefects[Defect Classification],"Functional")</f>
        <v>0</v>
      </c>
      <c r="G25" s="24">
        <f>SUMIFS(TblTimeSheet[PersonHrs],TblTimeSheet[Project Code/Support Function],Table_owssvr__211[[#This Row],[Title]])</f>
        <v>1385.9166666581878</v>
      </c>
      <c r="H25" s="23">
        <f>Table_owssvr__211[[#This Row],[Total Number of Functional defects detected in the product]]/Table_owssvr__211[[#This Row],[Total Effort Expended in the project]]</f>
        <v>0</v>
      </c>
    </row>
    <row r="26" spans="2:8" x14ac:dyDescent="0.25">
      <c r="B26" s="1" t="s">
        <v>2880</v>
      </c>
      <c r="C26" s="1" t="s">
        <v>2881</v>
      </c>
      <c r="D26" s="1" t="s">
        <v>6</v>
      </c>
      <c r="E26" s="1" t="s">
        <v>5</v>
      </c>
      <c r="F26" s="24">
        <f>COUNTIFS(TblDefects[Project Code],Table_owssvr__211[[#This Row],[Title]],TblDefects[Defect Classification],"Functional")</f>
        <v>5</v>
      </c>
      <c r="G26" s="24">
        <f>SUMIFS(TblTimeSheet[PersonHrs],TblTimeSheet[Project Code/Support Function],Table_owssvr__211[[#This Row],[Title]])</f>
        <v>41.666666665405501</v>
      </c>
      <c r="H26" s="23">
        <f>Table_owssvr__211[[#This Row],[Total Number of Functional defects detected in the product]]/Table_owssvr__211[[#This Row],[Total Effort Expended in the project]]</f>
        <v>0.12000000000363216</v>
      </c>
    </row>
    <row r="27" spans="2:8" x14ac:dyDescent="0.25">
      <c r="B27" s="1" t="s">
        <v>2882</v>
      </c>
      <c r="C27" s="1" t="s">
        <v>2883</v>
      </c>
      <c r="D27" s="1" t="s">
        <v>6</v>
      </c>
      <c r="E27" s="1" t="s">
        <v>5</v>
      </c>
      <c r="F27" s="24">
        <f>COUNTIFS(TblDefects[Project Code],Table_owssvr__211[[#This Row],[Title]],TblDefects[Defect Classification],"Functional")</f>
        <v>4</v>
      </c>
      <c r="G27" s="24">
        <f>SUMIFS(TblTimeSheet[PersonHrs],TblTimeSheet[Project Code/Support Function],Table_owssvr__211[[#This Row],[Title]])</f>
        <v>31.250000000232831</v>
      </c>
      <c r="H27" s="23">
        <f>Table_owssvr__211[[#This Row],[Total Number of Functional defects detected in the product]]/Table_owssvr__211[[#This Row],[Total Effort Expended in the project]]</f>
        <v>0.12799999999904632</v>
      </c>
    </row>
    <row r="28" spans="2:8" x14ac:dyDescent="0.25">
      <c r="B28" s="1" t="s">
        <v>2884</v>
      </c>
      <c r="C28" s="1" t="s">
        <v>2885</v>
      </c>
      <c r="D28" s="1" t="s">
        <v>6</v>
      </c>
      <c r="E28" s="1" t="s">
        <v>5</v>
      </c>
      <c r="F28" s="24">
        <f>COUNTIFS(TblDefects[Project Code],Table_owssvr__211[[#This Row],[Title]],TblDefects[Defect Classification],"Functional")</f>
        <v>1</v>
      </c>
      <c r="G28" s="24">
        <f>SUMIFS(TblTimeSheet[PersonHrs],TblTimeSheet[Project Code/Support Function],Table_owssvr__211[[#This Row],[Title]])</f>
        <v>32.166666665871162</v>
      </c>
      <c r="H28" s="23">
        <f>Table_owssvr__211[[#This Row],[Total Number of Functional defects detected in the product]]/Table_owssvr__211[[#This Row],[Total Effort Expended in the project]]</f>
        <v>3.1088082902323233E-2</v>
      </c>
    </row>
  </sheetData>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2:K28"/>
  <sheetViews>
    <sheetView showGridLines="0" topLeftCell="D1" workbookViewId="0">
      <selection activeCell="I3" sqref="I3"/>
    </sheetView>
  </sheetViews>
  <sheetFormatPr defaultRowHeight="15" x14ac:dyDescent="0.25"/>
  <cols>
    <col min="2" max="2" width="16.28515625" bestFit="1" customWidth="1"/>
    <col min="3" max="3" width="81.140625" bestFit="1" customWidth="1"/>
    <col min="4" max="4" width="12.140625" bestFit="1" customWidth="1"/>
    <col min="5" max="5" width="22.42578125" bestFit="1" customWidth="1"/>
    <col min="6" max="6" width="23.85546875" bestFit="1" customWidth="1"/>
    <col min="7" max="7" width="24" bestFit="1" customWidth="1"/>
    <col min="8" max="8" width="25" bestFit="1" customWidth="1"/>
    <col min="9" max="9" width="32.28515625" bestFit="1" customWidth="1"/>
    <col min="10" max="10" width="6.5703125" bestFit="1" customWidth="1"/>
    <col min="11" max="11" width="6" bestFit="1" customWidth="1"/>
  </cols>
  <sheetData>
    <row r="2" spans="2:11" ht="30" x14ac:dyDescent="0.25">
      <c r="B2" t="s">
        <v>0</v>
      </c>
      <c r="C2" t="s">
        <v>1</v>
      </c>
      <c r="D2" t="s">
        <v>3</v>
      </c>
      <c r="E2" t="s">
        <v>2</v>
      </c>
      <c r="F2" s="19" t="s">
        <v>82</v>
      </c>
      <c r="G2" s="19" t="s">
        <v>83</v>
      </c>
      <c r="H2" s="19" t="s">
        <v>73</v>
      </c>
      <c r="I2" t="s">
        <v>84</v>
      </c>
      <c r="J2" t="s">
        <v>50</v>
      </c>
      <c r="K2" t="s">
        <v>51</v>
      </c>
    </row>
    <row r="3" spans="2:11" x14ac:dyDescent="0.25">
      <c r="B3" s="1" t="s">
        <v>4</v>
      </c>
      <c r="C3" s="1" t="s">
        <v>102</v>
      </c>
      <c r="D3" s="1" t="s">
        <v>6</v>
      </c>
      <c r="E3" s="1" t="s">
        <v>5</v>
      </c>
      <c r="F3" s="23">
        <f>COUNTIFS(TblAdtNC[Project Code/ Process name],Table_owssvr__212[[#This Row],[Title]],TblAdtNC[Classification],"Major NC")</f>
        <v>1</v>
      </c>
      <c r="G3" s="23">
        <f>COUNTIFS(TblAdtNC[Project Code/ Process name],Table_owssvr__212[[#This Row],[Title]],TblAdtNC[Classification],"Minor NC")</f>
        <v>1</v>
      </c>
      <c r="H3" s="23">
        <f>SUMIFS(TblTimeSheet[PersonHrs],TblTimeSheet[Project Code/Support Function],Table_owssvr__212[[#This Row],[Title]])</f>
        <v>55.749999999941792</v>
      </c>
      <c r="I3" s="23">
        <f>(5*Table_owssvr__212[[#This Row],[Total Number of Major NCs in the project]]+1*Table_owssvr__212[[#This Row],[Total Number of Minor NCs in the project]])/Table_owssvr__212[[#This Row],[Total Effort Expended in the prroject]]</f>
        <v>0.1076233183857626</v>
      </c>
      <c r="J3" s="23"/>
      <c r="K3" s="23"/>
    </row>
    <row r="4" spans="2:11" x14ac:dyDescent="0.25">
      <c r="B4" s="1" t="s">
        <v>7</v>
      </c>
      <c r="C4" s="1"/>
      <c r="D4" s="1" t="s">
        <v>6</v>
      </c>
      <c r="E4" s="1" t="s">
        <v>5</v>
      </c>
      <c r="F4" s="23">
        <f>COUNTIFS(TblAdtNC[Project Code/ Process name],Table_owssvr__212[[#This Row],[Title]],TblAdtNC[Classification],"Major NC")</f>
        <v>1</v>
      </c>
      <c r="G4" s="23">
        <f>COUNTIFS(TblAdtNC[Project Code/ Process name],Table_owssvr__212[[#This Row],[Title]],TblAdtNC[Classification],"Minor NC")</f>
        <v>1</v>
      </c>
      <c r="H4" s="23">
        <f>SUMIFS(TblTimeSheet[PersonHrs],TblTimeSheet[Project Code/Support Function],Table_owssvr__212[[#This Row],[Title]])</f>
        <v>14.750000000058208</v>
      </c>
      <c r="I4" s="23">
        <f>(5*Table_owssvr__212[[#This Row],[Total Number of Major NCs in the project]]+1*Table_owssvr__212[[#This Row],[Total Number of Minor NCs in the project]])/Table_owssvr__212[[#This Row],[Total Effort Expended in the prroject]]</f>
        <v>0.40677966101534391</v>
      </c>
      <c r="J4" s="23"/>
      <c r="K4" s="23"/>
    </row>
    <row r="5" spans="2:11" x14ac:dyDescent="0.25">
      <c r="B5" s="1" t="s">
        <v>103</v>
      </c>
      <c r="C5" s="1" t="s">
        <v>104</v>
      </c>
      <c r="D5" s="1" t="s">
        <v>6</v>
      </c>
      <c r="E5" s="1" t="s">
        <v>5</v>
      </c>
      <c r="F5" s="23">
        <f>COUNTIFS(TblAdtNC[Project Code/ Process name],Table_owssvr__212[[#This Row],[Title]],TblAdtNC[Classification],"Major NC")</f>
        <v>14</v>
      </c>
      <c r="G5" s="23">
        <f>COUNTIFS(TblAdtNC[Project Code/ Process name],Table_owssvr__212[[#This Row],[Title]],TblAdtNC[Classification],"Minor NC")</f>
        <v>32</v>
      </c>
      <c r="H5" s="23">
        <f>SUMIFS(TblTimeSheet[PersonHrs],TblTimeSheet[Project Code/Support Function],Table_owssvr__212[[#This Row],[Title]])</f>
        <v>3.9999999999417923</v>
      </c>
      <c r="I5" s="23">
        <f>(5*Table_owssvr__212[[#This Row],[Total Number of Major NCs in the project]]+1*Table_owssvr__212[[#This Row],[Total Number of Minor NCs in the project]])/Table_owssvr__212[[#This Row],[Total Effort Expended in the prroject]]</f>
        <v>25.500000000371074</v>
      </c>
      <c r="J5" s="23"/>
      <c r="K5" s="23"/>
    </row>
    <row r="6" spans="2:11" x14ac:dyDescent="0.25">
      <c r="B6" s="1" t="s">
        <v>105</v>
      </c>
      <c r="C6" s="1" t="s">
        <v>106</v>
      </c>
      <c r="D6" s="1" t="s">
        <v>6</v>
      </c>
      <c r="E6" s="1" t="s">
        <v>5</v>
      </c>
      <c r="F6" s="23">
        <f>COUNTIFS(TblAdtNC[Project Code/ Process name],Table_owssvr__212[[#This Row],[Title]],TblAdtNC[Classification],"Major NC")</f>
        <v>4</v>
      </c>
      <c r="G6" s="23">
        <f>COUNTIFS(TblAdtNC[Project Code/ Process name],Table_owssvr__212[[#This Row],[Title]],TblAdtNC[Classification],"Minor NC")</f>
        <v>15</v>
      </c>
      <c r="H6" s="23">
        <f>SUMIFS(TblTimeSheet[PersonHrs],TblTimeSheet[Project Code/Support Function],Table_owssvr__212[[#This Row],[Title]])</f>
        <v>6.4999999993597157</v>
      </c>
      <c r="I6" s="23">
        <f>(5*Table_owssvr__212[[#This Row],[Total Number of Major NCs in the project]]+1*Table_owssvr__212[[#This Row],[Total Number of Minor NCs in the project]])/Table_owssvr__212[[#This Row],[Total Effort Expended in the prroject]]</f>
        <v>5.3846153851457972</v>
      </c>
      <c r="J6" s="23"/>
      <c r="K6" s="23"/>
    </row>
    <row r="7" spans="2:11" x14ac:dyDescent="0.25">
      <c r="B7" s="1" t="s">
        <v>107</v>
      </c>
      <c r="C7" s="1" t="s">
        <v>107</v>
      </c>
      <c r="D7" s="1" t="s">
        <v>6</v>
      </c>
      <c r="E7" s="1" t="s">
        <v>5</v>
      </c>
      <c r="F7" s="23">
        <f>COUNTIFS(TblAdtNC[Project Code/ Process name],Table_owssvr__212[[#This Row],[Title]],TblAdtNC[Classification],"Major NC")</f>
        <v>3</v>
      </c>
      <c r="G7" s="23">
        <f>COUNTIFS(TblAdtNC[Project Code/ Process name],Table_owssvr__212[[#This Row],[Title]],TblAdtNC[Classification],"Minor NC")</f>
        <v>5</v>
      </c>
      <c r="H7" s="23">
        <f>SUMIFS(TblTimeSheet[PersonHrs],TblTimeSheet[Project Code/Support Function],Table_owssvr__212[[#This Row],[Title]])</f>
        <v>8.4166666666860692</v>
      </c>
      <c r="I7" s="23">
        <f>(5*Table_owssvr__212[[#This Row],[Total Number of Major NCs in the project]]+1*Table_owssvr__212[[#This Row],[Total Number of Minor NCs in the project]])/Table_owssvr__212[[#This Row],[Total Effort Expended in the prroject]]</f>
        <v>2.3762376237568983</v>
      </c>
      <c r="J7" s="23"/>
      <c r="K7" s="23"/>
    </row>
    <row r="8" spans="2:11" x14ac:dyDescent="0.25">
      <c r="B8" s="1" t="s">
        <v>108</v>
      </c>
      <c r="C8" s="1" t="s">
        <v>109</v>
      </c>
      <c r="D8" s="1" t="s">
        <v>6</v>
      </c>
      <c r="E8" s="1" t="s">
        <v>5</v>
      </c>
      <c r="F8" s="23">
        <f>COUNTIFS(TblAdtNC[Project Code/ Process name],Table_owssvr__212[[#This Row],[Title]],TblAdtNC[Classification],"Major NC")</f>
        <v>9</v>
      </c>
      <c r="G8" s="23">
        <f>COUNTIFS(TblAdtNC[Project Code/ Process name],Table_owssvr__212[[#This Row],[Title]],TblAdtNC[Classification],"Minor NC")</f>
        <v>17</v>
      </c>
      <c r="H8" s="23">
        <f>SUMIFS(TblTimeSheet[PersonHrs],TblTimeSheet[Project Code/Support Function],Table_owssvr__212[[#This Row],[Title]])</f>
        <v>259.91666666226229</v>
      </c>
      <c r="I8" s="23">
        <f>(5*Table_owssvr__212[[#This Row],[Total Number of Major NCs in the project]]+1*Table_owssvr__212[[#This Row],[Total Number of Minor NCs in the project]])/Table_owssvr__212[[#This Row],[Total Effort Expended in the prroject]]</f>
        <v>0.23853799295049929</v>
      </c>
      <c r="J8" s="23"/>
      <c r="K8" s="23"/>
    </row>
    <row r="9" spans="2:11" x14ac:dyDescent="0.25">
      <c r="B9" s="1" t="s">
        <v>110</v>
      </c>
      <c r="C9" s="1" t="s">
        <v>111</v>
      </c>
      <c r="D9" s="1" t="s">
        <v>6</v>
      </c>
      <c r="E9" s="1" t="s">
        <v>5</v>
      </c>
      <c r="F9" s="23">
        <f>COUNTIFS(TblAdtNC[Project Code/ Process name],Table_owssvr__212[[#This Row],[Title]],TblAdtNC[Classification],"Major NC")</f>
        <v>11</v>
      </c>
      <c r="G9" s="23">
        <f>COUNTIFS(TblAdtNC[Project Code/ Process name],Table_owssvr__212[[#This Row],[Title]],TblAdtNC[Classification],"Minor NC")</f>
        <v>29</v>
      </c>
      <c r="H9" s="23">
        <f>SUMIFS(TblTimeSheet[PersonHrs],TblTimeSheet[Project Code/Support Function],Table_owssvr__212[[#This Row],[Title]])</f>
        <v>168.24999999732245</v>
      </c>
      <c r="I9" s="23">
        <f>(5*Table_owssvr__212[[#This Row],[Total Number of Major NCs in the project]]+1*Table_owssvr__212[[#This Row],[Total Number of Minor NCs in the project]])/Table_owssvr__212[[#This Row],[Total Effort Expended in the prroject]]</f>
        <v>0.4992570579574252</v>
      </c>
      <c r="J9" s="23"/>
      <c r="K9" s="23"/>
    </row>
    <row r="10" spans="2:11" x14ac:dyDescent="0.25">
      <c r="B10" s="1" t="s">
        <v>112</v>
      </c>
      <c r="C10" s="1" t="s">
        <v>113</v>
      </c>
      <c r="D10" s="1" t="s">
        <v>6</v>
      </c>
      <c r="E10" s="1" t="s">
        <v>5</v>
      </c>
      <c r="F10" s="23">
        <f>COUNTIFS(TblAdtNC[Project Code/ Process name],Table_owssvr__212[[#This Row],[Title]],TblAdtNC[Classification],"Major NC")</f>
        <v>0</v>
      </c>
      <c r="G10" s="23">
        <f>COUNTIFS(TblAdtNC[Project Code/ Process name],Table_owssvr__212[[#This Row],[Title]],TblAdtNC[Classification],"Minor NC")</f>
        <v>0</v>
      </c>
      <c r="H10" s="23">
        <f>SUMIFS(TblTimeSheet[PersonHrs],TblTimeSheet[Project Code/Support Function],Table_owssvr__212[[#This Row],[Title]])</f>
        <v>0</v>
      </c>
      <c r="I10" s="23" t="e">
        <f>(5*Table_owssvr__212[[#This Row],[Total Number of Major NCs in the project]]+1*Table_owssvr__212[[#This Row],[Total Number of Minor NCs in the project]])/Table_owssvr__212[[#This Row],[Total Effort Expended in the prroject]]</f>
        <v>#DIV/0!</v>
      </c>
      <c r="J10" s="23"/>
      <c r="K10" s="23"/>
    </row>
    <row r="11" spans="2:11" x14ac:dyDescent="0.25">
      <c r="B11" s="1" t="s">
        <v>114</v>
      </c>
      <c r="C11" s="1" t="s">
        <v>115</v>
      </c>
      <c r="D11" s="1" t="s">
        <v>6</v>
      </c>
      <c r="E11" s="1" t="s">
        <v>5</v>
      </c>
      <c r="F11" s="23">
        <f>COUNTIFS(TblAdtNC[Project Code/ Process name],Table_owssvr__212[[#This Row],[Title]],TblAdtNC[Classification],"Major NC")</f>
        <v>5</v>
      </c>
      <c r="G11" s="23">
        <f>COUNTIFS(TblAdtNC[Project Code/ Process name],Table_owssvr__212[[#This Row],[Title]],TblAdtNC[Classification],"Minor NC")</f>
        <v>11</v>
      </c>
      <c r="H11" s="23">
        <f>SUMIFS(TblTimeSheet[PersonHrs],TblTimeSheet[Project Code/Support Function],Table_owssvr__212[[#This Row],[Title]])</f>
        <v>98.916666667792015</v>
      </c>
      <c r="I11" s="23">
        <f>(5*Table_owssvr__212[[#This Row],[Total Number of Major NCs in the project]]+1*Table_owssvr__212[[#This Row],[Total Number of Minor NCs in the project]])/Table_owssvr__212[[#This Row],[Total Effort Expended in the prroject]]</f>
        <v>0.36394271271700529</v>
      </c>
      <c r="J11" s="23"/>
      <c r="K11" s="23"/>
    </row>
    <row r="12" spans="2:11" x14ac:dyDescent="0.25">
      <c r="B12" s="1" t="s">
        <v>581</v>
      </c>
      <c r="C12" s="1" t="s">
        <v>488</v>
      </c>
      <c r="D12" s="1" t="s">
        <v>6</v>
      </c>
      <c r="E12" s="1" t="s">
        <v>5</v>
      </c>
      <c r="F12" s="23">
        <f>COUNTIFS(TblAdtNC[Project Code/ Process name],Table_owssvr__212[[#This Row],[Title]],TblAdtNC[Classification],"Major NC")</f>
        <v>12</v>
      </c>
      <c r="G12" s="23">
        <f>COUNTIFS(TblAdtNC[Project Code/ Process name],Table_owssvr__212[[#This Row],[Title]],TblAdtNC[Classification],"Minor NC")</f>
        <v>10</v>
      </c>
      <c r="H12" s="23">
        <f>SUMIFS(TblTimeSheet[PersonHrs],TblTimeSheet[Project Code/Support Function],Table_owssvr__212[[#This Row],[Title]])</f>
        <v>5.5000000001164153</v>
      </c>
      <c r="I12" s="23">
        <f>(5*Table_owssvr__212[[#This Row],[Total Number of Major NCs in the project]]+1*Table_owssvr__212[[#This Row],[Total Number of Minor NCs in the project]])/Table_owssvr__212[[#This Row],[Total Effort Expended in the prroject]]</f>
        <v>12.727272727003337</v>
      </c>
      <c r="J12" s="23"/>
      <c r="K12" s="23"/>
    </row>
    <row r="13" spans="2:11" x14ac:dyDescent="0.25">
      <c r="B13" s="1" t="s">
        <v>582</v>
      </c>
      <c r="C13" s="1" t="s">
        <v>583</v>
      </c>
      <c r="D13" s="1" t="s">
        <v>6</v>
      </c>
      <c r="E13" s="1" t="s">
        <v>5</v>
      </c>
      <c r="F13" s="23">
        <f>COUNTIFS(TblAdtNC[Project Code/ Process name],Table_owssvr__212[[#This Row],[Title]],TblAdtNC[Classification],"Major NC")</f>
        <v>6</v>
      </c>
      <c r="G13" s="23">
        <f>COUNTIFS(TblAdtNC[Project Code/ Process name],Table_owssvr__212[[#This Row],[Title]],TblAdtNC[Classification],"Minor NC")</f>
        <v>3</v>
      </c>
      <c r="H13" s="23">
        <f>SUMIFS(TblTimeSheet[PersonHrs],TblTimeSheet[Project Code/Support Function],Table_owssvr__212[[#This Row],[Title]])</f>
        <v>0</v>
      </c>
      <c r="I13" s="23" t="e">
        <f>(5*Table_owssvr__212[[#This Row],[Total Number of Major NCs in the project]]+1*Table_owssvr__212[[#This Row],[Total Number of Minor NCs in the project]])/Table_owssvr__212[[#This Row],[Total Effort Expended in the prroject]]</f>
        <v>#DIV/0!</v>
      </c>
      <c r="J13" s="23"/>
      <c r="K13" s="23"/>
    </row>
    <row r="14" spans="2:11" x14ac:dyDescent="0.25">
      <c r="B14" s="1" t="s">
        <v>697</v>
      </c>
      <c r="C14" s="1" t="s">
        <v>698</v>
      </c>
      <c r="D14" s="1" t="s">
        <v>6</v>
      </c>
      <c r="E14" s="1" t="s">
        <v>5</v>
      </c>
      <c r="F14" s="23">
        <f>COUNTIFS(TblAdtNC[Project Code/ Process name],Table_owssvr__212[[#This Row],[Title]],TblAdtNC[Classification],"Major NC")</f>
        <v>11</v>
      </c>
      <c r="G14" s="23">
        <f>COUNTIFS(TblAdtNC[Project Code/ Process name],Table_owssvr__212[[#This Row],[Title]],TblAdtNC[Classification],"Minor NC")</f>
        <v>13</v>
      </c>
      <c r="H14" s="23">
        <f>SUMIFS(TblTimeSheet[PersonHrs],TblTimeSheet[Project Code/Support Function],Table_owssvr__212[[#This Row],[Title]])</f>
        <v>625.41666665766388</v>
      </c>
      <c r="I14" s="23">
        <f>(5*Table_owssvr__212[[#This Row],[Total Number of Major NCs in the project]]+1*Table_owssvr__212[[#This Row],[Total Number of Minor NCs in the project]])/Table_owssvr__212[[#This Row],[Total Effort Expended in the prroject]]</f>
        <v>0.10872751499157178</v>
      </c>
      <c r="J14" s="23"/>
      <c r="K14" s="23"/>
    </row>
    <row r="15" spans="2:11" x14ac:dyDescent="0.25">
      <c r="B15" s="1" t="s">
        <v>699</v>
      </c>
      <c r="C15" s="1" t="s">
        <v>700</v>
      </c>
      <c r="D15" s="1" t="s">
        <v>6</v>
      </c>
      <c r="E15" s="1" t="s">
        <v>5</v>
      </c>
      <c r="F15" s="23">
        <f>COUNTIFS(TblAdtNC[Project Code/ Process name],Table_owssvr__212[[#This Row],[Title]],TblAdtNC[Classification],"Major NC")</f>
        <v>16</v>
      </c>
      <c r="G15" s="23">
        <f>COUNTIFS(TblAdtNC[Project Code/ Process name],Table_owssvr__212[[#This Row],[Title]],TblAdtNC[Classification],"Minor NC")</f>
        <v>21</v>
      </c>
      <c r="H15" s="23">
        <f>SUMIFS(TblTimeSheet[PersonHrs],TblTimeSheet[Project Code/Support Function],Table_owssvr__212[[#This Row],[Title]])</f>
        <v>264.16666666424135</v>
      </c>
      <c r="I15" s="23">
        <f>(5*Table_owssvr__212[[#This Row],[Total Number of Major NCs in the project]]+1*Table_owssvr__212[[#This Row],[Total Number of Minor NCs in the project]])/Table_owssvr__212[[#This Row],[Total Effort Expended in the prroject]]</f>
        <v>0.38233438486155441</v>
      </c>
      <c r="J15" s="23"/>
      <c r="K15" s="23"/>
    </row>
    <row r="16" spans="2:11" x14ac:dyDescent="0.25">
      <c r="B16" s="1" t="s">
        <v>909</v>
      </c>
      <c r="C16" s="1" t="s">
        <v>910</v>
      </c>
      <c r="D16" s="1" t="s">
        <v>6</v>
      </c>
      <c r="E16" s="1" t="s">
        <v>5</v>
      </c>
      <c r="F16" s="23">
        <f>COUNTIFS(TblAdtNC[Project Code/ Process name],Table_owssvr__212[[#This Row],[Title]],TblAdtNC[Classification],"Major NC")</f>
        <v>11</v>
      </c>
      <c r="G16" s="23">
        <f>COUNTIFS(TblAdtNC[Project Code/ Process name],Table_owssvr__212[[#This Row],[Title]],TblAdtNC[Classification],"Minor NC")</f>
        <v>19</v>
      </c>
      <c r="H16" s="23">
        <f>SUMIFS(TblTimeSheet[PersonHrs],TblTimeSheet[Project Code/Support Function],Table_owssvr__212[[#This Row],[Title]])</f>
        <v>301.24999999639113</v>
      </c>
      <c r="I16" s="23">
        <f>(5*Table_owssvr__212[[#This Row],[Total Number of Major NCs in the project]]+1*Table_owssvr__212[[#This Row],[Total Number of Minor NCs in the project]])/Table_owssvr__212[[#This Row],[Total Effort Expended in the prroject]]</f>
        <v>0.24564315352991367</v>
      </c>
      <c r="J16" s="23"/>
      <c r="K16" s="23"/>
    </row>
    <row r="17" spans="2:11" x14ac:dyDescent="0.25">
      <c r="B17" s="1" t="s">
        <v>911</v>
      </c>
      <c r="C17" s="1" t="s">
        <v>912</v>
      </c>
      <c r="D17" s="1" t="s">
        <v>6</v>
      </c>
      <c r="E17" s="1" t="s">
        <v>5</v>
      </c>
      <c r="F17" s="23">
        <f>COUNTIFS(TblAdtNC[Project Code/ Process name],Table_owssvr__212[[#This Row],[Title]],TblAdtNC[Classification],"Major NC")</f>
        <v>6</v>
      </c>
      <c r="G17" s="23">
        <f>COUNTIFS(TblAdtNC[Project Code/ Process name],Table_owssvr__212[[#This Row],[Title]],TblAdtNC[Classification],"Minor NC")</f>
        <v>11</v>
      </c>
      <c r="H17" s="23">
        <f>SUMIFS(TblTimeSheet[PersonHrs],TblTimeSheet[Project Code/Support Function],Table_owssvr__212[[#This Row],[Title]])</f>
        <v>188.24999999598367</v>
      </c>
      <c r="I17" s="23">
        <f>(5*Table_owssvr__212[[#This Row],[Total Number of Major NCs in the project]]+1*Table_owssvr__212[[#This Row],[Total Number of Minor NCs in the project]])/Table_owssvr__212[[#This Row],[Total Effort Expended in the prroject]]</f>
        <v>0.21779548473240232</v>
      </c>
      <c r="J17" s="23"/>
      <c r="K17" s="23"/>
    </row>
    <row r="18" spans="2:11" x14ac:dyDescent="0.25">
      <c r="B18" s="1" t="s">
        <v>913</v>
      </c>
      <c r="C18" s="1" t="s">
        <v>914</v>
      </c>
      <c r="D18" s="1" t="s">
        <v>6</v>
      </c>
      <c r="E18" s="1" t="s">
        <v>5</v>
      </c>
      <c r="F18" s="23">
        <f>COUNTIFS(TblAdtNC[Project Code/ Process name],Table_owssvr__212[[#This Row],[Title]],TblAdtNC[Classification],"Major NC")</f>
        <v>2</v>
      </c>
      <c r="G18" s="23">
        <f>COUNTIFS(TblAdtNC[Project Code/ Process name],Table_owssvr__212[[#This Row],[Title]],TblAdtNC[Classification],"Minor NC")</f>
        <v>11</v>
      </c>
      <c r="H18" s="23">
        <f>SUMIFS(TblTimeSheet[PersonHrs],TblTimeSheet[Project Code/Support Function],Table_owssvr__212[[#This Row],[Title]])</f>
        <v>89.083333334885538</v>
      </c>
      <c r="I18" s="23">
        <f>(5*Table_owssvr__212[[#This Row],[Total Number of Major NCs in the project]]+1*Table_owssvr__212[[#This Row],[Total Number of Minor NCs in the project]])/Table_owssvr__212[[#This Row],[Total Effort Expended in the prroject]]</f>
        <v>0.23573433114650055</v>
      </c>
      <c r="J18" s="23"/>
      <c r="K18" s="23"/>
    </row>
    <row r="19" spans="2:11" x14ac:dyDescent="0.25">
      <c r="B19" s="1" t="s">
        <v>915</v>
      </c>
      <c r="C19" s="1" t="s">
        <v>916</v>
      </c>
      <c r="D19" s="1" t="s">
        <v>6</v>
      </c>
      <c r="E19" s="1" t="s">
        <v>5</v>
      </c>
      <c r="F19" s="23">
        <f>COUNTIFS(TblAdtNC[Project Code/ Process name],Table_owssvr__212[[#This Row],[Title]],TblAdtNC[Classification],"Major NC")</f>
        <v>4</v>
      </c>
      <c r="G19" s="23">
        <f>COUNTIFS(TblAdtNC[Project Code/ Process name],Table_owssvr__212[[#This Row],[Title]],TblAdtNC[Classification],"Minor NC")</f>
        <v>13</v>
      </c>
      <c r="H19" s="23">
        <f>SUMIFS(TblTimeSheet[PersonHrs],TblTimeSheet[Project Code/Support Function],Table_owssvr__212[[#This Row],[Title]])</f>
        <v>232.41666666499805</v>
      </c>
      <c r="I19" s="23">
        <f>(5*Table_owssvr__212[[#This Row],[Total Number of Major NCs in the project]]+1*Table_owssvr__212[[#This Row],[Total Number of Minor NCs in the project]])/Table_owssvr__212[[#This Row],[Total Effort Expended in the prroject]]</f>
        <v>0.1419863750458383</v>
      </c>
      <c r="J19" s="23"/>
      <c r="K19" s="23"/>
    </row>
    <row r="20" spans="2:11" x14ac:dyDescent="0.25">
      <c r="B20" s="1" t="s">
        <v>917</v>
      </c>
      <c r="C20" s="1" t="s">
        <v>918</v>
      </c>
      <c r="D20" s="1" t="s">
        <v>6</v>
      </c>
      <c r="E20" s="1" t="s">
        <v>5</v>
      </c>
      <c r="F20" s="23">
        <f>COUNTIFS(TblAdtNC[Project Code/ Process name],Table_owssvr__212[[#This Row],[Title]],TblAdtNC[Classification],"Major NC")</f>
        <v>1</v>
      </c>
      <c r="G20" s="23">
        <f>COUNTIFS(TblAdtNC[Project Code/ Process name],Table_owssvr__212[[#This Row],[Title]],TblAdtNC[Classification],"Minor NC")</f>
        <v>10</v>
      </c>
      <c r="H20" s="23">
        <f>SUMIFS(TblTimeSheet[PersonHrs],TblTimeSheet[Project Code/Support Function],Table_owssvr__212[[#This Row],[Title]])</f>
        <v>168.66666666622041</v>
      </c>
      <c r="I20" s="23">
        <f>(5*Table_owssvr__212[[#This Row],[Total Number of Major NCs in the project]]+1*Table_owssvr__212[[#This Row],[Total Number of Minor NCs in the project]])/Table_owssvr__212[[#This Row],[Total Effort Expended in the prroject]]</f>
        <v>8.893280632434597E-2</v>
      </c>
      <c r="J20" s="23"/>
      <c r="K20" s="23"/>
    </row>
    <row r="21" spans="2:11" x14ac:dyDescent="0.25">
      <c r="B21" s="1" t="s">
        <v>2870</v>
      </c>
      <c r="C21" s="1" t="s">
        <v>2871</v>
      </c>
      <c r="D21" s="1" t="s">
        <v>6</v>
      </c>
      <c r="E21" s="1" t="s">
        <v>5</v>
      </c>
      <c r="F21" s="23">
        <f>COUNTIFS(TblAdtNC[Project Code/ Process name],Table_owssvr__212[[#This Row],[Title]],TblAdtNC[Classification],"Major NC")</f>
        <v>6</v>
      </c>
      <c r="G21" s="23">
        <f>COUNTIFS(TblAdtNC[Project Code/ Process name],Table_owssvr__212[[#This Row],[Title]],TblAdtNC[Classification],"Minor NC")</f>
        <v>21</v>
      </c>
      <c r="H21" s="23">
        <f>SUMIFS(TblTimeSheet[PersonHrs],TblTimeSheet[Project Code/Support Function],Table_owssvr__212[[#This Row],[Title]])</f>
        <v>64.416666666744277</v>
      </c>
      <c r="I21" s="23">
        <f>(5*Table_owssvr__212[[#This Row],[Total Number of Major NCs in the project]]+1*Table_owssvr__212[[#This Row],[Total Number of Minor NCs in the project]])/Table_owssvr__212[[#This Row],[Total Effort Expended in the prroject]]</f>
        <v>0.79172056920991285</v>
      </c>
      <c r="J21" s="23"/>
      <c r="K21" s="23"/>
    </row>
    <row r="22" spans="2:11" x14ac:dyDescent="0.25">
      <c r="B22" s="1" t="s">
        <v>2872</v>
      </c>
      <c r="C22" s="1" t="s">
        <v>2873</v>
      </c>
      <c r="D22" s="1" t="s">
        <v>6</v>
      </c>
      <c r="E22" s="1" t="s">
        <v>5</v>
      </c>
      <c r="F22" s="23">
        <f>COUNTIFS(TblAdtNC[Project Code/ Process name],Table_owssvr__212[[#This Row],[Title]],TblAdtNC[Classification],"Major NC")</f>
        <v>0</v>
      </c>
      <c r="G22" s="23">
        <f>COUNTIFS(TblAdtNC[Project Code/ Process name],Table_owssvr__212[[#This Row],[Title]],TblAdtNC[Classification],"Minor NC")</f>
        <v>2</v>
      </c>
      <c r="H22" s="23">
        <f>SUMIFS(TblTimeSheet[PersonHrs],TblTimeSheet[Project Code/Support Function],Table_owssvr__212[[#This Row],[Title]])</f>
        <v>30.916666664590593</v>
      </c>
      <c r="I22" s="23">
        <f>(5*Table_owssvr__212[[#This Row],[Total Number of Major NCs in the project]]+1*Table_owssvr__212[[#This Row],[Total Number of Minor NCs in the project]])/Table_owssvr__212[[#This Row],[Total Effort Expended in the prroject]]</f>
        <v>6.4690026958521871E-2</v>
      </c>
      <c r="J22" s="23"/>
      <c r="K22" s="23"/>
    </row>
    <row r="23" spans="2:11" x14ac:dyDescent="0.25">
      <c r="B23" s="1" t="s">
        <v>2874</v>
      </c>
      <c r="C23" s="1" t="s">
        <v>2875</v>
      </c>
      <c r="D23" s="1" t="s">
        <v>6</v>
      </c>
      <c r="E23" s="1" t="s">
        <v>5</v>
      </c>
      <c r="F23" s="23">
        <f>COUNTIFS(TblAdtNC[Project Code/ Process name],Table_owssvr__212[[#This Row],[Title]],TblAdtNC[Classification],"Major NC")</f>
        <v>0</v>
      </c>
      <c r="G23" s="23">
        <f>COUNTIFS(TblAdtNC[Project Code/ Process name],Table_owssvr__212[[#This Row],[Title]],TblAdtNC[Classification],"Minor NC")</f>
        <v>4</v>
      </c>
      <c r="H23" s="23">
        <f>SUMIFS(TblTimeSheet[PersonHrs],TblTimeSheet[Project Code/Support Function],Table_owssvr__212[[#This Row],[Title]])</f>
        <v>11.583333332149778</v>
      </c>
      <c r="I23" s="23">
        <f>(5*Table_owssvr__212[[#This Row],[Total Number of Major NCs in the project]]+1*Table_owssvr__212[[#This Row],[Total Number of Minor NCs in the project]])/Table_owssvr__212[[#This Row],[Total Effort Expended in the prroject]]</f>
        <v>0.34532374104247854</v>
      </c>
      <c r="J23" s="23"/>
      <c r="K23" s="23"/>
    </row>
    <row r="24" spans="2:11" x14ac:dyDescent="0.25">
      <c r="B24" s="1" t="s">
        <v>2876</v>
      </c>
      <c r="C24" s="1" t="s">
        <v>2877</v>
      </c>
      <c r="D24" s="1" t="s">
        <v>6</v>
      </c>
      <c r="E24" s="1" t="s">
        <v>5</v>
      </c>
      <c r="F24" s="23">
        <f>COUNTIFS(TblAdtNC[Project Code/ Process name],Table_owssvr__212[[#This Row],[Title]],TblAdtNC[Classification],"Major NC")</f>
        <v>0</v>
      </c>
      <c r="G24" s="23">
        <f>COUNTIFS(TblAdtNC[Project Code/ Process name],Table_owssvr__212[[#This Row],[Title]],TblAdtNC[Classification],"Minor NC")</f>
        <v>0</v>
      </c>
      <c r="H24" s="23">
        <f>SUMIFS(TblTimeSheet[PersonHrs],TblTimeSheet[Project Code/Support Function],Table_owssvr__212[[#This Row],[Title]])</f>
        <v>21.500000000407454</v>
      </c>
      <c r="I24" s="23">
        <f>(5*Table_owssvr__212[[#This Row],[Total Number of Major NCs in the project]]+1*Table_owssvr__212[[#This Row],[Total Number of Minor NCs in the project]])/Table_owssvr__212[[#This Row],[Total Effort Expended in the prroject]]</f>
        <v>0</v>
      </c>
      <c r="J24" s="23"/>
      <c r="K24" s="23"/>
    </row>
    <row r="25" spans="2:11" x14ac:dyDescent="0.25">
      <c r="B25" s="1" t="s">
        <v>2878</v>
      </c>
      <c r="C25" s="1" t="s">
        <v>2879</v>
      </c>
      <c r="D25" s="1" t="s">
        <v>6</v>
      </c>
      <c r="E25" s="1" t="s">
        <v>5</v>
      </c>
      <c r="F25" s="23">
        <f>COUNTIFS(TblAdtNC[Project Code/ Process name],Table_owssvr__212[[#This Row],[Title]],TblAdtNC[Classification],"Major NC")</f>
        <v>0</v>
      </c>
      <c r="G25" s="23">
        <f>COUNTIFS(TblAdtNC[Project Code/ Process name],Table_owssvr__212[[#This Row],[Title]],TblAdtNC[Classification],"Minor NC")</f>
        <v>0</v>
      </c>
      <c r="H25" s="23">
        <f>SUMIFS(TblTimeSheet[PersonHrs],TblTimeSheet[Project Code/Support Function],Table_owssvr__212[[#This Row],[Title]])</f>
        <v>1385.9166666581878</v>
      </c>
      <c r="I25" s="23">
        <f>(5*Table_owssvr__212[[#This Row],[Total Number of Major NCs in the project]]+1*Table_owssvr__212[[#This Row],[Total Number of Minor NCs in the project]])/Table_owssvr__212[[#This Row],[Total Effort Expended in the prroject]]</f>
        <v>0</v>
      </c>
      <c r="J25" s="23"/>
      <c r="K25" s="23"/>
    </row>
    <row r="26" spans="2:11" x14ac:dyDescent="0.25">
      <c r="B26" s="1" t="s">
        <v>2880</v>
      </c>
      <c r="C26" s="1" t="s">
        <v>2881</v>
      </c>
      <c r="D26" s="1" t="s">
        <v>6</v>
      </c>
      <c r="E26" s="1" t="s">
        <v>5</v>
      </c>
      <c r="F26" s="23">
        <f>COUNTIFS(TblAdtNC[Project Code/ Process name],Table_owssvr__212[[#This Row],[Title]],TblAdtNC[Classification],"Major NC")</f>
        <v>0</v>
      </c>
      <c r="G26" s="23">
        <f>COUNTIFS(TblAdtNC[Project Code/ Process name],Table_owssvr__212[[#This Row],[Title]],TblAdtNC[Classification],"Minor NC")</f>
        <v>0</v>
      </c>
      <c r="H26" s="23">
        <f>SUMIFS(TblTimeSheet[PersonHrs],TblTimeSheet[Project Code/Support Function],Table_owssvr__212[[#This Row],[Title]])</f>
        <v>41.666666665405501</v>
      </c>
      <c r="I26" s="23">
        <f>(5*Table_owssvr__212[[#This Row],[Total Number of Major NCs in the project]]+1*Table_owssvr__212[[#This Row],[Total Number of Minor NCs in the project]])/Table_owssvr__212[[#This Row],[Total Effort Expended in the prroject]]</f>
        <v>0</v>
      </c>
      <c r="J26" s="23"/>
      <c r="K26" s="23"/>
    </row>
    <row r="27" spans="2:11" x14ac:dyDescent="0.25">
      <c r="B27" s="1" t="s">
        <v>2882</v>
      </c>
      <c r="C27" s="1" t="s">
        <v>2883</v>
      </c>
      <c r="D27" s="1" t="s">
        <v>6</v>
      </c>
      <c r="E27" s="1" t="s">
        <v>5</v>
      </c>
      <c r="F27" s="23">
        <f>COUNTIFS(TblAdtNC[Project Code/ Process name],Table_owssvr__212[[#This Row],[Title]],TblAdtNC[Classification],"Major NC")</f>
        <v>0</v>
      </c>
      <c r="G27" s="23">
        <f>COUNTIFS(TblAdtNC[Project Code/ Process name],Table_owssvr__212[[#This Row],[Title]],TblAdtNC[Classification],"Minor NC")</f>
        <v>2</v>
      </c>
      <c r="H27" s="23">
        <f>SUMIFS(TblTimeSheet[PersonHrs],TblTimeSheet[Project Code/Support Function],Table_owssvr__212[[#This Row],[Title]])</f>
        <v>31.250000000232831</v>
      </c>
      <c r="I27" s="23">
        <f>(5*Table_owssvr__212[[#This Row],[Total Number of Major NCs in the project]]+1*Table_owssvr__212[[#This Row],[Total Number of Minor NCs in the project]])/Table_owssvr__212[[#This Row],[Total Effort Expended in the prroject]]</f>
        <v>6.3999999999523161E-2</v>
      </c>
      <c r="J27" s="23"/>
      <c r="K27" s="23"/>
    </row>
    <row r="28" spans="2:11" x14ac:dyDescent="0.25">
      <c r="B28" s="1" t="s">
        <v>2884</v>
      </c>
      <c r="C28" s="1" t="s">
        <v>2885</v>
      </c>
      <c r="D28" s="1" t="s">
        <v>6</v>
      </c>
      <c r="E28" s="1" t="s">
        <v>5</v>
      </c>
      <c r="F28" s="23">
        <f>COUNTIFS(TblAdtNC[Project Code/ Process name],Table_owssvr__212[[#This Row],[Title]],TblAdtNC[Classification],"Major NC")</f>
        <v>2</v>
      </c>
      <c r="G28" s="23">
        <f>COUNTIFS(TblAdtNC[Project Code/ Process name],Table_owssvr__212[[#This Row],[Title]],TblAdtNC[Classification],"Minor NC")</f>
        <v>4</v>
      </c>
      <c r="H28" s="23">
        <f>SUMIFS(TblTimeSheet[PersonHrs],TblTimeSheet[Project Code/Support Function],Table_owssvr__212[[#This Row],[Title]])</f>
        <v>32.166666665871162</v>
      </c>
      <c r="I28" s="23">
        <f>(5*Table_owssvr__212[[#This Row],[Total Number of Major NCs in the project]]+1*Table_owssvr__212[[#This Row],[Total Number of Minor NCs in the project]])/Table_owssvr__212[[#This Row],[Total Effort Expended in the prroject]]</f>
        <v>0.43523316063252526</v>
      </c>
      <c r="J28" s="23"/>
      <c r="K28" s="23"/>
    </row>
  </sheetData>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4</vt:i4>
      </vt:variant>
    </vt:vector>
  </HeadingPairs>
  <TitlesOfParts>
    <vt:vector size="18" baseType="lpstr">
      <vt:lpstr>Introduction</vt:lpstr>
      <vt:lpstr>Project Codes</vt:lpstr>
      <vt:lpstr>TimeSheet</vt:lpstr>
      <vt:lpstr>Defect Log</vt:lpstr>
      <vt:lpstr>Schedules-Milestones</vt:lpstr>
      <vt:lpstr>Audit NC Log</vt:lpstr>
      <vt:lpstr>Schedule Variance(Project)</vt:lpstr>
      <vt:lpstr>Effort Variance(Project)</vt:lpstr>
      <vt:lpstr>Product Defect Density(Project)</vt:lpstr>
      <vt:lpstr>Process Defect Density(Project)</vt:lpstr>
      <vt:lpstr>Effort Variance (Org)</vt:lpstr>
      <vt:lpstr>Schedule Variance(Org)</vt:lpstr>
      <vt:lpstr>Product Defect Density(Org)</vt:lpstr>
      <vt:lpstr>Process Defect Density(Org)</vt:lpstr>
      <vt:lpstr>ProjectCodes</vt:lpstr>
      <vt:lpstr>Total_Effort_Expended_in_the_prroject</vt:lpstr>
      <vt:lpstr>Total_Number_of_Major_NCs_in_theproject</vt:lpstr>
      <vt:lpstr>Total_Number_of_Minor_NCs_in_theproject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Vaibhav Garg</dc:creator>
  <cp:lastModifiedBy>Jalaj</cp:lastModifiedBy>
  <dcterms:created xsi:type="dcterms:W3CDTF">2015-07-10T06:25:48Z</dcterms:created>
  <dcterms:modified xsi:type="dcterms:W3CDTF">2019-07-12T10:43:40Z</dcterms:modified>
</cp:coreProperties>
</file>